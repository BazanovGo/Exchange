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7F_1_TSMOM_BR" sheetId="2" state="visible" r:id="rId4"/>
    <sheet name="7F_1_TSMOM_NG" sheetId="3" state="visible" r:id="rId5"/>
    <sheet name="7F_2_DualMA_BR" sheetId="4" state="visible" r:id="rId6"/>
    <sheet name="7F_2_DualMA_NG" sheetId="5" state="visible" r:id="rId7"/>
    <sheet name="7F_3_Breakout_BR" sheetId="6" state="visible" r:id="rId8"/>
    <sheet name="7F_3_Breakout_NG" sheetId="7" state="visible" r:id="rId9"/>
    <sheet name="7F_4_CrossSect_NGBR_NG" sheetId="8" state="visible" r:id="rId10"/>
    <sheet name="7F_4_CrossSect_NGBR_BR" sheetId="9" state="visible" r:id="rId11"/>
    <sheet name="7F_5_Carry_BR" sheetId="10" state="visible" r:id="rId12"/>
    <sheet name="7F_5_Carry_NG" sheetId="11" state="visible" r:id="rId13"/>
    <sheet name="7F_6_PortfolioMA_NGBR_NG" sheetId="12" state="visible" r:id="rId14"/>
    <sheet name="7F_6_PortfolioMA_NGBR_BR" sheetId="13" state="visible" r:id="rId15"/>
    <sheet name="7F_7_MomRev_BR" sheetId="14" state="visible" r:id="rId16"/>
    <sheet name="7F_7_MomRev_NG" sheetId="15" state="visible" r:id="rId17"/>
  </sheets>
  <definedNames>
    <definedName function="false" hidden="true" localSheetId="1" name="_xlnm._FilterDatabase" vbProcedure="false">7F_1_TSMOM_BR!$A$5:$P$354</definedName>
    <definedName function="false" hidden="true" localSheetId="2" name="_xlnm._FilterDatabase" vbProcedure="false">7F_1_TSMOM_NG!$A$5:$P$137</definedName>
    <definedName function="false" hidden="true" localSheetId="3" name="_xlnm._FilterDatabase" vbProcedure="false">7F_2_DualMA_BR!$A$5:$P$181</definedName>
    <definedName function="false" hidden="true" localSheetId="4" name="_xlnm._FilterDatabase" vbProcedure="false">7F_2_DualMA_NG!$A$5:$P$72</definedName>
    <definedName function="false" hidden="true" localSheetId="5" name="_xlnm._FilterDatabase" vbProcedure="false">7F_3_Breakout_BR!$A$5:$P$136</definedName>
    <definedName function="false" hidden="true" localSheetId="6" name="_xlnm._FilterDatabase" vbProcedure="false">7F_3_Breakout_NG!$A$5:$P$85</definedName>
    <definedName function="false" hidden="true" localSheetId="8" name="_xlnm._FilterDatabase" vbProcedure="false">7F_4_CrossSect_NGBR_BR!$A$5:$P$125</definedName>
    <definedName function="false" hidden="true" localSheetId="7" name="_xlnm._FilterDatabase" vbProcedure="false">7F_4_CrossSect_NGBR_NG!$A$5:$P$136</definedName>
    <definedName function="false" hidden="true" localSheetId="9" name="_xlnm._FilterDatabase" vbProcedure="false">7F_5_Carry_BR!$A$5:$P$140</definedName>
    <definedName function="false" hidden="true" localSheetId="10" name="_xlnm._FilterDatabase" vbProcedure="false">7F_5_Carry_NG!$A$5:$P$84</definedName>
    <definedName function="false" hidden="true" localSheetId="12" name="_xlnm._FilterDatabase" vbProcedure="false">7F_6_PortfolioMA_NGBR_BR!$A$5:$P$73</definedName>
    <definedName function="false" hidden="true" localSheetId="11" name="_xlnm._FilterDatabase" vbProcedure="false">7F_6_PortfolioMA_NGBR_NG!$A$5:$P$78</definedName>
    <definedName function="false" hidden="true" localSheetId="13" name="_xlnm._FilterDatabase" vbProcedure="false">7F_7_MomRev_BR!$A$5:$P$175</definedName>
    <definedName function="false" hidden="true" localSheetId="14" name="_xlnm._FilterDatabase" vbProcedure="false">7F_7_MomRev_NG!$A$5:$P$111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<sst xmlns="http://schemas.openxmlformats.org/spreadsheetml/2006/main" count="8503" uniqueCount="1226">
  <si>
    <t xml:space="preserve">Исходы сделок в пунктах: семь семейств, сквозной прогон по всей истории</t>
  </si>
  <si>
    <t xml:space="preserve">Лист на каждую пару «стратегия × актив»: исходы по порядку, плюс — прибыль, минус — убыток.</t>
  </si>
  <si>
    <t xml:space="preserve">Пункт — единица котировки: BR — 1 USD за баррель, NG — 1 USD за MMBtu; шаг цены — 0.01 (BR) и 0.001 (NG).</t>
  </si>
  <si>
    <t xml:space="preserve">Семь семейств: размер позиции меняется, поэтому пункты даны на единицу позиции, а итог — в USD на счёт 1 000 000. Скользящие средние: 1 контракт, пункты складываются.</t>
  </si>
  <si>
    <t xml:space="preserve">Все числа на этом листе — формулы по листам таблиц.</t>
  </si>
  <si>
    <t xml:space="preserve">Лист</t>
  </si>
  <si>
    <t xml:space="preserve">Стратегия</t>
  </si>
  <si>
    <t xml:space="preserve">Актив</t>
  </si>
  <si>
    <t xml:space="preserve">Параметры</t>
  </si>
  <si>
    <t xml:space="preserve">Исходов</t>
  </si>
  <si>
    <t xml:space="preserve">Прибыльных</t>
  </si>
  <si>
    <t xml:space="preserve">Убыточных</t>
  </si>
  <si>
    <t xml:space="preserve">Доля прибыльных</t>
  </si>
  <si>
    <t xml:space="preserve">Средний прибыльный, пунктов</t>
  </si>
  <si>
    <t xml:space="preserve">Средний убыточный, пунктов</t>
  </si>
  <si>
    <t xml:space="preserve">Лучший, пунктов</t>
  </si>
  <si>
    <t xml:space="preserve">Худший, пунктов</t>
  </si>
  <si>
    <t xml:space="preserve">Макс. убыточных подряд</t>
  </si>
  <si>
    <t xml:space="preserve">Итог IS, USD</t>
  </si>
  <si>
    <t xml:space="preserve">Итог OOS, USD</t>
  </si>
  <si>
    <t xml:space="preserve">Итог, USD</t>
  </si>
  <si>
    <t xml:space="preserve">7F_1_TSMOM_BR</t>
  </si>
  <si>
    <t xml:space="preserve">1 Time-Series Momentum</t>
  </si>
  <si>
    <t xml:space="preserve">BR</t>
  </si>
  <si>
    <t xml:space="preserve">lookback=40</t>
  </si>
  <si>
    <t xml:space="preserve">7F_1_TSMOM_NG</t>
  </si>
  <si>
    <t xml:space="preserve">NG</t>
  </si>
  <si>
    <t xml:space="preserve">lookback=90</t>
  </si>
  <si>
    <t xml:space="preserve">7F_2_DualMA_BR</t>
  </si>
  <si>
    <t xml:space="preserve">2 Dual Moving Average</t>
  </si>
  <si>
    <t xml:space="preserve">fast=20,slow=60</t>
  </si>
  <si>
    <t xml:space="preserve">7F_2_DualMA_NG</t>
  </si>
  <si>
    <t xml:space="preserve">fast=20,slow=150</t>
  </si>
  <si>
    <t xml:space="preserve">7F_3_Breakout_BR</t>
  </si>
  <si>
    <t xml:space="preserve">3 Channel Breakout</t>
  </si>
  <si>
    <t xml:space="preserve">entry=40,exit_=20</t>
  </si>
  <si>
    <t xml:space="preserve">7F_3_Breakout_NG</t>
  </si>
  <si>
    <t xml:space="preserve">entry=20,exit_=10</t>
  </si>
  <si>
    <t xml:space="preserve">7F_4_CrossSect_NGBR_NG</t>
  </si>
  <si>
    <t xml:space="preserve">4 Cross-sectional momentum</t>
  </si>
  <si>
    <t xml:space="preserve">lookback=120</t>
  </si>
  <si>
    <t xml:space="preserve">7F_4_CrossSect_NGBR_BR</t>
  </si>
  <si>
    <t xml:space="preserve">7F_5_Carry_BR</t>
  </si>
  <si>
    <t xml:space="preserve">5 Carry / term structure</t>
  </si>
  <si>
    <t xml:space="preserve">smooth=1,threshold=0.15</t>
  </si>
  <si>
    <t xml:space="preserve">7F_5_Carry_NG</t>
  </si>
  <si>
    <t xml:space="preserve">7F_6_PortfolioMA_NGBR_NG</t>
  </si>
  <si>
    <t xml:space="preserve">6 MA + portfolio</t>
  </si>
  <si>
    <t xml:space="preserve">fast=20,slow=100</t>
  </si>
  <si>
    <t xml:space="preserve">7F_6_PortfolioMA_NGBR_BR</t>
  </si>
  <si>
    <t xml:space="preserve">7F_7_MomRev_BR</t>
  </si>
  <si>
    <t xml:space="preserve">7 Momentum + reversal</t>
  </si>
  <si>
    <t xml:space="preserve">momentum=60,reversal=750</t>
  </si>
  <si>
    <t xml:space="preserve">7F_7_MomRev_NG</t>
  </si>
  <si>
    <t xml:space="preserve">momentum=60,reversal=500</t>
  </si>
  <si>
    <t xml:space="preserve">1 Time-Series Momentum · BR · lookback=40</t>
  </si>
  <si>
    <t xml:space="preserve">Параметры: лучший Шарп в выборке; сквозной прогон по всей истории. Издержки ~7 б.п. за оборот вычтены.</t>
  </si>
  <si>
    <t xml:space="preserve">Каждая строка — исход по порядку закрытия. Пункт — единица котировки (BR: 1 USD за баррель, NG: 1 USD за MMBtu); плюс — прибыль, минус — убыток.</t>
  </si>
  <si>
    <t xml:space="preserve">№</t>
  </si>
  <si>
    <t xml:space="preserve">период</t>
  </si>
  <si>
    <t xml:space="preserve">вход</t>
  </si>
  <si>
    <t xml:space="preserve">выход</t>
  </si>
  <si>
    <t xml:space="preserve">направление</t>
  </si>
  <si>
    <t xml:space="preserve">объём, ед. актива</t>
  </si>
  <si>
    <t xml:space="preserve">цена входа</t>
  </si>
  <si>
    <t xml:space="preserve">цена выхода</t>
  </si>
  <si>
    <t xml:space="preserve">через ролл</t>
  </si>
  <si>
    <t xml:space="preserve">результат, пунктов</t>
  </si>
  <si>
    <t xml:space="preserve">исход</t>
  </si>
  <si>
    <t xml:space="preserve">серия убыточных подряд</t>
  </si>
  <si>
    <t xml:space="preserve">результат, шагов цены</t>
  </si>
  <si>
    <t xml:space="preserve">результат, USD</t>
  </si>
  <si>
    <t xml:space="preserve">итог, USD</t>
  </si>
  <si>
    <t xml:space="preserve">примечание</t>
  </si>
  <si>
    <t xml:space="preserve">IS</t>
  </si>
  <si>
    <t xml:space="preserve">2012-02-15</t>
  </si>
  <si>
    <t xml:space="preserve">2012-03-02</t>
  </si>
  <si>
    <t xml:space="preserve">long</t>
  </si>
  <si>
    <t xml:space="preserve">да</t>
  </si>
  <si>
    <t xml:space="preserve">2012-04-11</t>
  </si>
  <si>
    <t xml:space="preserve">2012-04-13</t>
  </si>
  <si>
    <t xml:space="preserve">short</t>
  </si>
  <si>
    <t xml:space="preserve">2012-04-17</t>
  </si>
  <si>
    <t xml:space="preserve">2012-04-18</t>
  </si>
  <si>
    <t xml:space="preserve">2012-04-19</t>
  </si>
  <si>
    <t xml:space="preserve">2012-06-05</t>
  </si>
  <si>
    <t xml:space="preserve">2012-06-25</t>
  </si>
  <si>
    <t xml:space="preserve">2012-07-02</t>
  </si>
  <si>
    <t xml:space="preserve">2012-07-20</t>
  </si>
  <si>
    <t xml:space="preserve">2012-07-23</t>
  </si>
  <si>
    <t xml:space="preserve">2012-07-27</t>
  </si>
  <si>
    <t xml:space="preserve">2012-09-20</t>
  </si>
  <si>
    <t xml:space="preserve">2012-09-28</t>
  </si>
  <si>
    <t xml:space="preserve">2012-10-04</t>
  </si>
  <si>
    <t xml:space="preserve">2012-10-05</t>
  </si>
  <si>
    <t xml:space="preserve">2012-10-18</t>
  </si>
  <si>
    <t xml:space="preserve">2012-10-22</t>
  </si>
  <si>
    <t xml:space="preserve">2012-10-23</t>
  </si>
  <si>
    <t xml:space="preserve">2012-11-07</t>
  </si>
  <si>
    <t xml:space="preserve">2012-11-16</t>
  </si>
  <si>
    <t xml:space="preserve">2012-12-06</t>
  </si>
  <si>
    <t xml:space="preserve">2012-12-19</t>
  </si>
  <si>
    <t xml:space="preserve">2013-01-15</t>
  </si>
  <si>
    <t xml:space="preserve">2013-02-21</t>
  </si>
  <si>
    <t xml:space="preserve">2013-03-04</t>
  </si>
  <si>
    <t xml:space="preserve">2013-04-04</t>
  </si>
  <si>
    <t xml:space="preserve">2013-04-16</t>
  </si>
  <si>
    <t xml:space="preserve">2013-06-13</t>
  </si>
  <si>
    <t xml:space="preserve">2013-06-14</t>
  </si>
  <si>
    <t xml:space="preserve">2013-06-21</t>
  </si>
  <si>
    <t xml:space="preserve">2013-07-08</t>
  </si>
  <si>
    <t xml:space="preserve">2013-08-28</t>
  </si>
  <si>
    <t xml:space="preserve">2013-09-18</t>
  </si>
  <si>
    <t xml:space="preserve">2013-10-25</t>
  </si>
  <si>
    <t xml:space="preserve">2013-10-31</t>
  </si>
  <si>
    <t xml:space="preserve">2013-11-01</t>
  </si>
  <si>
    <t xml:space="preserve">2013-11-15</t>
  </si>
  <si>
    <t xml:space="preserve">2013-11-19</t>
  </si>
  <si>
    <t xml:space="preserve">2013-11-20</t>
  </si>
  <si>
    <t xml:space="preserve">2013-12-13</t>
  </si>
  <si>
    <t xml:space="preserve">2013-12-16</t>
  </si>
  <si>
    <t xml:space="preserve">2014-01-24</t>
  </si>
  <si>
    <t xml:space="preserve">2014-02-10</t>
  </si>
  <si>
    <t xml:space="preserve">2014-02-24</t>
  </si>
  <si>
    <t xml:space="preserve">2014-03-04</t>
  </si>
  <si>
    <t xml:space="preserve">2014-03-21</t>
  </si>
  <si>
    <t xml:space="preserve">2014-03-24</t>
  </si>
  <si>
    <t xml:space="preserve">2014-04-08</t>
  </si>
  <si>
    <t xml:space="preserve">2014-04-09</t>
  </si>
  <si>
    <t xml:space="preserve">2014-04-30</t>
  </si>
  <si>
    <t xml:space="preserve">2014-05-02</t>
  </si>
  <si>
    <t xml:space="preserve">2014-05-07</t>
  </si>
  <si>
    <t xml:space="preserve">2014-05-08</t>
  </si>
  <si>
    <t xml:space="preserve">2014-06-16</t>
  </si>
  <si>
    <t xml:space="preserve">2014-07-10</t>
  </si>
  <si>
    <t xml:space="preserve">2014-09-04</t>
  </si>
  <si>
    <t xml:space="preserve">2014-10-15</t>
  </si>
  <si>
    <t xml:space="preserve">2014-10-30</t>
  </si>
  <si>
    <t xml:space="preserve">2014-11-28</t>
  </si>
  <si>
    <t xml:space="preserve">2014-12-24</t>
  </si>
  <si>
    <t xml:space="preserve">2015-02-03</t>
  </si>
  <si>
    <t xml:space="preserve">2015-03-05</t>
  </si>
  <si>
    <t xml:space="preserve">2015-03-17</t>
  </si>
  <si>
    <t xml:space="preserve">2015-03-19</t>
  </si>
  <si>
    <t xml:space="preserve">2015-04-02</t>
  </si>
  <si>
    <t xml:space="preserve">2015-04-20</t>
  </si>
  <si>
    <t xml:space="preserve">2015-04-22</t>
  </si>
  <si>
    <t xml:space="preserve">2015-04-23</t>
  </si>
  <si>
    <t xml:space="preserve">2015-04-28</t>
  </si>
  <si>
    <t xml:space="preserve">2015-04-29</t>
  </si>
  <si>
    <t xml:space="preserve">2015-04-30</t>
  </si>
  <si>
    <t xml:space="preserve">2015-06-01</t>
  </si>
  <si>
    <t xml:space="preserve">2015-06-17</t>
  </si>
  <si>
    <t xml:space="preserve">2015-06-18</t>
  </si>
  <si>
    <t xml:space="preserve">2015-06-24</t>
  </si>
  <si>
    <t xml:space="preserve">2015-06-25</t>
  </si>
  <si>
    <t xml:space="preserve">2015-08-28</t>
  </si>
  <si>
    <t xml:space="preserve">2015-09-02</t>
  </si>
  <si>
    <t xml:space="preserve">2015-10-09</t>
  </si>
  <si>
    <t xml:space="preserve">2015-10-13</t>
  </si>
  <si>
    <t xml:space="preserve">2015-10-14</t>
  </si>
  <si>
    <t xml:space="preserve">2015-10-19</t>
  </si>
  <si>
    <t xml:space="preserve">2015-10-22</t>
  </si>
  <si>
    <t xml:space="preserve">2015-12-30</t>
  </si>
  <si>
    <t xml:space="preserve">2016-01-25</t>
  </si>
  <si>
    <t xml:space="preserve">2016-02-04</t>
  </si>
  <si>
    <t xml:space="preserve">2016-02-18</t>
  </si>
  <si>
    <t xml:space="preserve">2016-02-19</t>
  </si>
  <si>
    <t xml:space="preserve">2016-02-26</t>
  </si>
  <si>
    <t xml:space="preserve">2016-04-12</t>
  </si>
  <si>
    <t xml:space="preserve">2016-06-20</t>
  </si>
  <si>
    <t xml:space="preserve">2016-06-29</t>
  </si>
  <si>
    <t xml:space="preserve">2016-07-08</t>
  </si>
  <si>
    <t xml:space="preserve">2016-07-11</t>
  </si>
  <si>
    <t xml:space="preserve">2016-08-12</t>
  </si>
  <si>
    <t xml:space="preserve">2016-08-22</t>
  </si>
  <si>
    <t xml:space="preserve">2016-08-23</t>
  </si>
  <si>
    <t xml:space="preserve">2016-08-25</t>
  </si>
  <si>
    <t xml:space="preserve">2016-08-31</t>
  </si>
  <si>
    <t xml:space="preserve">2016-09-01</t>
  </si>
  <si>
    <t xml:space="preserve">2016-09-02</t>
  </si>
  <si>
    <t xml:space="preserve">2016-11-01</t>
  </si>
  <si>
    <t xml:space="preserve">2016-11-16</t>
  </si>
  <si>
    <t xml:space="preserve">2016-11-22</t>
  </si>
  <si>
    <t xml:space="preserve">2016-11-25</t>
  </si>
  <si>
    <t xml:space="preserve">2016-12-01</t>
  </si>
  <si>
    <t xml:space="preserve">2016-12-13</t>
  </si>
  <si>
    <t xml:space="preserve">2016-12-15</t>
  </si>
  <si>
    <t xml:space="preserve">2016-12-19</t>
  </si>
  <si>
    <t xml:space="preserve">2017-01-12</t>
  </si>
  <si>
    <t xml:space="preserve">2017-02-07</t>
  </si>
  <si>
    <t xml:space="preserve">2017-02-10</t>
  </si>
  <si>
    <t xml:space="preserve">2017-02-13</t>
  </si>
  <si>
    <t xml:space="preserve">2017-02-14</t>
  </si>
  <si>
    <t xml:space="preserve">2017-03-10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</si>
  <si>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</si>
  <si>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</si>
  <si>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</si>
  <si>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</si>
  <si>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2017-05-30</t>
  </si>
  <si>
    <t xml:space="preserve">2017-07-26</t>
  </si>
  <si>
    <t xml:space="preserve">2017-07-31</t>
  </si>
  <si>
    <t xml:space="preserve">2017-11-21</t>
  </si>
  <si>
    <t xml:space="preserve">2017-12-11</t>
  </si>
  <si>
    <t xml:space="preserve">2018-01-26</t>
  </si>
  <si>
    <t xml:space="preserve">2018-02-09</t>
  </si>
  <si>
    <t xml:space="preserve">2018-02-13</t>
  </si>
  <si>
    <t xml:space="preserve">2018-02-14</t>
  </si>
  <si>
    <t xml:space="preserve">2018-02-15</t>
  </si>
  <si>
    <t xml:space="preserve">2018-02-22</t>
  </si>
  <si>
    <t xml:space="preserve">2018-02-26</t>
  </si>
  <si>
    <t xml:space="preserve">2018-02-27</t>
  </si>
  <si>
    <t xml:space="preserve">2018-02-28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</si>
  <si>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</si>
  <si>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</si>
  <si>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</si>
  <si>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</si>
  <si>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</si>
  <si>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</si>
  <si>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2018-05-22</t>
  </si>
  <si>
    <t xml:space="preserve">2018-05-31</t>
  </si>
  <si>
    <t xml:space="preserve">2018-07-12</t>
  </si>
  <si>
    <t xml:space="preserve">2018-07-24</t>
  </si>
  <si>
    <t xml:space="preserve">2018-07-26</t>
  </si>
  <si>
    <t xml:space="preserve">2018-07-31</t>
  </si>
  <si>
    <t xml:space="preserve">2018-08-09</t>
  </si>
  <si>
    <t xml:space="preserve">2018-08-13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</si>
  <si>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</si>
  <si>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</si>
  <si>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</si>
  <si>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</si>
  <si>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2018-09-05</t>
  </si>
  <si>
    <t xml:space="preserve">2018-09-06</t>
  </si>
  <si>
    <t xml:space="preserve">2018-10-11</t>
  </si>
  <si>
    <t xml:space="preserve">2018-10-24</t>
  </si>
  <si>
    <t xml:space="preserve">2018-11-15</t>
  </si>
  <si>
    <t xml:space="preserve">2018-12-27</t>
  </si>
  <si>
    <t xml:space="preserve">2019-02-15</t>
  </si>
  <si>
    <t xml:space="preserve">2019-04-23</t>
  </si>
  <si>
    <t xml:space="preserve">2019-04-29</t>
  </si>
  <si>
    <t xml:space="preserve">2019-05-24</t>
  </si>
  <si>
    <t xml:space="preserve">2019-05-31</t>
  </si>
  <si>
    <t xml:space="preserve">2019-06-27</t>
  </si>
  <si>
    <t xml:space="preserve">2019-07-01</t>
  </si>
  <si>
    <t xml:space="preserve">2019-07-11</t>
  </si>
  <si>
    <t xml:space="preserve">2019-07-15</t>
  </si>
  <si>
    <t xml:space="preserve">2019-07-22</t>
  </si>
  <si>
    <t xml:space="preserve">2019-07-23</t>
  </si>
  <si>
    <t xml:space="preserve">2019-07-24</t>
  </si>
  <si>
    <t xml:space="preserve">2019-07-29</t>
  </si>
  <si>
    <t xml:space="preserve">2019-07-30</t>
  </si>
  <si>
    <t xml:space="preserve">2019-08-14</t>
  </si>
  <si>
    <t xml:space="preserve">2019-08-16</t>
  </si>
  <si>
    <t xml:space="preserve">2019-08-20</t>
  </si>
  <si>
    <t xml:space="preserve">2019-08-21</t>
  </si>
  <si>
    <t xml:space="preserve">2019-08-22</t>
  </si>
  <si>
    <t xml:space="preserve">2019-08-28</t>
  </si>
  <si>
    <t xml:space="preserve">2019-09-02</t>
  </si>
  <si>
    <t xml:space="preserve">2019-09-03</t>
  </si>
  <si>
    <t xml:space="preserve">2019-09-04</t>
  </si>
  <si>
    <t xml:space="preserve">2019-09-06</t>
  </si>
  <si>
    <t xml:space="preserve">2019-09-17</t>
  </si>
  <si>
    <t xml:space="preserve">2019-11-07</t>
  </si>
  <si>
    <t xml:space="preserve">2019-11-08</t>
  </si>
  <si>
    <t xml:space="preserve">2019-11-13</t>
  </si>
  <si>
    <t xml:space="preserve">2019-11-21</t>
  </si>
  <si>
    <t xml:space="preserve">2020-01-09</t>
  </si>
  <si>
    <t xml:space="preserve">2020-01-28</t>
  </si>
  <si>
    <t xml:space="preserve">2020-02-13</t>
  </si>
  <si>
    <t xml:space="preserve">2020-03-10</t>
  </si>
  <si>
    <t xml:space="preserve">2020-03-11</t>
  </si>
  <si>
    <t xml:space="preserve">2020-04-03</t>
  </si>
  <si>
    <t xml:space="preserve">2020-04-06</t>
  </si>
  <si>
    <t xml:space="preserve">2020-05-19</t>
  </si>
  <si>
    <t xml:space="preserve">2020-05-20</t>
  </si>
  <si>
    <t xml:space="preserve">2020-06-03</t>
  </si>
  <si>
    <t xml:space="preserve">2020-06-05</t>
  </si>
  <si>
    <t xml:space="preserve">2020-06-08</t>
  </si>
  <si>
    <t xml:space="preserve">2020-09-03</t>
  </si>
  <si>
    <t xml:space="preserve">2020-09-04</t>
  </si>
  <si>
    <t xml:space="preserve">2020-09-07</t>
  </si>
  <si>
    <t xml:space="preserve">2020-09-16</t>
  </si>
  <si>
    <t xml:space="preserve">2020-10-06</t>
  </si>
  <si>
    <t xml:space="preserve">2020-11-10</t>
  </si>
  <si>
    <t xml:space="preserve">2020-11-11</t>
  </si>
  <si>
    <t xml:space="preserve">2020-11-13</t>
  </si>
  <si>
    <t xml:space="preserve">2020-11-18</t>
  </si>
  <si>
    <t xml:space="preserve">2021-01-06</t>
  </si>
  <si>
    <t xml:space="preserve">OOS</t>
  </si>
  <si>
    <t xml:space="preserve">2021-02-25</t>
  </si>
  <si>
    <t xml:space="preserve">2021-03-05</t>
  </si>
  <si>
    <t xml:space="preserve">2021-03-19</t>
  </si>
  <si>
    <t xml:space="preserve">2021-03-29</t>
  </si>
  <si>
    <t xml:space="preserve">2021-05-04</t>
  </si>
  <si>
    <t xml:space="preserve">2021-05-06</t>
  </si>
  <si>
    <t xml:space="preserve">2021-05-07</t>
  </si>
  <si>
    <t xml:space="preserve">2021-05-17</t>
  </si>
  <si>
    <t xml:space="preserve">2021-07-07</t>
  </si>
  <si>
    <t xml:space="preserve">2021-07-20</t>
  </si>
  <si>
    <t xml:space="preserve">2021-07-22</t>
  </si>
  <si>
    <t xml:space="preserve">2021-08-10</t>
  </si>
  <si>
    <t xml:space="preserve">2021-08-12</t>
  </si>
  <si>
    <t xml:space="preserve">2021-08-16</t>
  </si>
  <si>
    <t xml:space="preserve">2021-08-24</t>
  </si>
  <si>
    <t xml:space="preserve">2021-09-01</t>
  </si>
  <si>
    <t xml:space="preserve">2021-09-02</t>
  </si>
  <si>
    <t xml:space="preserve">2021-11-24</t>
  </si>
  <si>
    <t xml:space="preserve">2021-11-29</t>
  </si>
  <si>
    <t xml:space="preserve">2022-01-03</t>
  </si>
  <si>
    <t xml:space="preserve">2022-01-04</t>
  </si>
  <si>
    <t xml:space="preserve">2022-01-07</t>
  </si>
  <si>
    <t xml:space="preserve">2022-01-10</t>
  </si>
  <si>
    <t xml:space="preserve">2022-02-16</t>
  </si>
  <si>
    <t xml:space="preserve">2022-03-03</t>
  </si>
  <si>
    <t xml:space="preserve">2022-03-10</t>
  </si>
  <si>
    <t xml:space="preserve">2022-03-24</t>
  </si>
  <si>
    <t xml:space="preserve">2022-05-11</t>
  </si>
  <si>
    <t xml:space="preserve">2022-05-12</t>
  </si>
  <si>
    <t xml:space="preserve">2022-05-25</t>
  </si>
  <si>
    <t xml:space="preserve">2022-05-30</t>
  </si>
  <si>
    <t xml:space="preserve">2022-07-06</t>
  </si>
  <si>
    <t xml:space="preserve">2022-07-07</t>
  </si>
  <si>
    <t xml:space="preserve">2022-07-08</t>
  </si>
  <si>
    <t xml:space="preserve">2022-07-13</t>
  </si>
  <si>
    <t xml:space="preserve">2022-07-18</t>
  </si>
  <si>
    <t xml:space="preserve">2022-07-22</t>
  </si>
  <si>
    <t xml:space="preserve">2022-08-30</t>
  </si>
  <si>
    <t xml:space="preserve">2022-08-31</t>
  </si>
  <si>
    <t xml:space="preserve">2022-09-02</t>
  </si>
  <si>
    <t xml:space="preserve">2022-09-07</t>
  </si>
  <si>
    <t xml:space="preserve">2022-09-08</t>
  </si>
  <si>
    <t xml:space="preserve">2022-09-12</t>
  </si>
  <si>
    <t xml:space="preserve">2022-09-13</t>
  </si>
  <si>
    <t xml:space="preserve">2022-11-03</t>
  </si>
  <si>
    <t xml:space="preserve">2022-11-07</t>
  </si>
  <si>
    <t xml:space="preserve">2022-11-08</t>
  </si>
  <si>
    <t xml:space="preserve">2022-11-09</t>
  </si>
  <si>
    <t xml:space="preserve">2022-11-14</t>
  </si>
  <si>
    <t xml:space="preserve">2022-11-15</t>
  </si>
  <si>
    <t xml:space="preserve">2022-11-23</t>
  </si>
  <si>
    <t xml:space="preserve">2022-11-24</t>
  </si>
  <si>
    <t xml:space="preserve">2023-03-07</t>
  </si>
  <si>
    <t xml:space="preserve">2023-03-09</t>
  </si>
  <si>
    <t xml:space="preserve">2023-05-18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</si>
  <si>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</si>
  <si>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</si>
  <si>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</si>
  <si>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</si>
  <si>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2023-07-24</t>
  </si>
  <si>
    <t xml:space="preserve">2023-07-25</t>
  </si>
  <si>
    <t xml:space="preserve">2023-10-05</t>
  </si>
  <si>
    <t xml:space="preserve">2023-10-16</t>
  </si>
  <si>
    <t xml:space="preserve">2023-11-08</t>
  </si>
  <si>
    <t xml:space="preserve">2024-01-08</t>
  </si>
  <si>
    <t xml:space="preserve">2024-01-09</t>
  </si>
  <si>
    <t xml:space="preserve">2024-01-10</t>
  </si>
  <si>
    <t xml:space="preserve">2024-01-15</t>
  </si>
  <si>
    <t xml:space="preserve">2024-01-18</t>
  </si>
  <si>
    <t xml:space="preserve">2024-01-19</t>
  </si>
  <si>
    <t xml:space="preserve">2024-01-22</t>
  </si>
  <si>
    <t xml:space="preserve">2024-04-18</t>
  </si>
  <si>
    <t xml:space="preserve">2024-05-15</t>
  </si>
  <si>
    <t xml:space="preserve">2024-05-17</t>
  </si>
  <si>
    <t xml:space="preserve">2024-05-22</t>
  </si>
  <si>
    <t xml:space="preserve">2024-05-29</t>
  </si>
  <si>
    <t xml:space="preserve">2024-05-30</t>
  </si>
  <si>
    <t xml:space="preserve">2024-06-11</t>
  </si>
  <si>
    <t xml:space="preserve">2024-06-17</t>
  </si>
  <si>
    <t xml:space="preserve">2024-08-05</t>
  </si>
  <si>
    <t xml:space="preserve">2024-08-06</t>
  </si>
  <si>
    <t xml:space="preserve">2024-08-13</t>
  </si>
  <si>
    <t xml:space="preserve">2024-10-11</t>
  </si>
  <si>
    <t xml:space="preserve">2024-11-06</t>
  </si>
  <si>
    <t xml:space="preserve">2024-11-08</t>
  </si>
  <si>
    <t xml:space="preserve">2024-12-16</t>
  </si>
  <si>
    <t xml:space="preserve">2024-12-18</t>
  </si>
  <si>
    <t xml:space="preserve">2024-12-19</t>
  </si>
  <si>
    <t xml:space="preserve">2024-12-24</t>
  </si>
  <si>
    <t xml:space="preserve">2025-01-03</t>
  </si>
  <si>
    <t xml:space="preserve">2025-01-09</t>
  </si>
  <si>
    <t xml:space="preserve">2025-01-13</t>
  </si>
  <si>
    <t xml:space="preserve">2025-01-28</t>
  </si>
  <si>
    <t xml:space="preserve">2025-02-26</t>
  </si>
  <si>
    <t xml:space="preserve">2025-03-27</t>
  </si>
  <si>
    <t xml:space="preserve">2025-04-04</t>
  </si>
  <si>
    <t xml:space="preserve">2025-04-10</t>
  </si>
  <si>
    <t xml:space="preserve">2025-06-04</t>
  </si>
  <si>
    <t xml:space="preserve">2025-06-13</t>
  </si>
  <si>
    <t xml:space="preserve">2025-06-16</t>
  </si>
  <si>
    <t xml:space="preserve">2025-06-24</t>
  </si>
  <si>
    <t xml:space="preserve">2025-08-11</t>
  </si>
  <si>
    <t xml:space="preserve">2025-08-18</t>
  </si>
  <si>
    <t xml:space="preserve">2025-09-06</t>
  </si>
  <si>
    <t xml:space="preserve">2025-09-10</t>
  </si>
  <si>
    <t xml:space="preserve">2025-09-12</t>
  </si>
  <si>
    <t xml:space="preserve">2025-09-17</t>
  </si>
  <si>
    <t xml:space="preserve">2025-09-23</t>
  </si>
  <si>
    <t xml:space="preserve">2025-09-24</t>
  </si>
  <si>
    <t xml:space="preserve">2025-10-02</t>
  </si>
  <si>
    <t xml:space="preserve">2025-10-24</t>
  </si>
  <si>
    <t xml:space="preserve">2025-10-29</t>
  </si>
  <si>
    <t xml:space="preserve">2025-11-16</t>
  </si>
  <si>
    <t xml:space="preserve">2025-11-20</t>
  </si>
  <si>
    <t xml:space="preserve">2025-11-26</t>
  </si>
  <si>
    <t xml:space="preserve">2025-12-10</t>
  </si>
  <si>
    <t xml:space="preserve">2025-12-23</t>
  </si>
  <si>
    <t xml:space="preserve">2026-01-12</t>
  </si>
  <si>
    <t xml:space="preserve">2026-01-13</t>
  </si>
  <si>
    <t xml:space="preserve">2026-02-19</t>
  </si>
  <si>
    <t xml:space="preserve">2026-03-09</t>
  </si>
  <si>
    <t xml:space="preserve">2026-03-13</t>
  </si>
  <si>
    <t xml:space="preserve">2026-03-24</t>
  </si>
  <si>
    <t xml:space="preserve">2026-05-07</t>
  </si>
  <si>
    <t xml:space="preserve">2026-05-12</t>
  </si>
  <si>
    <t xml:space="preserve">2026-05-13</t>
  </si>
  <si>
    <t xml:space="preserve">2026-05-20</t>
  </si>
  <si>
    <t xml:space="preserve">2026-05-25</t>
  </si>
  <si>
    <t xml:space="preserve">2026-05-27</t>
  </si>
  <si>
    <t xml:space="preserve">2026-05-28</t>
  </si>
  <si>
    <t xml:space="preserve">2026-05-30</t>
  </si>
  <si>
    <t xml:space="preserve">2026-05-31</t>
  </si>
  <si>
    <t xml:space="preserve">2026-07-10</t>
  </si>
  <si>
    <t xml:space="preserve">2026-07-22</t>
  </si>
  <si>
    <t xml:space="preserve">2026-07-25</t>
  </si>
  <si>
    <t xml:space="preserve">2026-08-07</t>
  </si>
  <si>
    <t xml:space="preserve">2026-09-06</t>
  </si>
  <si>
    <t xml:space="preserve">2026-09-07</t>
  </si>
  <si>
    <t xml:space="preserve">2026-09-11</t>
  </si>
  <si>
    <t xml:space="preserve">2026-10-03</t>
  </si>
  <si>
    <t xml:space="preserve">позиция открыта на конец периода: переоценка по закрытию</t>
  </si>
  <si>
    <t xml:space="preserve">1 Time-Series Momentum · NG · lookback=90</t>
  </si>
  <si>
    <t xml:space="preserve">2020-06-16</t>
  </si>
  <si>
    <t xml:space="preserve">2020-06-30</t>
  </si>
  <si>
    <t xml:space="preserve">2020-08-04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</si>
  <si>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</si>
  <si>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</si>
  <si>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</si>
  <si>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</si>
  <si>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2020-09-24</t>
  </si>
  <si>
    <t xml:space="preserve">2020-09-25</t>
  </si>
  <si>
    <t xml:space="preserve">2020-09-28</t>
  </si>
  <si>
    <t xml:space="preserve">2020-10-21</t>
  </si>
  <si>
    <t xml:space="preserve">2020-11-16</t>
  </si>
  <si>
    <t xml:space="preserve">2020-11-17</t>
  </si>
  <si>
    <t xml:space="preserve">2020-11-25</t>
  </si>
  <si>
    <t xml:space="preserve">2020-11-27</t>
  </si>
  <si>
    <t xml:space="preserve">2021-02-05</t>
  </si>
  <si>
    <t xml:space="preserve">2021-04-19</t>
  </si>
  <si>
    <t xml:space="preserve">2021-04-22</t>
  </si>
  <si>
    <t xml:space="preserve">2021-04-23</t>
  </si>
  <si>
    <t xml:space="preserve">2021-05-18</t>
  </si>
  <si>
    <t xml:space="preserve">2021-08-27</t>
  </si>
  <si>
    <t xml:space="preserve">2021-09-09</t>
  </si>
  <si>
    <t xml:space="preserve">2021-09-28</t>
  </si>
  <si>
    <t xml:space="preserve">2021-10-05</t>
  </si>
  <si>
    <t xml:space="preserve">2021-10-26</t>
  </si>
  <si>
    <t xml:space="preserve">2021-12-01</t>
  </si>
  <si>
    <t xml:space="preserve">2022-01-13</t>
  </si>
  <si>
    <t xml:space="preserve">2022-02-03</t>
  </si>
  <si>
    <t xml:space="preserve">2022-03-28</t>
  </si>
  <si>
    <t xml:space="preserve">2022-04-19</t>
  </si>
  <si>
    <t xml:space="preserve">2022-04-27</t>
  </si>
  <si>
    <t xml:space="preserve">2022-05-05</t>
  </si>
  <si>
    <t xml:space="preserve">2022-06-15</t>
  </si>
  <si>
    <t xml:space="preserve">2022-07-27</t>
  </si>
  <si>
    <t xml:space="preserve">2022-09-22</t>
  </si>
  <si>
    <t xml:space="preserve">2022-10-26</t>
  </si>
  <si>
    <t xml:space="preserve">2022-11-11</t>
  </si>
  <si>
    <t xml:space="preserve">2022-12-16</t>
  </si>
  <si>
    <t xml:space="preserve">2023-02-28</t>
  </si>
  <si>
    <t xml:space="preserve">2023-04-18</t>
  </si>
  <si>
    <t xml:space="preserve">2023-08-04</t>
  </si>
  <si>
    <t xml:space="preserve">2023-08-10</t>
  </si>
  <si>
    <t xml:space="preserve">2023-08-28</t>
  </si>
  <si>
    <t xml:space="preserve">2023-08-29</t>
  </si>
  <si>
    <t xml:space="preserve">2023-09-07</t>
  </si>
  <si>
    <t xml:space="preserve">2023-09-08</t>
  </si>
  <si>
    <t xml:space="preserve">2023-09-25</t>
  </si>
  <si>
    <t xml:space="preserve">2023-09-27</t>
  </si>
  <si>
    <t xml:space="preserve">2023-11-01</t>
  </si>
  <si>
    <t xml:space="preserve">2023-11-09</t>
  </si>
  <si>
    <t xml:space="preserve">2023-11-10</t>
  </si>
  <si>
    <t xml:space="preserve">2023-11-13</t>
  </si>
  <si>
    <t xml:space="preserve">2023-11-15</t>
  </si>
  <si>
    <t xml:space="preserve">2023-11-16</t>
  </si>
  <si>
    <t xml:space="preserve">2023-11-20</t>
  </si>
  <si>
    <t xml:space="preserve">2023-12-18</t>
  </si>
  <si>
    <t xml:space="preserve">2023-12-22</t>
  </si>
  <si>
    <t xml:space="preserve">2024-01-05</t>
  </si>
  <si>
    <t xml:space="preserve">2024-01-12</t>
  </si>
  <si>
    <t xml:space="preserve">2024-01-17</t>
  </si>
  <si>
    <t xml:space="preserve">эмбарго</t>
  </si>
  <si>
    <t xml:space="preserve">2024-05-03</t>
  </si>
  <si>
    <t xml:space="preserve">2024-05-20</t>
  </si>
  <si>
    <t xml:space="preserve">2024-06-13</t>
  </si>
  <si>
    <t xml:space="preserve">2024-06-14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</si>
  <si>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</si>
  <si>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</si>
  <si>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</si>
  <si>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</si>
  <si>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2024-07-03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</si>
  <si>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</si>
  <si>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</si>
  <si>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</si>
  <si>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</si>
  <si>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2024-09-24</t>
  </si>
  <si>
    <t xml:space="preserve">2024-11-12</t>
  </si>
  <si>
    <t xml:space="preserve">2024-11-21</t>
  </si>
  <si>
    <t xml:space="preserve">2024-11-25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</si>
  <si>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</si>
  <si>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</si>
  <si>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</si>
  <si>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</si>
  <si>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2024-12-04</t>
  </si>
  <si>
    <t xml:space="preserve">2024-12-05</t>
  </si>
  <si>
    <t xml:space="preserve">2025-01-08</t>
  </si>
  <si>
    <t xml:space="preserve">2025-02-20</t>
  </si>
  <si>
    <t xml:space="preserve">2025-04-30</t>
  </si>
  <si>
    <t xml:space="preserve">2025-05-02</t>
  </si>
  <si>
    <t xml:space="preserve">2025-05-05</t>
  </si>
  <si>
    <t xml:space="preserve">2025-05-06</t>
  </si>
  <si>
    <t xml:space="preserve">2025-05-08</t>
  </si>
  <si>
    <t xml:space="preserve">2025-05-14</t>
  </si>
  <si>
    <t xml:space="preserve">2025-05-15</t>
  </si>
  <si>
    <t xml:space="preserve">2025-05-16</t>
  </si>
  <si>
    <t xml:space="preserve">2025-05-21</t>
  </si>
  <si>
    <t xml:space="preserve">2025-06-09</t>
  </si>
  <si>
    <t xml:space="preserve">2025-06-11</t>
  </si>
  <si>
    <t xml:space="preserve">2025-06-19</t>
  </si>
  <si>
    <t xml:space="preserve">2025-06-23</t>
  </si>
  <si>
    <t xml:space="preserve">2025-10-21</t>
  </si>
  <si>
    <t xml:space="preserve">2025-11-07</t>
  </si>
  <si>
    <t xml:space="preserve">2025-11-08</t>
  </si>
  <si>
    <t xml:space="preserve">2025-12-09</t>
  </si>
  <si>
    <t xml:space="preserve">2025-12-19</t>
  </si>
  <si>
    <t xml:space="preserve">2025-12-20</t>
  </si>
  <si>
    <t xml:space="preserve">2025-12-24</t>
  </si>
  <si>
    <t xml:space="preserve">2026-01-15</t>
  </si>
  <si>
    <t xml:space="preserve">2026-01-16</t>
  </si>
  <si>
    <t xml:space="preserve">2026-01-20</t>
  </si>
  <si>
    <t xml:space="preserve">2026-01-22</t>
  </si>
  <si>
    <t xml:space="preserve">2026-01-27</t>
  </si>
  <si>
    <t xml:space="preserve">2026-03-12</t>
  </si>
  <si>
    <t xml:space="preserve">2026-04-28</t>
  </si>
  <si>
    <t xml:space="preserve">2026-07-05</t>
  </si>
  <si>
    <t xml:space="preserve">2026-07-09</t>
  </si>
  <si>
    <t xml:space="preserve">2026-09-23</t>
  </si>
  <si>
    <t xml:space="preserve">2026-09-25</t>
  </si>
  <si>
    <t xml:space="preserve">2 Dual Moving Average · BR · fast=20,slow=60</t>
  </si>
  <si>
    <t xml:space="preserve">2012-03-15</t>
  </si>
  <si>
    <t xml:space="preserve">2012-04-24</t>
  </si>
  <si>
    <t xml:space="preserve">2012-06-04</t>
  </si>
  <si>
    <t xml:space="preserve">2012-07-30</t>
  </si>
  <si>
    <t xml:space="preserve">2012-10-29</t>
  </si>
  <si>
    <t xml:space="preserve">2012-12-04</t>
  </si>
  <si>
    <t xml:space="preserve">2013-01-16</t>
  </si>
  <si>
    <t xml:space="preserve">2013-03-19</t>
  </si>
  <si>
    <t xml:space="preserve">2013-07-17</t>
  </si>
  <si>
    <t xml:space="preserve">2013-11-12</t>
  </si>
  <si>
    <t xml:space="preserve">2013-11-13</t>
  </si>
  <si>
    <t xml:space="preserve">2013-12-02</t>
  </si>
  <si>
    <t xml:space="preserve">2014-02-03</t>
  </si>
  <si>
    <t xml:space="preserve">2014-02-25</t>
  </si>
  <si>
    <t xml:space="preserve">2014-04-29</t>
  </si>
  <si>
    <t xml:space="preserve">2014-07-22</t>
  </si>
  <si>
    <t xml:space="preserve">2014-08-15</t>
  </si>
  <si>
    <t xml:space="preserve">2015-03-16</t>
  </si>
  <si>
    <t xml:space="preserve">2015-04-07</t>
  </si>
  <si>
    <t xml:space="preserve">2015-06-23</t>
  </si>
  <si>
    <t xml:space="preserve">2016-01-22</t>
  </si>
  <si>
    <t xml:space="preserve">2016-02-29</t>
  </si>
  <si>
    <t xml:space="preserve">2016-07-19</t>
  </si>
  <si>
    <t xml:space="preserve">2016-08-15</t>
  </si>
  <si>
    <t xml:space="preserve">2016-11-11</t>
  </si>
  <si>
    <t xml:space="preserve">2016-12-14</t>
  </si>
  <si>
    <t xml:space="preserve">2017-02-22</t>
  </si>
  <si>
    <t xml:space="preserve">2017-05-29</t>
  </si>
  <si>
    <t xml:space="preserve">2017-08-09</t>
  </si>
  <si>
    <t xml:space="preserve">2017-10-23</t>
  </si>
  <si>
    <t xml:space="preserve">2017-12-15</t>
  </si>
  <si>
    <t xml:space="preserve">2018-02-20</t>
  </si>
  <si>
    <t xml:space="preserve">2018-05-28</t>
  </si>
  <si>
    <t xml:space="preserve">2018-08-02</t>
  </si>
  <si>
    <t xml:space="preserve">2018-09-25</t>
  </si>
  <si>
    <t xml:space="preserve">2018-10-26</t>
  </si>
  <si>
    <t xml:space="preserve">2018-11-02</t>
  </si>
  <si>
    <t xml:space="preserve">2019-02-20</t>
  </si>
  <si>
    <t xml:space="preserve">2019-02-21</t>
  </si>
  <si>
    <t xml:space="preserve">2019-06-11</t>
  </si>
  <si>
    <t xml:space="preserve">2019-08-29</t>
  </si>
  <si>
    <t xml:space="preserve">2020-02-06</t>
  </si>
  <si>
    <t xml:space="preserve">2020-09-17</t>
  </si>
  <si>
    <t xml:space="preserve">2020-11-30</t>
  </si>
  <si>
    <t xml:space="preserve">2021-05-24</t>
  </si>
  <si>
    <t xml:space="preserve">2021-07-23</t>
  </si>
  <si>
    <t xml:space="preserve">2021-08-23</t>
  </si>
  <si>
    <t xml:space="preserve">2021-09-13</t>
  </si>
  <si>
    <t xml:space="preserve">2021-12-02</t>
  </si>
  <si>
    <t xml:space="preserve">2022-01-14</t>
  </si>
  <si>
    <t xml:space="preserve">2022-07-19</t>
  </si>
  <si>
    <t xml:space="preserve">2023-03-28</t>
  </si>
  <si>
    <t xml:space="preserve">2023-05-08</t>
  </si>
  <si>
    <t xml:space="preserve">2023-07-26</t>
  </si>
  <si>
    <t xml:space="preserve">2023-09-29</t>
  </si>
  <si>
    <t xml:space="preserve">2023-11-17</t>
  </si>
  <si>
    <t xml:space="preserve">2024-05-27</t>
  </si>
  <si>
    <t xml:space="preserve">2024-05-28</t>
  </si>
  <si>
    <t xml:space="preserve">2024-07-22</t>
  </si>
  <si>
    <t xml:space="preserve">2024-08-07</t>
  </si>
  <si>
    <t xml:space="preserve">2025-01-16</t>
  </si>
  <si>
    <t xml:space="preserve">2025-02-27</t>
  </si>
  <si>
    <t xml:space="preserve">2025-06-06</t>
  </si>
  <si>
    <t xml:space="preserve">2025-08-26</t>
  </si>
  <si>
    <t xml:space="preserve">2025-08-27</t>
  </si>
  <si>
    <t xml:space="preserve">2025-09-01</t>
  </si>
  <si>
    <t xml:space="preserve">2025-09-13</t>
  </si>
  <si>
    <t xml:space="preserve">2025-09-19</t>
  </si>
  <si>
    <t xml:space="preserve">2025-09-28</t>
  </si>
  <si>
    <t xml:space="preserve">2025-09-30</t>
  </si>
  <si>
    <t xml:space="preserve">2025-10-12</t>
  </si>
  <si>
    <t xml:space="preserve">2026-01-19</t>
  </si>
  <si>
    <t xml:space="preserve">2026-01-30</t>
  </si>
  <si>
    <t xml:space="preserve">2026-07-14</t>
  </si>
  <si>
    <t xml:space="preserve">2 Dual Moving Average · NG · fast=20,slow=150</t>
  </si>
  <si>
    <t xml:space="preserve">2020-09-29</t>
  </si>
  <si>
    <t xml:space="preserve">2021-05-19</t>
  </si>
  <si>
    <t xml:space="preserve">2021-06-02</t>
  </si>
  <si>
    <t xml:space="preserve">2021-12-09</t>
  </si>
  <si>
    <t xml:space="preserve">2022-04-01</t>
  </si>
  <si>
    <t xml:space="preserve">2022-10-11</t>
  </si>
  <si>
    <t xml:space="preserve">2023-10-06</t>
  </si>
  <si>
    <t xml:space="preserve">2023-10-09</t>
  </si>
  <si>
    <t xml:space="preserve">2023-11-30</t>
  </si>
  <si>
    <t xml:space="preserve">2024-07-11</t>
  </si>
  <si>
    <t xml:space="preserve">2024-09-13</t>
  </si>
  <si>
    <t xml:space="preserve">2024-11-22</t>
  </si>
  <si>
    <t xml:space="preserve">2024-12-26</t>
  </si>
  <si>
    <t xml:space="preserve">2026-01-17</t>
  </si>
  <si>
    <t xml:space="preserve">2026-01-23</t>
  </si>
  <si>
    <t xml:space="preserve">2026-04-24</t>
  </si>
  <si>
    <t xml:space="preserve">3 Channel Breakout · BR · entry=40,exit_=20</t>
  </si>
  <si>
    <t xml:space="preserve">2012-02-17</t>
  </si>
  <si>
    <t xml:space="preserve">2012-05-05</t>
  </si>
  <si>
    <t xml:space="preserve">2012-05-31</t>
  </si>
  <si>
    <t xml:space="preserve">2012-07-16</t>
  </si>
  <si>
    <t xml:space="preserve">2012-08-06</t>
  </si>
  <si>
    <t xml:space="preserve">2013-01-09</t>
  </si>
  <si>
    <t xml:space="preserve">2013-02-28</t>
  </si>
  <si>
    <t xml:space="preserve">2013-03-13</t>
  </si>
  <si>
    <t xml:space="preserve">2013-10-02</t>
  </si>
  <si>
    <t xml:space="preserve">2013-11-07</t>
  </si>
  <si>
    <t xml:space="preserve">2013-11-22</t>
  </si>
  <si>
    <t xml:space="preserve">2014-03-14</t>
  </si>
  <si>
    <t xml:space="preserve">2014-05-22</t>
  </si>
  <si>
    <t xml:space="preserve">2014-07-14</t>
  </si>
  <si>
    <t xml:space="preserve">2015-04-16</t>
  </si>
  <si>
    <t xml:space="preserve">2015-05-05</t>
  </si>
  <si>
    <t xml:space="preserve">2015-05-28</t>
  </si>
  <si>
    <t xml:space="preserve">2015-06-30</t>
  </si>
  <si>
    <t xml:space="preserve">2015-09-01</t>
  </si>
  <si>
    <t xml:space="preserve">2015-10-27</t>
  </si>
  <si>
    <t xml:space="preserve">2016-03-07</t>
  </si>
  <si>
    <t xml:space="preserve">2016-03-09</t>
  </si>
  <si>
    <t xml:space="preserve">2016-04-11</t>
  </si>
  <si>
    <t xml:space="preserve">2016-06-17</t>
  </si>
  <si>
    <t xml:space="preserve">2016-07-12</t>
  </si>
  <si>
    <t xml:space="preserve">2016-08-16</t>
  </si>
  <si>
    <t xml:space="preserve">2016-09-09</t>
  </si>
  <si>
    <t xml:space="preserve">2016-11-14</t>
  </si>
  <si>
    <t xml:space="preserve">2017-03-03</t>
  </si>
  <si>
    <t xml:space="preserve">2017-04-10</t>
  </si>
  <si>
    <t xml:space="preserve">2017-05-05</t>
  </si>
  <si>
    <t xml:space="preserve">2018-02-06</t>
  </si>
  <si>
    <t xml:space="preserve">2018-04-11</t>
  </si>
  <si>
    <t xml:space="preserve">2018-06-18</t>
  </si>
  <si>
    <t xml:space="preserve">2018-07-04</t>
  </si>
  <si>
    <t xml:space="preserve">2018-08-28</t>
  </si>
  <si>
    <t xml:space="preserve">2019-02-18</t>
  </si>
  <si>
    <t xml:space="preserve">2019-09-10</t>
  </si>
  <si>
    <t xml:space="preserve">2020-01-23</t>
  </si>
  <si>
    <t xml:space="preserve">2020-02-11</t>
  </si>
  <si>
    <t xml:space="preserve">2020-06-23</t>
  </si>
  <si>
    <t xml:space="preserve">2020-11-24</t>
  </si>
  <si>
    <t xml:space="preserve">2021-09-24</t>
  </si>
  <si>
    <t xml:space="preserve">2021-11-22</t>
  </si>
  <si>
    <t xml:space="preserve">2021-12-28</t>
  </si>
  <si>
    <t xml:space="preserve">2022-01-12</t>
  </si>
  <si>
    <t xml:space="preserve">2022-09-26</t>
  </si>
  <si>
    <t xml:space="preserve">2023-04-13</t>
  </si>
  <si>
    <t xml:space="preserve">2023-05-04</t>
  </si>
  <si>
    <t xml:space="preserve">2023-07-12</t>
  </si>
  <si>
    <t xml:space="preserve">2023-10-20</t>
  </si>
  <si>
    <t xml:space="preserve">2024-01-26</t>
  </si>
  <si>
    <t xml:space="preserve">2024-05-31</t>
  </si>
  <si>
    <t xml:space="preserve">2024-07-17</t>
  </si>
  <si>
    <t xml:space="preserve">2024-09-04</t>
  </si>
  <si>
    <t xml:space="preserve">2024-10-08</t>
  </si>
  <si>
    <t xml:space="preserve">2024-10-29</t>
  </si>
  <si>
    <t xml:space="preserve">2025-03-25</t>
  </si>
  <si>
    <t xml:space="preserve">2025-04-07</t>
  </si>
  <si>
    <t xml:space="preserve">2025-10-03</t>
  </si>
  <si>
    <t xml:space="preserve">2025-10-11</t>
  </si>
  <si>
    <t xml:space="preserve">2026-01-09</t>
  </si>
  <si>
    <t xml:space="preserve">2026-01-14</t>
  </si>
  <si>
    <t xml:space="preserve">2026-05-26</t>
  </si>
  <si>
    <t xml:space="preserve">2026-06-10</t>
  </si>
  <si>
    <t xml:space="preserve">2026-07-23</t>
  </si>
  <si>
    <t xml:space="preserve">2026-07-27</t>
  </si>
  <si>
    <t xml:space="preserve">2026-08-11</t>
  </si>
  <si>
    <t xml:space="preserve">3 Channel Breakout · NG · entry=20,exit_=10</t>
  </si>
  <si>
    <t xml:space="preserve">2020-03-19</t>
  </si>
  <si>
    <t xml:space="preserve">2020-04-21</t>
  </si>
  <si>
    <t xml:space="preserve">2020-05-14</t>
  </si>
  <si>
    <t xml:space="preserve">2020-07-07</t>
  </si>
  <si>
    <t xml:space="preserve">2020-10-13</t>
  </si>
  <si>
    <t xml:space="preserve">2020-10-22</t>
  </si>
  <si>
    <t xml:space="preserve">2020-11-05</t>
  </si>
  <si>
    <t xml:space="preserve">2020-12-23</t>
  </si>
  <si>
    <t xml:space="preserve">2021-02-17</t>
  </si>
  <si>
    <t xml:space="preserve">2021-03-10</t>
  </si>
  <si>
    <t xml:space="preserve">2021-04-20</t>
  </si>
  <si>
    <t xml:space="preserve">2021-04-21</t>
  </si>
  <si>
    <t xml:space="preserve">2021-09-20</t>
  </si>
  <si>
    <t xml:space="preserve">2021-10-19</t>
  </si>
  <si>
    <t xml:space="preserve">2021-11-10</t>
  </si>
  <si>
    <t xml:space="preserve">2022-01-11</t>
  </si>
  <si>
    <t xml:space="preserve">2022-02-10</t>
  </si>
  <si>
    <t xml:space="preserve">2022-06-21</t>
  </si>
  <si>
    <t xml:space="preserve">2022-07-15</t>
  </si>
  <si>
    <t xml:space="preserve">2022-07-21</t>
  </si>
  <si>
    <t xml:space="preserve">2022-09-19</t>
  </si>
  <si>
    <t xml:space="preserve">2022-12-06</t>
  </si>
  <si>
    <t xml:space="preserve">2023-05-19</t>
  </si>
  <si>
    <t xml:space="preserve">2023-05-30</t>
  </si>
  <si>
    <t xml:space="preserve">2023-06-02</t>
  </si>
  <si>
    <t xml:space="preserve">2023-06-16</t>
  </si>
  <si>
    <t xml:space="preserve">2023-06-26</t>
  </si>
  <si>
    <t xml:space="preserve">2023-08-03</t>
  </si>
  <si>
    <t xml:space="preserve">2023-08-09</t>
  </si>
  <si>
    <t xml:space="preserve">2023-08-24</t>
  </si>
  <si>
    <t xml:space="preserve">2023-09-20</t>
  </si>
  <si>
    <t xml:space="preserve">2023-10-23</t>
  </si>
  <si>
    <t xml:space="preserve">2023-11-21</t>
  </si>
  <si>
    <t xml:space="preserve">2023-12-29</t>
  </si>
  <si>
    <t xml:space="preserve">2024-02-13</t>
  </si>
  <si>
    <t xml:space="preserve">2024-05-07</t>
  </si>
  <si>
    <t xml:space="preserve">2024-05-14</t>
  </si>
  <si>
    <t xml:space="preserve">2024-05-23</t>
  </si>
  <si>
    <t xml:space="preserve">2024-07-01</t>
  </si>
  <si>
    <t xml:space="preserve">2024-07-02</t>
  </si>
  <si>
    <t xml:space="preserve">2024-09-23</t>
  </si>
  <si>
    <t xml:space="preserve">2024-09-30</t>
  </si>
  <si>
    <t xml:space="preserve">2024-10-10</t>
  </si>
  <si>
    <t xml:space="preserve">2024-10-21</t>
  </si>
  <si>
    <t xml:space="preserve">2025-01-31</t>
  </si>
  <si>
    <t xml:space="preserve">2025-02-12</t>
  </si>
  <si>
    <t xml:space="preserve">2025-02-19</t>
  </si>
  <si>
    <t xml:space="preserve">2025-03-26</t>
  </si>
  <si>
    <t xml:space="preserve">2025-06-03</t>
  </si>
  <si>
    <t xml:space="preserve">2025-06-18</t>
  </si>
  <si>
    <t xml:space="preserve">2025-06-26</t>
  </si>
  <si>
    <t xml:space="preserve">2025-07-01</t>
  </si>
  <si>
    <t xml:space="preserve">2025-09-04</t>
  </si>
  <si>
    <t xml:space="preserve">2025-10-15</t>
  </si>
  <si>
    <t xml:space="preserve">2025-11-01</t>
  </si>
  <si>
    <t xml:space="preserve">2025-12-12</t>
  </si>
  <si>
    <t xml:space="preserve">2025-12-13</t>
  </si>
  <si>
    <t xml:space="preserve">2026-01-21</t>
  </si>
  <si>
    <t xml:space="preserve">2026-02-10</t>
  </si>
  <si>
    <t xml:space="preserve">2026-02-25</t>
  </si>
  <si>
    <t xml:space="preserve">2026-03-02</t>
  </si>
  <si>
    <t xml:space="preserve">2026-03-31</t>
  </si>
  <si>
    <t xml:space="preserve">2026-05-05</t>
  </si>
  <si>
    <t xml:space="preserve">2026-05-16</t>
  </si>
  <si>
    <t xml:space="preserve">2026-09-24</t>
  </si>
  <si>
    <t xml:space="preserve">4 Cross-sectional momentum · NG · lookback=120</t>
  </si>
  <si>
    <t xml:space="preserve">2020-07-30</t>
  </si>
  <si>
    <t xml:space="preserve">2020-09-15</t>
  </si>
  <si>
    <t xml:space="preserve">2021-07-08</t>
  </si>
  <si>
    <t xml:space="preserve">2021-07-26</t>
  </si>
  <si>
    <t xml:space="preserve">2021-07-27</t>
  </si>
  <si>
    <t xml:space="preserve">2021-07-28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</si>
  <si>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</si>
  <si>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</si>
  <si>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</si>
  <si>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</si>
  <si>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</si>
  <si>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2021-08-13</t>
  </si>
  <si>
    <t xml:space="preserve">2021-12-07</t>
  </si>
  <si>
    <t xml:space="preserve">2022-05-06</t>
  </si>
  <si>
    <t xml:space="preserve">2022-05-13</t>
  </si>
  <si>
    <t xml:space="preserve">2022-05-16</t>
  </si>
  <si>
    <t xml:space="preserve">2022-05-19</t>
  </si>
  <si>
    <t xml:space="preserve">2022-05-20</t>
  </si>
  <si>
    <t xml:space="preserve">2022-05-23</t>
  </si>
  <si>
    <t xml:space="preserve">2022-05-27</t>
  </si>
  <si>
    <t xml:space="preserve">2022-06-28</t>
  </si>
  <si>
    <t xml:space="preserve">2022-07-14</t>
  </si>
  <si>
    <t xml:space="preserve">2022-07-26</t>
  </si>
  <si>
    <t xml:space="preserve">2022-10-04</t>
  </si>
  <si>
    <t xml:space="preserve">2022-12-01</t>
  </si>
  <si>
    <t xml:space="preserve">2022-12-02</t>
  </si>
  <si>
    <t xml:space="preserve">2022-12-09</t>
  </si>
  <si>
    <t xml:space="preserve">2022-12-23</t>
  </si>
  <si>
    <t xml:space="preserve">2023-01-24</t>
  </si>
  <si>
    <t xml:space="preserve">2023-08-15</t>
  </si>
  <si>
    <t xml:space="preserve">2023-08-17</t>
  </si>
  <si>
    <t xml:space="preserve">2023-09-19</t>
  </si>
  <si>
    <t xml:space="preserve">2023-10-17</t>
  </si>
  <si>
    <t xml:space="preserve">2023-10-25</t>
  </si>
  <si>
    <t xml:space="preserve">2023-10-26</t>
  </si>
  <si>
    <t xml:space="preserve">2023-10-27</t>
  </si>
  <si>
    <t xml:space="preserve">2023-11-06</t>
  </si>
  <si>
    <t xml:space="preserve">2023-11-07</t>
  </si>
  <si>
    <t xml:space="preserve">2023-11-22</t>
  </si>
  <si>
    <t xml:space="preserve">2023-11-23</t>
  </si>
  <si>
    <t xml:space="preserve">2023-11-24</t>
  </si>
  <si>
    <t xml:space="preserve">2024-01-16</t>
  </si>
  <si>
    <t xml:space="preserve">2024-09-18</t>
  </si>
  <si>
    <t xml:space="preserve">2024-09-19</t>
  </si>
  <si>
    <t xml:space="preserve">2024-10-23</t>
  </si>
  <si>
    <t xml:space="preserve">2024-10-25</t>
  </si>
  <si>
    <t xml:space="preserve">2024-11-19</t>
  </si>
  <si>
    <t xml:space="preserve">2024-12-13</t>
  </si>
  <si>
    <t xml:space="preserve">2024-12-17</t>
  </si>
  <si>
    <t xml:space="preserve">2025-11-25</t>
  </si>
  <si>
    <t xml:space="preserve">2025-11-27</t>
  </si>
  <si>
    <t xml:space="preserve">2025-11-28</t>
  </si>
  <si>
    <t xml:space="preserve">2025-12-03</t>
  </si>
  <si>
    <t xml:space="preserve">2026-03-18</t>
  </si>
  <si>
    <t xml:space="preserve">2026-03-19</t>
  </si>
  <si>
    <t xml:space="preserve">2026-08-05</t>
  </si>
  <si>
    <t xml:space="preserve">2026-08-08</t>
  </si>
  <si>
    <t xml:space="preserve">2026-08-12</t>
  </si>
  <si>
    <t xml:space="preserve">2026-08-30</t>
  </si>
  <si>
    <t xml:space="preserve">2026-09-10</t>
  </si>
  <si>
    <t xml:space="preserve">4 Cross-sectional momentum · BR · lookback=120</t>
  </si>
  <si>
    <t xml:space="preserve">2020-08-26</t>
  </si>
  <si>
    <t xml:space="preserve">2024-08-08</t>
  </si>
  <si>
    <t xml:space="preserve">2024-08-27</t>
  </si>
  <si>
    <t xml:space="preserve">2024-10-09</t>
  </si>
  <si>
    <t xml:space="preserve">2026-01-29</t>
  </si>
  <si>
    <t xml:space="preserve">2026-02-20</t>
  </si>
  <si>
    <t xml:space="preserve">2026-03-27</t>
  </si>
  <si>
    <t xml:space="preserve">5 Carry / term structure · BR · smooth=1,threshold=0.15</t>
  </si>
  <si>
    <t xml:space="preserve">2012-03-20</t>
  </si>
  <si>
    <t xml:space="preserve">2012-06-19</t>
  </si>
  <si>
    <t xml:space="preserve">2012-08-21</t>
  </si>
  <si>
    <t xml:space="preserve">2012-09-18</t>
  </si>
  <si>
    <t xml:space="preserve">2012-10-19</t>
  </si>
  <si>
    <t xml:space="preserve">2013-06-18</t>
  </si>
  <si>
    <t xml:space="preserve">2013-07-19</t>
  </si>
  <si>
    <t xml:space="preserve">2013-11-14</t>
  </si>
  <si>
    <t xml:space="preserve">2013-12-19</t>
  </si>
  <si>
    <t xml:space="preserve">2014-01-21</t>
  </si>
  <si>
    <t xml:space="preserve">2014-03-19</t>
  </si>
  <si>
    <t xml:space="preserve">2014-04-18</t>
  </si>
  <si>
    <t xml:space="preserve">2014-07-21</t>
  </si>
  <si>
    <t xml:space="preserve">2014-08-05</t>
  </si>
  <si>
    <t xml:space="preserve">2014-08-19</t>
  </si>
  <si>
    <t xml:space="preserve">2014-09-18</t>
  </si>
  <si>
    <t xml:space="preserve">2014-10-24</t>
  </si>
  <si>
    <t xml:space="preserve">2015-05-19</t>
  </si>
  <si>
    <t xml:space="preserve">2015-07-21</t>
  </si>
  <si>
    <t xml:space="preserve">2015-09-18</t>
  </si>
  <si>
    <t xml:space="preserve">2015-12-21</t>
  </si>
  <si>
    <t xml:space="preserve">2016-01-19</t>
  </si>
  <si>
    <t xml:space="preserve">2016-03-03</t>
  </si>
  <si>
    <t xml:space="preserve">2016-04-05</t>
  </si>
  <si>
    <t xml:space="preserve">2016-04-06</t>
  </si>
  <si>
    <t xml:space="preserve">2016-05-06</t>
  </si>
  <si>
    <t xml:space="preserve">2016-07-05</t>
  </si>
  <si>
    <t xml:space="preserve">2016-08-03</t>
  </si>
  <si>
    <t xml:space="preserve">2016-09-05</t>
  </si>
  <si>
    <t xml:space="preserve">2016-10-05</t>
  </si>
  <si>
    <t xml:space="preserve">2016-10-06</t>
  </si>
  <si>
    <t xml:space="preserve">2016-11-03</t>
  </si>
  <si>
    <t xml:space="preserve">2016-12-05</t>
  </si>
  <si>
    <t xml:space="preserve">2017-02-03</t>
  </si>
  <si>
    <t xml:space="preserve">2017-04-05</t>
  </si>
  <si>
    <t xml:space="preserve">2017-05-04</t>
  </si>
  <si>
    <t xml:space="preserve">2017-05-10</t>
  </si>
  <si>
    <t xml:space="preserve">2017-05-26</t>
  </si>
  <si>
    <t xml:space="preserve">2017-06-05</t>
  </si>
  <si>
    <t xml:space="preserve">2017-07-05</t>
  </si>
  <si>
    <t xml:space="preserve">2017-08-03</t>
  </si>
  <si>
    <t xml:space="preserve">2017-09-05</t>
  </si>
  <si>
    <t xml:space="preserve">2017-10-04</t>
  </si>
  <si>
    <t xml:space="preserve">2017-12-05</t>
  </si>
  <si>
    <t xml:space="preserve">2018-03-05</t>
  </si>
  <si>
    <t xml:space="preserve">2018-05-23</t>
  </si>
  <si>
    <t xml:space="preserve">2018-06-05</t>
  </si>
  <si>
    <t xml:space="preserve">2018-10-03</t>
  </si>
  <si>
    <t xml:space="preserve">2018-11-06</t>
  </si>
  <si>
    <t xml:space="preserve">2018-11-27</t>
  </si>
  <si>
    <t xml:space="preserve">2018-12-05</t>
  </si>
  <si>
    <t xml:space="preserve">2019-03-05</t>
  </si>
  <si>
    <t xml:space="preserve">2019-04-03</t>
  </si>
  <si>
    <t xml:space="preserve">2019-05-06</t>
  </si>
  <si>
    <t xml:space="preserve">2019-06-21</t>
  </si>
  <si>
    <t xml:space="preserve">2019-08-30</t>
  </si>
  <si>
    <t xml:space="preserve">2019-11-06</t>
  </si>
  <si>
    <t xml:space="preserve">2019-12-04</t>
  </si>
  <si>
    <t xml:space="preserve">2019-12-05</t>
  </si>
  <si>
    <t xml:space="preserve">2020-03-04</t>
  </si>
  <si>
    <t xml:space="preserve">2020-09-02</t>
  </si>
  <si>
    <t xml:space="preserve">2020-12-03</t>
  </si>
  <si>
    <t xml:space="preserve">2021-03-03</t>
  </si>
  <si>
    <t xml:space="preserve">2021-04-05</t>
  </si>
  <si>
    <t xml:space="preserve">2021-05-05</t>
  </si>
  <si>
    <t xml:space="preserve">2021-12-03</t>
  </si>
  <si>
    <t xml:space="preserve">2022-01-05</t>
  </si>
  <si>
    <t xml:space="preserve">2022-06-03</t>
  </si>
  <si>
    <t xml:space="preserve">2022-09-05</t>
  </si>
  <si>
    <t xml:space="preserve">2022-10-05</t>
  </si>
  <si>
    <t xml:space="preserve">2022-12-05</t>
  </si>
  <si>
    <t xml:space="preserve">2023-05-05</t>
  </si>
  <si>
    <t xml:space="preserve">2023-06-05</t>
  </si>
  <si>
    <t xml:space="preserve">2023-06-06</t>
  </si>
  <si>
    <t xml:space="preserve">2023-07-05</t>
  </si>
  <si>
    <t xml:space="preserve">2023-09-05</t>
  </si>
  <si>
    <t xml:space="preserve">2023-10-04</t>
  </si>
  <si>
    <t xml:space="preserve">2024-03-05</t>
  </si>
  <si>
    <t xml:space="preserve">2024-05-06</t>
  </si>
  <si>
    <t xml:space="preserve">2024-10-03</t>
  </si>
  <si>
    <t xml:space="preserve">2024-11-05</t>
  </si>
  <si>
    <t xml:space="preserve">2025-02-05</t>
  </si>
  <si>
    <t xml:space="preserve">2025-02-06</t>
  </si>
  <si>
    <t xml:space="preserve">2025-04-03</t>
  </si>
  <si>
    <t xml:space="preserve">2025-07-03</t>
  </si>
  <si>
    <t xml:space="preserve">2025-08-05</t>
  </si>
  <si>
    <t xml:space="preserve">2025-09-03</t>
  </si>
  <si>
    <t xml:space="preserve">2025-11-06</t>
  </si>
  <si>
    <t xml:space="preserve">2026-02-04</t>
  </si>
  <si>
    <t xml:space="preserve">2026-03-04</t>
  </si>
  <si>
    <t xml:space="preserve">2026-04-03</t>
  </si>
  <si>
    <t xml:space="preserve">2026-05-06</t>
  </si>
  <si>
    <t xml:space="preserve">2026-06-03</t>
  </si>
  <si>
    <t xml:space="preserve">2026-07-03</t>
  </si>
  <si>
    <t xml:space="preserve">2026-09-02</t>
  </si>
  <si>
    <t xml:space="preserve">5 Carry / term structure · NG · smooth=1,threshold=0.15</t>
  </si>
  <si>
    <t xml:space="preserve">2020-04-01</t>
  </si>
  <si>
    <t xml:space="preserve">2021-01-29</t>
  </si>
  <si>
    <t xml:space="preserve">2021-02-26</t>
  </si>
  <si>
    <t xml:space="preserve">2021-03-31</t>
  </si>
  <si>
    <t xml:space="preserve">2021-08-31</t>
  </si>
  <si>
    <t xml:space="preserve">2022-01-31</t>
  </si>
  <si>
    <t xml:space="preserve">2022-03-31</t>
  </si>
  <si>
    <t xml:space="preserve">2022-04-29</t>
  </si>
  <si>
    <t xml:space="preserve">2022-05-31</t>
  </si>
  <si>
    <t xml:space="preserve">2022-06-30</t>
  </si>
  <si>
    <t xml:space="preserve">2022-07-01</t>
  </si>
  <si>
    <t xml:space="preserve">2022-07-29</t>
  </si>
  <si>
    <t xml:space="preserve">2022-09-30</t>
  </si>
  <si>
    <t xml:space="preserve">2022-12-30</t>
  </si>
  <si>
    <t xml:space="preserve">2023-01-31</t>
  </si>
  <si>
    <t xml:space="preserve">2023-06-30</t>
  </si>
  <si>
    <t xml:space="preserve">2023-07-03</t>
  </si>
  <si>
    <t xml:space="preserve">2023-08-11</t>
  </si>
  <si>
    <t xml:space="preserve">2023-08-31</t>
  </si>
  <si>
    <t xml:space="preserve">2023-09-01</t>
  </si>
  <si>
    <t xml:space="preserve">2024-02-29</t>
  </si>
  <si>
    <t xml:space="preserve">2024-06-28</t>
  </si>
  <si>
    <t xml:space="preserve">2024-07-31</t>
  </si>
  <si>
    <t xml:space="preserve">2024-12-30</t>
  </si>
  <si>
    <t xml:space="preserve">2025-03-31</t>
  </si>
  <si>
    <t xml:space="preserve">2026-01-05</t>
  </si>
  <si>
    <t xml:space="preserve">2026-03-29</t>
  </si>
  <si>
    <t xml:space="preserve">2026-06-28</t>
  </si>
  <si>
    <t xml:space="preserve">2026-07-31</t>
  </si>
  <si>
    <t xml:space="preserve">2026-09-22</t>
  </si>
  <si>
    <t xml:space="preserve">2026-09-30</t>
  </si>
  <si>
    <t xml:space="preserve">6 MA + portfolio · NG · fast=20,slow=100</t>
  </si>
  <si>
    <t xml:space="preserve">2020-08-18</t>
  </si>
  <si>
    <t xml:space="preserve">2020-10-01</t>
  </si>
  <si>
    <t xml:space="preserve">2020-11-06</t>
  </si>
  <si>
    <t xml:space="preserve">2021-05-11</t>
  </si>
  <si>
    <t xml:space="preserve">2022-03-18</t>
  </si>
  <si>
    <t xml:space="preserve">2022-10-03</t>
  </si>
  <si>
    <t xml:space="preserve">2023-11-28</t>
  </si>
  <si>
    <t xml:space="preserve">2024-06-04</t>
  </si>
  <si>
    <t xml:space="preserve">2024-12-09</t>
  </si>
  <si>
    <t xml:space="preserve">2025-04-28</t>
  </si>
  <si>
    <t xml:space="preserve">2025-11-09</t>
  </si>
  <si>
    <t xml:space="preserve">2026-01-25</t>
  </si>
  <si>
    <t xml:space="preserve">2026-04-13</t>
  </si>
  <si>
    <t xml:space="preserve">2026-06-29</t>
  </si>
  <si>
    <t xml:space="preserve">2026-07-19</t>
  </si>
  <si>
    <t xml:space="preserve">2026-07-20</t>
  </si>
  <si>
    <t xml:space="preserve">6 MA + portfolio · BR · fast=20,slow=100</t>
  </si>
  <si>
    <t xml:space="preserve">2020-07-20</t>
  </si>
  <si>
    <t xml:space="preserve">2020-12-04</t>
  </si>
  <si>
    <t xml:space="preserve">2021-12-15</t>
  </si>
  <si>
    <t xml:space="preserve">2022-01-06</t>
  </si>
  <si>
    <t xml:space="preserve">2022-12-28</t>
  </si>
  <si>
    <t xml:space="preserve">2024-02-06</t>
  </si>
  <si>
    <t xml:space="preserve">2025-01-17</t>
  </si>
  <si>
    <t xml:space="preserve">2025-03-06</t>
  </si>
  <si>
    <t xml:space="preserve">2025-07-08</t>
  </si>
  <si>
    <t xml:space="preserve">2026-06-08</t>
  </si>
  <si>
    <t xml:space="preserve">2026-08-20</t>
  </si>
  <si>
    <t xml:space="preserve">7 Momentum + reversal · BR · momentum=60,reversal=750</t>
  </si>
  <si>
    <t xml:space="preserve">2012-03-16</t>
  </si>
  <si>
    <t xml:space="preserve">2012-11-02</t>
  </si>
  <si>
    <t xml:space="preserve">2012-11-08</t>
  </si>
  <si>
    <t xml:space="preserve">2012-11-20</t>
  </si>
  <si>
    <t xml:space="preserve">2012-11-27</t>
  </si>
  <si>
    <t xml:space="preserve">2012-11-30</t>
  </si>
  <si>
    <t xml:space="preserve">2012-12-03</t>
  </si>
  <si>
    <t xml:space="preserve">2012-12-05</t>
  </si>
  <si>
    <t xml:space="preserve">2012-12-14</t>
  </si>
  <si>
    <t xml:space="preserve">2013-01-17</t>
  </si>
  <si>
    <t xml:space="preserve">2013-01-18</t>
  </si>
  <si>
    <t xml:space="preserve">2013-03-21</t>
  </si>
  <si>
    <t xml:space="preserve">2013-03-27</t>
  </si>
  <si>
    <t xml:space="preserve">2013-04-01</t>
  </si>
  <si>
    <t xml:space="preserve">2013-07-10</t>
  </si>
  <si>
    <t xml:space="preserve">2013-11-08</t>
  </si>
  <si>
    <t xml:space="preserve">2013-11-11</t>
  </si>
  <si>
    <t xml:space="preserve">2013-11-26</t>
  </si>
  <si>
    <t xml:space="preserve">2013-11-27</t>
  </si>
  <si>
    <t xml:space="preserve">2013-12-03</t>
  </si>
  <si>
    <t xml:space="preserve">2014-01-14</t>
  </si>
  <si>
    <t xml:space="preserve">2014-01-16</t>
  </si>
  <si>
    <t xml:space="preserve">2014-01-17</t>
  </si>
  <si>
    <t xml:space="preserve">2014-01-20</t>
  </si>
  <si>
    <t xml:space="preserve">2014-01-23</t>
  </si>
  <si>
    <t xml:space="preserve">2014-03-05</t>
  </si>
  <si>
    <t xml:space="preserve">2014-03-12</t>
  </si>
  <si>
    <t xml:space="preserve">2014-03-17</t>
  </si>
  <si>
    <t xml:space="preserve">2014-04-04</t>
  </si>
  <si>
    <t xml:space="preserve">2014-07-11</t>
  </si>
  <si>
    <t xml:space="preserve">2014-12-12</t>
  </si>
  <si>
    <t xml:space="preserve">2015-05-20</t>
  </si>
  <si>
    <t xml:space="preserve">2015-05-21</t>
  </si>
  <si>
    <t xml:space="preserve">2015-05-27</t>
  </si>
  <si>
    <t xml:space="preserve">2015-06-04</t>
  </si>
  <si>
    <t xml:space="preserve">2015-06-08</t>
  </si>
  <si>
    <t xml:space="preserve">2015-06-26</t>
  </si>
  <si>
    <t xml:space="preserve">2015-07-06</t>
  </si>
  <si>
    <t xml:space="preserve">2016-07-26</t>
  </si>
  <si>
    <t xml:space="preserve">2016-08-17</t>
  </si>
  <si>
    <t xml:space="preserve">2016-09-08</t>
  </si>
  <si>
    <t xml:space="preserve">2016-09-12</t>
  </si>
  <si>
    <t xml:space="preserve">2016-09-29</t>
  </si>
  <si>
    <t xml:space="preserve">2016-11-08</t>
  </si>
  <si>
    <t xml:space="preserve">2016-11-24</t>
  </si>
  <si>
    <t xml:space="preserve">2016-11-30</t>
  </si>
  <si>
    <t xml:space="preserve">2017-01-05</t>
  </si>
  <si>
    <t xml:space="preserve">2017-01-06</t>
  </si>
  <si>
    <t xml:space="preserve">2017-01-10</t>
  </si>
  <si>
    <t xml:space="preserve">2017-01-16</t>
  </si>
  <si>
    <t xml:space="preserve">2017-01-17</t>
  </si>
  <si>
    <t xml:space="preserve">2017-01-19</t>
  </si>
  <si>
    <t xml:space="preserve">2017-01-20</t>
  </si>
  <si>
    <t xml:space="preserve">2017-03-01</t>
  </si>
  <si>
    <t xml:space="preserve">2017-03-06</t>
  </si>
  <si>
    <t xml:space="preserve">2017-03-07</t>
  </si>
  <si>
    <t xml:space="preserve">2017-08-01</t>
  </si>
  <si>
    <t xml:space="preserve">2017-08-10</t>
  </si>
  <si>
    <t xml:space="preserve">2017-08-11</t>
  </si>
  <si>
    <t xml:space="preserve">2017-08-21</t>
  </si>
  <si>
    <t xml:space="preserve">2017-08-22</t>
  </si>
  <si>
    <t xml:space="preserve">2017-08-24</t>
  </si>
  <si>
    <t xml:space="preserve">2018-01-03</t>
  </si>
  <si>
    <t xml:space="preserve">2018-01-29</t>
  </si>
  <si>
    <t xml:space="preserve">2018-01-30</t>
  </si>
  <si>
    <t xml:space="preserve">2018-02-19</t>
  </si>
  <si>
    <t xml:space="preserve">2018-03-06</t>
  </si>
  <si>
    <t xml:space="preserve">2018-03-12</t>
  </si>
  <si>
    <t xml:space="preserve">2018-03-13</t>
  </si>
  <si>
    <t xml:space="preserve">2018-03-14</t>
  </si>
  <si>
    <t xml:space="preserve">2018-03-16</t>
  </si>
  <si>
    <t xml:space="preserve">2018-03-19</t>
  </si>
  <si>
    <t xml:space="preserve">2018-03-21</t>
  </si>
  <si>
    <t xml:space="preserve">2018-04-09</t>
  </si>
  <si>
    <t xml:space="preserve">2018-04-10</t>
  </si>
  <si>
    <t xml:space="preserve">2018-10-31</t>
  </si>
  <si>
    <t xml:space="preserve">2018-11-01</t>
  </si>
  <si>
    <t xml:space="preserve">2019-03-06</t>
  </si>
  <si>
    <t xml:space="preserve">2019-06-03</t>
  </si>
  <si>
    <t xml:space="preserve">2019-06-05</t>
  </si>
  <si>
    <t xml:space="preserve">2019-06-06</t>
  </si>
  <si>
    <t xml:space="preserve">2019-06-07</t>
  </si>
  <si>
    <t xml:space="preserve">2019-06-14</t>
  </si>
  <si>
    <t xml:space="preserve">2019-06-20</t>
  </si>
  <si>
    <t xml:space="preserve">2019-07-09</t>
  </si>
  <si>
    <t xml:space="preserve">2019-07-10</t>
  </si>
  <si>
    <t xml:space="preserve">2019-07-17</t>
  </si>
  <si>
    <t xml:space="preserve">2019-08-02</t>
  </si>
  <si>
    <t xml:space="preserve">2019-08-06</t>
  </si>
  <si>
    <t xml:space="preserve">2019-08-26</t>
  </si>
  <si>
    <t xml:space="preserve">2019-10-03</t>
  </si>
  <si>
    <t xml:space="preserve">2019-10-09</t>
  </si>
  <si>
    <t xml:space="preserve">2019-12-11</t>
  </si>
  <si>
    <t xml:space="preserve">2019-12-12</t>
  </si>
  <si>
    <t xml:space="preserve">2020-01-30</t>
  </si>
  <si>
    <t xml:space="preserve">2020-02-03</t>
  </si>
  <si>
    <t xml:space="preserve">2020-02-07</t>
  </si>
  <si>
    <t xml:space="preserve">2020-02-26</t>
  </si>
  <si>
    <t xml:space="preserve">2020-03-12</t>
  </si>
  <si>
    <t xml:space="preserve">2020-06-11</t>
  </si>
  <si>
    <t xml:space="preserve">2020-06-15</t>
  </si>
  <si>
    <t xml:space="preserve">2020-07-06</t>
  </si>
  <si>
    <t xml:space="preserve">2020-09-08</t>
  </si>
  <si>
    <t xml:space="preserve">2021-08-20</t>
  </si>
  <si>
    <t xml:space="preserve">2021-10-27</t>
  </si>
  <si>
    <t xml:space="preserve">2021-10-28</t>
  </si>
  <si>
    <t xml:space="preserve">2021-10-29</t>
  </si>
  <si>
    <t xml:space="preserve">2021-12-10</t>
  </si>
  <si>
    <t xml:space="preserve">2021-12-13</t>
  </si>
  <si>
    <t xml:space="preserve">2021-12-17</t>
  </si>
  <si>
    <t xml:space="preserve">2021-12-29</t>
  </si>
  <si>
    <t xml:space="preserve">2022-08-17</t>
  </si>
  <si>
    <t xml:space="preserve">2022-08-19</t>
  </si>
  <si>
    <t xml:space="preserve">2022-08-22</t>
  </si>
  <si>
    <t xml:space="preserve">2022-10-07</t>
  </si>
  <si>
    <t xml:space="preserve">2024-01-30</t>
  </si>
  <si>
    <t xml:space="preserve">2024-01-31</t>
  </si>
  <si>
    <t xml:space="preserve">2024-07-24</t>
  </si>
  <si>
    <t xml:space="preserve">2024-07-26</t>
  </si>
  <si>
    <t xml:space="preserve">2024-07-29</t>
  </si>
  <si>
    <t xml:space="preserve">2024-08-02</t>
  </si>
  <si>
    <t xml:space="preserve">2024-08-26</t>
  </si>
  <si>
    <t xml:space="preserve">2024-09-02</t>
  </si>
  <si>
    <t xml:space="preserve">2024-10-22</t>
  </si>
  <si>
    <t xml:space="preserve">2024-10-30</t>
  </si>
  <si>
    <t xml:space="preserve">2024-10-31</t>
  </si>
  <si>
    <t xml:space="preserve">2024-12-27</t>
  </si>
  <si>
    <t xml:space="preserve">2025-01-14</t>
  </si>
  <si>
    <t xml:space="preserve">2025-01-15</t>
  </si>
  <si>
    <t xml:space="preserve">2025-02-03</t>
  </si>
  <si>
    <t xml:space="preserve">2025-03-03</t>
  </si>
  <si>
    <t xml:space="preserve">2025-03-05</t>
  </si>
  <si>
    <t xml:space="preserve">2025-03-21</t>
  </si>
  <si>
    <t xml:space="preserve">2025-06-10</t>
  </si>
  <si>
    <t xml:space="preserve">2025-07-02</t>
  </si>
  <si>
    <t xml:space="preserve">2025-08-31</t>
  </si>
  <si>
    <t xml:space="preserve">2025-09-07</t>
  </si>
  <si>
    <t xml:space="preserve">2025-09-22</t>
  </si>
  <si>
    <t xml:space="preserve">2025-11-11</t>
  </si>
  <si>
    <t xml:space="preserve">2025-11-13</t>
  </si>
  <si>
    <t xml:space="preserve">2025-12-27</t>
  </si>
  <si>
    <t xml:space="preserve">2025-12-28</t>
  </si>
  <si>
    <t xml:space="preserve">2025-12-29</t>
  </si>
  <si>
    <t xml:space="preserve">2026-08-14</t>
  </si>
  <si>
    <t xml:space="preserve">2026-08-17</t>
  </si>
  <si>
    <t xml:space="preserve">7 Momentum + reversal · NG · momentum=60,reversal=500</t>
  </si>
  <si>
    <t xml:space="preserve">2020-04-30</t>
  </si>
  <si>
    <t xml:space="preserve">2020-05-12</t>
  </si>
  <si>
    <t xml:space="preserve">2020-08-07</t>
  </si>
  <si>
    <t xml:space="preserve">2020-09-23</t>
  </si>
  <si>
    <t xml:space="preserve">2020-09-30</t>
  </si>
  <si>
    <t xml:space="preserve">2020-10-07</t>
  </si>
  <si>
    <t xml:space="preserve">2020-10-09</t>
  </si>
  <si>
    <t xml:space="preserve">2020-10-19</t>
  </si>
  <si>
    <t xml:space="preserve">2020-10-20</t>
  </si>
  <si>
    <t xml:space="preserve">2020-10-28</t>
  </si>
  <si>
    <t xml:space="preserve">2021-02-19</t>
  </si>
  <si>
    <t xml:space="preserve">2021-03-04</t>
  </si>
  <si>
    <t xml:space="preserve">2021-03-12</t>
  </si>
  <si>
    <t xml:space="preserve">2021-03-30</t>
  </si>
  <si>
    <t xml:space="preserve">2021-04-01</t>
  </si>
  <si>
    <t xml:space="preserve">2021-04-14</t>
  </si>
  <si>
    <t xml:space="preserve">2021-04-15</t>
  </si>
  <si>
    <t xml:space="preserve">2021-05-10</t>
  </si>
  <si>
    <t xml:space="preserve">2021-06-01</t>
  </si>
  <si>
    <t xml:space="preserve">2021-11-30</t>
  </si>
  <si>
    <t xml:space="preserve">2022-01-25</t>
  </si>
  <si>
    <t xml:space="preserve">2022-02-01</t>
  </si>
  <si>
    <t xml:space="preserve">2022-02-04</t>
  </si>
  <si>
    <t xml:space="preserve">2022-02-07</t>
  </si>
  <si>
    <t xml:space="preserve">2022-02-24</t>
  </si>
  <si>
    <t xml:space="preserve">2022-03-14</t>
  </si>
  <si>
    <t xml:space="preserve">2022-03-15</t>
  </si>
  <si>
    <t xml:space="preserve">2022-03-17</t>
  </si>
  <si>
    <t xml:space="preserve">2022-03-22</t>
  </si>
  <si>
    <t xml:space="preserve">2022-07-04</t>
  </si>
  <si>
    <t xml:space="preserve">2022-07-12</t>
  </si>
  <si>
    <t xml:space="preserve">2022-08-03</t>
  </si>
  <si>
    <t xml:space="preserve">2022-08-04</t>
  </si>
  <si>
    <t xml:space="preserve">2022-10-10</t>
  </si>
  <si>
    <t xml:space="preserve">2023-01-19</t>
  </si>
  <si>
    <t xml:space="preserve">2023-09-11</t>
  </si>
  <si>
    <t xml:space="preserve">2023-09-13</t>
  </si>
  <si>
    <t xml:space="preserve">2023-09-18</t>
  </si>
  <si>
    <t xml:space="preserve">2023-09-21</t>
  </si>
  <si>
    <t xml:space="preserve">2023-10-02</t>
  </si>
  <si>
    <t xml:space="preserve">2023-10-03</t>
  </si>
  <si>
    <t xml:space="preserve">2023-10-18</t>
  </si>
  <si>
    <t xml:space="preserve">2023-10-19</t>
  </si>
  <si>
    <t xml:space="preserve">2023-11-02</t>
  </si>
  <si>
    <t xml:space="preserve">2023-11-03</t>
  </si>
  <si>
    <t xml:space="preserve">2024-05-16</t>
  </si>
  <si>
    <t xml:space="preserve">2024-07-18</t>
  </si>
  <si>
    <t xml:space="preserve">2024-10-01</t>
  </si>
  <si>
    <t xml:space="preserve">2024-10-02</t>
  </si>
  <si>
    <t xml:space="preserve">2024-10-07</t>
  </si>
  <si>
    <t xml:space="preserve">2024-10-15</t>
  </si>
  <si>
    <t xml:space="preserve">2024-12-06</t>
  </si>
  <si>
    <t xml:space="preserve">2024-12-20</t>
  </si>
  <si>
    <t xml:space="preserve">2024-12-28</t>
  </si>
  <si>
    <t xml:space="preserve">2025-03-20</t>
  </si>
  <si>
    <t xml:space="preserve">2025-04-02</t>
  </si>
  <si>
    <t xml:space="preserve">2025-04-09</t>
  </si>
  <si>
    <t xml:space="preserve">2025-04-11</t>
  </si>
  <si>
    <t xml:space="preserve">2025-04-14</t>
  </si>
  <si>
    <t xml:space="preserve">2025-04-15</t>
  </si>
  <si>
    <t xml:space="preserve">2025-10-08</t>
  </si>
  <si>
    <t xml:space="preserve">2025-10-09</t>
  </si>
  <si>
    <t xml:space="preserve">2026-01-08</t>
  </si>
  <si>
    <t xml:space="preserve">2026-03-11</t>
  </si>
  <si>
    <t xml:space="preserve">2026-04-14</t>
  </si>
  <si>
    <t xml:space="preserve">2026-04-17</t>
  </si>
  <si>
    <t xml:space="preserve">2026-06-05</t>
  </si>
  <si>
    <t xml:space="preserve">2026-06-06</t>
  </si>
  <si>
    <t xml:space="preserve">2026-06-11</t>
  </si>
  <si>
    <t xml:space="preserve">2026-06-15</t>
  </si>
  <si>
    <t xml:space="preserve">2026-06-16</t>
  </si>
  <si>
    <t xml:space="preserve">2026-06-18</t>
  </si>
  <si>
    <t xml:space="preserve">2026-06-19</t>
  </si>
  <si>
    <t xml:space="preserve">2026-07-11</t>
  </si>
  <si>
    <t xml:space="preserve">2026-07-12</t>
  </si>
  <si>
    <t xml:space="preserve">2026-07-13</t>
  </si>
  <si>
    <t xml:space="preserve">2026-07-28</t>
  </si>
  <si>
    <t xml:space="preserve">2026-08-04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</si>
</sst>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0"/>
    <numFmt numFmtId="167" formatCode="0.0%"/>
    <numFmt numFmtId="168" formatCode="0.00000;[RED]\-0.00000;0"/>
    <numFmt numFmtId="169" formatCode="#,##0.00;[RED]\-#,##0.00;0.00"/>
    <numFmt numFmtId="170" formatCode="#,##0.00"/>
    <numFmt numFmtId="171" formatCode="0.0000"/>
    <numFmt numFmtId="172" formatCode="#,##0.00;[RED]\-#,##0.00;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2514E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1C5CAB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6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5B3A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8E6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B3AB"/>
      <rgbColor rgb="FF808080"/>
      <rgbColor rgb="FF9999FF"/>
      <rgbColor rgb="FF993366"/>
      <rgbColor rgb="FFE8E6E1"/>
      <rgbColor rgb="FFCCFFFF"/>
      <rgbColor rgb="FF660066"/>
      <rgbColor rgb="FFFF8080"/>
      <rgbColor rgb="FF1C5CA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oints_full.xlsx" TargetMode="External"/><Relationship Id="rId2" Type="http://schemas.openxmlformats.org/officeDocument/2006/relationships/hyperlink" Target="points_full.xlsx" TargetMode="External"/><Relationship Id="rId3" Type="http://schemas.openxmlformats.org/officeDocument/2006/relationships/hyperlink" Target="points_full.xlsx" TargetMode="External"/><Relationship Id="rId4" Type="http://schemas.openxmlformats.org/officeDocument/2006/relationships/hyperlink" Target="points_full.xlsx" TargetMode="External"/><Relationship Id="rId5" Type="http://schemas.openxmlformats.org/officeDocument/2006/relationships/hyperlink" Target="points_full.xlsx" TargetMode="External"/><Relationship Id="rId6" Type="http://schemas.openxmlformats.org/officeDocument/2006/relationships/hyperlink" Target="points_full.xlsx" TargetMode="External"/><Relationship Id="rId7" Type="http://schemas.openxmlformats.org/officeDocument/2006/relationships/hyperlink" Target="points_full.xlsx" TargetMode="External"/><Relationship Id="rId8" Type="http://schemas.openxmlformats.org/officeDocument/2006/relationships/hyperlink" Target="points_full.xlsx" TargetMode="External"/><Relationship Id="rId9" Type="http://schemas.openxmlformats.org/officeDocument/2006/relationships/hyperlink" Target="points_full.xlsx" TargetMode="External"/><Relationship Id="rId10" Type="http://schemas.openxmlformats.org/officeDocument/2006/relationships/hyperlink" Target="points_full.xlsx" TargetMode="External"/><Relationship Id="rId11" Type="http://schemas.openxmlformats.org/officeDocument/2006/relationships/hyperlink" Target="points_full.xlsx" TargetMode="External"/><Relationship Id="rId12" Type="http://schemas.openxmlformats.org/officeDocument/2006/relationships/hyperlink" Target="points_full.xlsx" TargetMode="External"/><Relationship Id="rId13" Type="http://schemas.openxmlformats.org/officeDocument/2006/relationships/hyperlink" Target="points_full.xlsx" TargetMode="External"/><Relationship Id="rId14" Type="http://schemas.openxmlformats.org/officeDocument/2006/relationships/hyperlink" Target="points_full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46"/>
    <col collapsed="false" customWidth="true" hidden="false" outlineLevel="0" max="5" min="5" style="0" width="9"/>
    <col collapsed="false" customWidth="true" hidden="false" outlineLevel="0" max="8" min="6" style="0" width="11"/>
    <col collapsed="false" customWidth="true" hidden="false" outlineLevel="0" max="10" min="9" style="0" width="14"/>
    <col collapsed="false" customWidth="true" hidden="false" outlineLevel="0" max="13" min="11" style="0" width="12"/>
    <col collapsed="false" customWidth="true" hidden="false" outlineLevel="0" max="16" min="14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7" customFormat="false" ht="43.5" hidden="false" customHeight="true" outlineLevel="0" collapsed="false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  <c r="P7" s="3" t="s">
        <v>20</v>
      </c>
    </row>
    <row r="8" customFormat="false" ht="15" hidden="false" customHeight="false" outlineLevel="0" collapsed="false">
      <c r="A8" s="4" t="s">
        <v>21</v>
      </c>
      <c r="B8" s="5" t="s">
        <v>22</v>
      </c>
      <c r="C8" s="5" t="s">
        <v>23</v>
      </c>
      <c r="D8" s="5" t="s">
        <v>24</v>
      </c>
      <c r="E8" s="6" t="n">
        <f aca="false">COUNTIFS(7F_1_TSMOM_BR!$C$6:$C$354,"&lt;&gt;")</f>
        <v>348</v>
      </c>
      <c r="F8" s="6" t="n">
        <f aca="false">COUNTIFS(7F_1_TSMOM_BR!$J$6:$J$354,"&gt;0",7F_1_TSMOM_BR!$C$6:$C$354,"&lt;&gt;")</f>
        <v>170</v>
      </c>
      <c r="G8" s="6" t="n">
        <f aca="false">COUNTIFS(7F_1_TSMOM_BR!$J$6:$J$354,"&lt;0",7F_1_TSMOM_BR!$C$6:$C$354,"&lt;&gt;")</f>
        <v>178</v>
      </c>
      <c r="H8" s="7" t="n">
        <f aca="false">IF(E8&gt;0,F8/E8,0)</f>
        <v>0.488505747126437</v>
      </c>
      <c r="I8" s="8" t="n">
        <f aca="false">IFERROR(AVERAGEIFS(7F_1_TSMOM_BR!$J$6:$J$354,7F_1_TSMOM_BR!$J$6:$J$354,"&gt;0",7F_1_TSMOM_BR!$C$6:$C$354,"&lt;&gt;"),0)</f>
        <v>7.70089035294118</v>
      </c>
      <c r="J8" s="8" t="n">
        <f aca="false">IFERROR(AVERAGEIFS(7F_1_TSMOM_BR!$J$6:$J$354,7F_1_TSMOM_BR!$J$6:$J$354,"&lt;0",7F_1_TSMOM_BR!$C$6:$C$354,"&lt;&gt;"),0)</f>
        <v>-1.94544269662921</v>
      </c>
      <c r="K8" s="8" t="n">
        <f aca="false">_xlfn.MAXIFS(7F_1_TSMOM_BR!$J$6:$J$354,7F_1_TSMOM_BR!$C$6:$C$354,"&lt;&gt;")</f>
        <v>47.59889</v>
      </c>
      <c r="L8" s="8" t="n">
        <f aca="false">_xlfn.MINIFS(7F_1_TSMOM_BR!$J$6:$J$354,7F_1_TSMOM_BR!$C$6:$C$354,"&lt;&gt;")</f>
        <v>-12.5317</v>
      </c>
      <c r="M8" s="6" t="n">
        <f aca="false">MAX(7F_1_TSMOM_BR!$L$6:$L$354)</f>
        <v>11</v>
      </c>
      <c r="N8" s="9" t="n">
        <f aca="false">SUMIFS(7F_1_TSMOM_BR!$N$6:$N$354,7F_1_TSMOM_BR!$B$6:$B$354,"IS")</f>
        <v>1223471.48</v>
      </c>
      <c r="O8" s="9" t="n">
        <f aca="false">SUMIFS(7F_1_TSMOM_BR!$N$6:$N$354,7F_1_TSMOM_BR!$B$6:$B$354,"OOS")</f>
        <v>390031.04</v>
      </c>
      <c r="P8" s="9" t="n">
        <f aca="false">SUM(7F_1_TSMOM_BR!$N$6:$N$354)</f>
        <v>1613502.52</v>
      </c>
    </row>
    <row r="9" customFormat="false" ht="15" hidden="false" customHeight="false" outlineLevel="0" collapsed="false">
      <c r="A9" s="4" t="s">
        <v>25</v>
      </c>
      <c r="B9" s="5" t="s">
        <v>22</v>
      </c>
      <c r="C9" s="5" t="s">
        <v>26</v>
      </c>
      <c r="D9" s="5" t="s">
        <v>27</v>
      </c>
      <c r="E9" s="6" t="n">
        <f aca="false">COUNTIFS(7F_1_TSMOM_NG!$C$6:$C$137,"&lt;&gt;")</f>
        <v>131</v>
      </c>
      <c r="F9" s="6" t="n">
        <f aca="false">COUNTIFS(7F_1_TSMOM_NG!$J$6:$J$137,"&gt;0",7F_1_TSMOM_NG!$C$6:$C$137,"&lt;&gt;")</f>
        <v>61</v>
      </c>
      <c r="G9" s="6" t="n">
        <f aca="false">COUNTIFS(7F_1_TSMOM_NG!$J$6:$J$137,"&lt;0",7F_1_TSMOM_NG!$C$6:$C$137,"&lt;&gt;")</f>
        <v>70</v>
      </c>
      <c r="H9" s="7" t="n">
        <f aca="false">IF(E9&gt;0,F9/E9,0)</f>
        <v>0.465648854961832</v>
      </c>
      <c r="I9" s="8" t="n">
        <f aca="false">IFERROR(AVERAGEIFS(7F_1_TSMOM_NG!$J$6:$J$137,7F_1_TSMOM_NG!$J$6:$J$137,"&gt;0",7F_1_TSMOM_NG!$C$6:$C$137,"&lt;&gt;"),0)</f>
        <v>0.713833442622951</v>
      </c>
      <c r="J9" s="8" t="n">
        <f aca="false">IFERROR(AVERAGEIFS(7F_1_TSMOM_NG!$J$6:$J$137,7F_1_TSMOM_NG!$J$6:$J$137,"&lt;0",7F_1_TSMOM_NG!$C$6:$C$137,"&lt;&gt;"),0)</f>
        <v>-0.208448714285714</v>
      </c>
      <c r="K9" s="8" t="n">
        <f aca="false">_xlfn.MAXIFS(7F_1_TSMOM_NG!$J$6:$J$137,7F_1_TSMOM_NG!$C$6:$C$137,"&lt;&gt;")</f>
        <v>2.8299</v>
      </c>
      <c r="L9" s="8" t="n">
        <f aca="false">_xlfn.MINIFS(7F_1_TSMOM_NG!$J$6:$J$137,7F_1_TSMOM_NG!$C$6:$C$137,"&lt;&gt;")</f>
        <v>-1.20222</v>
      </c>
      <c r="M9" s="6" t="n">
        <f aca="false">MAX(7F_1_TSMOM_NG!$L$6:$L$137)</f>
        <v>6</v>
      </c>
      <c r="N9" s="9" t="n">
        <f aca="false">SUMIFS(7F_1_TSMOM_NG!$N$6:$N$137,7F_1_TSMOM_NG!$B$6:$B$137,"IS")</f>
        <v>333381.58</v>
      </c>
      <c r="O9" s="9" t="n">
        <f aca="false">SUMIFS(7F_1_TSMOM_NG!$N$6:$N$137,7F_1_TSMOM_NG!$B$6:$B$137,"OOS")</f>
        <v>-233357.73</v>
      </c>
      <c r="P9" s="9" t="n">
        <f aca="false">SUM(7F_1_TSMOM_NG!$N$6:$N$137)</f>
        <v>120534.28</v>
      </c>
    </row>
    <row r="10" customFormat="false" ht="15" hidden="false" customHeight="false" outlineLevel="0" collapsed="false">
      <c r="A10" s="4" t="s">
        <v>28</v>
      </c>
      <c r="B10" s="5" t="s">
        <v>29</v>
      </c>
      <c r="C10" s="5" t="s">
        <v>23</v>
      </c>
      <c r="D10" s="5" t="s">
        <v>30</v>
      </c>
      <c r="E10" s="6" t="n">
        <f aca="false">COUNTIFS(7F_2_DualMA_BR!$C$6:$C$181,"&lt;&gt;")</f>
        <v>175</v>
      </c>
      <c r="F10" s="6" t="n">
        <f aca="false">COUNTIFS(7F_2_DualMA_BR!$J$6:$J$181,"&gt;0",7F_2_DualMA_BR!$C$6:$C$181,"&lt;&gt;")</f>
        <v>111</v>
      </c>
      <c r="G10" s="6" t="n">
        <f aca="false">COUNTIFS(7F_2_DualMA_BR!$J$6:$J$181,"&lt;0",7F_2_DualMA_BR!$C$6:$C$181,"&lt;&gt;")</f>
        <v>64</v>
      </c>
      <c r="H10" s="7" t="n">
        <f aca="false">IF(E10&gt;0,F10/E10,0)</f>
        <v>0.634285714285714</v>
      </c>
      <c r="I10" s="8" t="n">
        <f aca="false">IFERROR(AVERAGEIFS(7F_2_DualMA_BR!$J$6:$J$181,7F_2_DualMA_BR!$J$6:$J$181,"&gt;0",7F_2_DualMA_BR!$C$6:$C$181,"&lt;&gt;"),0)</f>
        <v>11.2331406306306</v>
      </c>
      <c r="J10" s="8" t="n">
        <f aca="false">IFERROR(AVERAGEIFS(7F_2_DualMA_BR!$J$6:$J$181,7F_2_DualMA_BR!$J$6:$J$181,"&lt;0",7F_2_DualMA_BR!$C$6:$C$181,"&lt;&gt;"),0)</f>
        <v>-3.32199296875</v>
      </c>
      <c r="K10" s="8" t="n">
        <f aca="false">_xlfn.MAXIFS(7F_2_DualMA_BR!$J$6:$J$181,7F_2_DualMA_BR!$C$6:$C$181,"&lt;&gt;")</f>
        <v>45.61922</v>
      </c>
      <c r="L10" s="8" t="n">
        <f aca="false">_xlfn.MINIFS(7F_2_DualMA_BR!$J$6:$J$181,7F_2_DualMA_BR!$C$6:$C$181,"&lt;&gt;")</f>
        <v>-12.06012</v>
      </c>
      <c r="M10" s="6" t="n">
        <f aca="false">MAX(7F_2_DualMA_BR!$L$6:$L$181)</f>
        <v>8</v>
      </c>
      <c r="N10" s="9" t="n">
        <f aca="false">SUMIFS(7F_2_DualMA_BR!$N$6:$N$181,7F_2_DualMA_BR!$B$6:$B$181,"IS")</f>
        <v>1349836.61</v>
      </c>
      <c r="O10" s="9" t="n">
        <f aca="false">SUMIFS(7F_2_DualMA_BR!$N$6:$N$181,7F_2_DualMA_BR!$B$6:$B$181,"OOS")</f>
        <v>786049.82</v>
      </c>
      <c r="P10" s="9" t="n">
        <f aca="false">SUM(7F_2_DualMA_BR!$N$6:$N$181)</f>
        <v>2135886.43</v>
      </c>
    </row>
    <row r="11" customFormat="false" ht="15" hidden="false" customHeight="false" outlineLevel="0" collapsed="false">
      <c r="A11" s="4" t="s">
        <v>31</v>
      </c>
      <c r="B11" s="5" t="s">
        <v>29</v>
      </c>
      <c r="C11" s="5" t="s">
        <v>26</v>
      </c>
      <c r="D11" s="5" t="s">
        <v>32</v>
      </c>
      <c r="E11" s="6" t="n">
        <f aca="false">COUNTIFS(7F_2_DualMA_NG!$C$6:$C$72,"&lt;&gt;")</f>
        <v>66</v>
      </c>
      <c r="F11" s="6" t="n">
        <f aca="false">COUNTIFS(7F_2_DualMA_NG!$J$6:$J$72,"&gt;0",7F_2_DualMA_NG!$C$6:$C$72,"&lt;&gt;")</f>
        <v>40</v>
      </c>
      <c r="G11" s="6" t="n">
        <f aca="false">COUNTIFS(7F_2_DualMA_NG!$J$6:$J$72,"&lt;0",7F_2_DualMA_NG!$C$6:$C$72,"&lt;&gt;")</f>
        <v>26</v>
      </c>
      <c r="H11" s="7" t="n">
        <f aca="false">IF(E11&gt;0,F11/E11,0)</f>
        <v>0.606060606060606</v>
      </c>
      <c r="I11" s="8" t="n">
        <f aca="false">IFERROR(AVERAGEIFS(7F_2_DualMA_NG!$J$6:$J$72,7F_2_DualMA_NG!$J$6:$J$72,"&gt;0",7F_2_DualMA_NG!$C$6:$C$72,"&lt;&gt;"),0)</f>
        <v>0.822588</v>
      </c>
      <c r="J11" s="8" t="n">
        <f aca="false">IFERROR(AVERAGEIFS(7F_2_DualMA_NG!$J$6:$J$72,7F_2_DualMA_NG!$J$6:$J$72,"&lt;0",7F_2_DualMA_NG!$C$6:$C$72,"&lt;&gt;"),0)</f>
        <v>-0.582149230769231</v>
      </c>
      <c r="K11" s="8" t="n">
        <f aca="false">_xlfn.MAXIFS(7F_2_DualMA_NG!$J$6:$J$72,7F_2_DualMA_NG!$C$6:$C$72,"&lt;&gt;")</f>
        <v>2.61319</v>
      </c>
      <c r="L11" s="8" t="n">
        <f aca="false">_xlfn.MINIFS(7F_2_DualMA_NG!$J$6:$J$72,7F_2_DualMA_NG!$C$6:$C$72,"&lt;&gt;")</f>
        <v>-2.24522</v>
      </c>
      <c r="M11" s="6" t="n">
        <f aca="false">MAX(7F_2_DualMA_NG!$L$6:$L$72)</f>
        <v>5</v>
      </c>
      <c r="N11" s="9" t="n">
        <f aca="false">SUMIFS(7F_2_DualMA_NG!$N$6:$N$72,7F_2_DualMA_NG!$B$6:$B$72,"IS")</f>
        <v>272984.55</v>
      </c>
      <c r="O11" s="9" t="n">
        <f aca="false">SUMIFS(7F_2_DualMA_NG!$N$6:$N$72,7F_2_DualMA_NG!$B$6:$B$72,"OOS")</f>
        <v>-206357.08</v>
      </c>
      <c r="P11" s="9" t="n">
        <f aca="false">SUM(7F_2_DualMA_NG!$N$6:$N$72)</f>
        <v>85324.65</v>
      </c>
    </row>
    <row r="12" customFormat="false" ht="15" hidden="false" customHeight="false" outlineLevel="0" collapsed="false">
      <c r="A12" s="4" t="s">
        <v>33</v>
      </c>
      <c r="B12" s="5" t="s">
        <v>34</v>
      </c>
      <c r="C12" s="5" t="s">
        <v>23</v>
      </c>
      <c r="D12" s="5" t="s">
        <v>35</v>
      </c>
      <c r="E12" s="6" t="n">
        <f aca="false">COUNTIFS(7F_3_Breakout_BR!$C$6:$C$136,"&lt;&gt;")</f>
        <v>130</v>
      </c>
      <c r="F12" s="6" t="n">
        <f aca="false">COUNTIFS(7F_3_Breakout_BR!$J$6:$J$136,"&gt;0",7F_3_Breakout_BR!$C$6:$C$136,"&lt;&gt;")</f>
        <v>92</v>
      </c>
      <c r="G12" s="6" t="n">
        <f aca="false">COUNTIFS(7F_3_Breakout_BR!$J$6:$J$136,"&lt;0",7F_3_Breakout_BR!$C$6:$C$136,"&lt;&gt;")</f>
        <v>38</v>
      </c>
      <c r="H12" s="7" t="n">
        <f aca="false">IF(E12&gt;0,F12/E12,0)</f>
        <v>0.707692307692308</v>
      </c>
      <c r="I12" s="8" t="n">
        <f aca="false">IFERROR(AVERAGEIFS(7F_3_Breakout_BR!$J$6:$J$136,7F_3_Breakout_BR!$J$6:$J$136,"&gt;0",7F_3_Breakout_BR!$C$6:$C$136,"&lt;&gt;"),0)</f>
        <v>11.2865407608696</v>
      </c>
      <c r="J12" s="8" t="n">
        <f aca="false">IFERROR(AVERAGEIFS(7F_3_Breakout_BR!$J$6:$J$136,7F_3_Breakout_BR!$J$6:$J$136,"&lt;0",7F_3_Breakout_BR!$C$6:$C$136,"&lt;&gt;"),0)</f>
        <v>-3.17305184210526</v>
      </c>
      <c r="K12" s="8" t="n">
        <f aca="false">_xlfn.MAXIFS(7F_3_Breakout_BR!$J$6:$J$136,7F_3_Breakout_BR!$C$6:$C$136,"&lt;&gt;")</f>
        <v>45.53858</v>
      </c>
      <c r="L12" s="8" t="n">
        <f aca="false">_xlfn.MINIFS(7F_3_Breakout_BR!$J$6:$J$136,7F_3_Breakout_BR!$C$6:$C$136,"&lt;&gt;")</f>
        <v>-7.74989</v>
      </c>
      <c r="M12" s="6" t="n">
        <f aca="false">MAX(7F_3_Breakout_BR!$L$6:$L$136)</f>
        <v>7</v>
      </c>
      <c r="N12" s="9" t="n">
        <f aca="false">SUMIFS(7F_3_Breakout_BR!$N$6:$N$136,7F_3_Breakout_BR!$B$6:$B$136,"IS")</f>
        <v>1516085.11</v>
      </c>
      <c r="O12" s="9" t="n">
        <f aca="false">SUMIFS(7F_3_Breakout_BR!$N$6:$N$136,7F_3_Breakout_BR!$B$6:$B$136,"OOS")</f>
        <v>740143.9</v>
      </c>
      <c r="P12" s="9" t="n">
        <f aca="false">SUM(7F_3_Breakout_BR!$N$6:$N$136)</f>
        <v>2256229.01</v>
      </c>
    </row>
    <row r="13" customFormat="false" ht="15" hidden="false" customHeight="false" outlineLevel="0" collapsed="false">
      <c r="A13" s="4" t="s">
        <v>36</v>
      </c>
      <c r="B13" s="5" t="s">
        <v>34</v>
      </c>
      <c r="C13" s="5" t="s">
        <v>26</v>
      </c>
      <c r="D13" s="5" t="s">
        <v>37</v>
      </c>
      <c r="E13" s="6" t="n">
        <f aca="false">COUNTIFS(7F_3_Breakout_NG!$C$6:$C$85,"&lt;&gt;")</f>
        <v>79</v>
      </c>
      <c r="F13" s="6" t="n">
        <f aca="false">COUNTIFS(7F_3_Breakout_NG!$J$6:$J$85,"&gt;0",7F_3_Breakout_NG!$C$6:$C$85,"&lt;&gt;")</f>
        <v>51</v>
      </c>
      <c r="G13" s="6" t="n">
        <f aca="false">COUNTIFS(7F_3_Breakout_NG!$J$6:$J$85,"&lt;0",7F_3_Breakout_NG!$C$6:$C$85,"&lt;&gt;")</f>
        <v>28</v>
      </c>
      <c r="H13" s="7" t="n">
        <f aca="false">IF(E13&gt;0,F13/E13,0)</f>
        <v>0.645569620253165</v>
      </c>
      <c r="I13" s="8" t="n">
        <f aca="false">IFERROR(AVERAGEIFS(7F_3_Breakout_NG!$J$6:$J$85,7F_3_Breakout_NG!$J$6:$J$85,"&gt;0",7F_3_Breakout_NG!$C$6:$C$85,"&lt;&gt;"),0)</f>
        <v>0.571576078431373</v>
      </c>
      <c r="J13" s="8" t="n">
        <f aca="false">IFERROR(AVERAGEIFS(7F_3_Breakout_NG!$J$6:$J$85,7F_3_Breakout_NG!$J$6:$J$85,"&lt;0",7F_3_Breakout_NG!$C$6:$C$85,"&lt;&gt;"),0)</f>
        <v>-0.380495714285714</v>
      </c>
      <c r="K13" s="8" t="n">
        <f aca="false">_xlfn.MAXIFS(7F_3_Breakout_NG!$J$6:$J$85,7F_3_Breakout_NG!$C$6:$C$85,"&lt;&gt;")</f>
        <v>2.26116</v>
      </c>
      <c r="L13" s="8" t="n">
        <f aca="false">_xlfn.MINIFS(7F_3_Breakout_NG!$J$6:$J$85,7F_3_Breakout_NG!$C$6:$C$85,"&lt;&gt;")</f>
        <v>-1.56395</v>
      </c>
      <c r="M13" s="6" t="n">
        <f aca="false">MAX(7F_3_Breakout_NG!$L$6:$L$85)</f>
        <v>6</v>
      </c>
      <c r="N13" s="9" t="n">
        <f aca="false">SUMIFS(7F_3_Breakout_NG!$N$6:$N$85,7F_3_Breakout_NG!$B$6:$B$85,"IS")</f>
        <v>299619.97</v>
      </c>
      <c r="O13" s="9" t="n">
        <f aca="false">SUMIFS(7F_3_Breakout_NG!$N$6:$N$85,7F_3_Breakout_NG!$B$6:$B$85,"OOS")</f>
        <v>8216.15999999999</v>
      </c>
      <c r="P13" s="9" t="n">
        <f aca="false">SUM(7F_3_Breakout_NG!$N$6:$N$85)</f>
        <v>350122.64</v>
      </c>
    </row>
    <row r="14" customFormat="false" ht="15" hidden="false" customHeight="false" outlineLevel="0" collapsed="false">
      <c r="A14" s="4" t="s">
        <v>38</v>
      </c>
      <c r="B14" s="5" t="s">
        <v>39</v>
      </c>
      <c r="C14" s="5" t="s">
        <v>26</v>
      </c>
      <c r="D14" s="5" t="s">
        <v>40</v>
      </c>
      <c r="E14" s="6" t="n">
        <f aca="false">COUNTIFS(7F_4_CrossSect_NGBR_NG!$C$6:$C$136,"&lt;&gt;")</f>
        <v>130</v>
      </c>
      <c r="F14" s="6" t="n">
        <f aca="false">COUNTIFS(7F_4_CrossSect_NGBR_NG!$J$6:$J$136,"&gt;0",7F_4_CrossSect_NGBR_NG!$C$6:$C$136,"&lt;&gt;")</f>
        <v>66</v>
      </c>
      <c r="G14" s="6" t="n">
        <f aca="false">COUNTIFS(7F_4_CrossSect_NGBR_NG!$J$6:$J$136,"&lt;0",7F_4_CrossSect_NGBR_NG!$C$6:$C$136,"&lt;&gt;")</f>
        <v>64</v>
      </c>
      <c r="H14" s="7" t="n">
        <f aca="false">IF(E14&gt;0,F14/E14,0)</f>
        <v>0.507692307692308</v>
      </c>
      <c r="I14" s="8" t="n">
        <f aca="false">IFERROR(AVERAGEIFS(7F_4_CrossSect_NGBR_NG!$J$6:$J$136,7F_4_CrossSect_NGBR_NG!$J$6:$J$136,"&gt;0",7F_4_CrossSect_NGBR_NG!$C$6:$C$136,"&lt;&gt;"),0)</f>
        <v>0.461981212121212</v>
      </c>
      <c r="J14" s="8" t="n">
        <f aca="false">IFERROR(AVERAGEIFS(7F_4_CrossSect_NGBR_NG!$J$6:$J$136,7F_4_CrossSect_NGBR_NG!$J$6:$J$136,"&lt;0",7F_4_CrossSect_NGBR_NG!$C$6:$C$136,"&lt;&gt;"),0)</f>
        <v>-0.493905</v>
      </c>
      <c r="K14" s="8" t="n">
        <f aca="false">_xlfn.MAXIFS(7F_4_CrossSect_NGBR_NG!$J$6:$J$136,7F_4_CrossSect_NGBR_NG!$C$6:$C$136,"&lt;&gt;")</f>
        <v>2.8299</v>
      </c>
      <c r="L14" s="8" t="n">
        <f aca="false">_xlfn.MINIFS(7F_4_CrossSect_NGBR_NG!$J$6:$J$136,7F_4_CrossSect_NGBR_NG!$C$6:$C$136,"&lt;&gt;")</f>
        <v>-3.31334</v>
      </c>
      <c r="M14" s="6" t="n">
        <f aca="false">MAX(7F_4_CrossSect_NGBR_NG!$L$6:$L$136)</f>
        <v>11</v>
      </c>
      <c r="N14" s="9" t="n">
        <f aca="false">SUMIFS(7F_4_CrossSect_NGBR_NG!$N$6:$N$136,7F_4_CrossSect_NGBR_NG!$B$6:$B$136,"IS")</f>
        <v>-134244.17</v>
      </c>
      <c r="O14" s="9" t="n">
        <f aca="false">SUMIFS(7F_4_CrossSect_NGBR_NG!$N$6:$N$136,7F_4_CrossSect_NGBR_NG!$B$6:$B$136,"OOS")</f>
        <v>-44966.03</v>
      </c>
      <c r="P14" s="9" t="n">
        <f aca="false">SUM(7F_4_CrossSect_NGBR_NG!$N$6:$N$136)</f>
        <v>-166966.92</v>
      </c>
    </row>
    <row r="15" customFormat="false" ht="15" hidden="false" customHeight="false" outlineLevel="0" collapsed="false">
      <c r="A15" s="4" t="s">
        <v>41</v>
      </c>
      <c r="B15" s="5" t="s">
        <v>39</v>
      </c>
      <c r="C15" s="5" t="s">
        <v>23</v>
      </c>
      <c r="D15" s="5" t="s">
        <v>40</v>
      </c>
      <c r="E15" s="6" t="n">
        <f aca="false">COUNTIFS(7F_4_CrossSect_NGBR_BR!$C$6:$C$125,"&lt;&gt;")</f>
        <v>119</v>
      </c>
      <c r="F15" s="6" t="n">
        <f aca="false">COUNTIFS(7F_4_CrossSect_NGBR_BR!$J$6:$J$125,"&gt;0",7F_4_CrossSect_NGBR_BR!$C$6:$C$125,"&lt;&gt;")</f>
        <v>48</v>
      </c>
      <c r="G15" s="6" t="n">
        <f aca="false">COUNTIFS(7F_4_CrossSect_NGBR_BR!$J$6:$J$125,"&lt;0",7F_4_CrossSect_NGBR_BR!$C$6:$C$125,"&lt;&gt;")</f>
        <v>71</v>
      </c>
      <c r="H15" s="7" t="n">
        <f aca="false">IF(E15&gt;0,F15/E15,0)</f>
        <v>0.403361344537815</v>
      </c>
      <c r="I15" s="8" t="n">
        <f aca="false">IFERROR(AVERAGEIFS(7F_4_CrossSect_NGBR_BR!$J$6:$J$125,7F_4_CrossSect_NGBR_BR!$J$6:$J$125,"&gt;0",7F_4_CrossSect_NGBR_BR!$C$6:$C$125,"&lt;&gt;"),0)</f>
        <v>7.93277458333333</v>
      </c>
      <c r="J15" s="8" t="n">
        <f aca="false">IFERROR(AVERAGEIFS(7F_4_CrossSect_NGBR_BR!$J$6:$J$125,7F_4_CrossSect_NGBR_BR!$J$6:$J$125,"&lt;0",7F_4_CrossSect_NGBR_BR!$C$6:$C$125,"&lt;&gt;"),0)</f>
        <v>-5.00481267605634</v>
      </c>
      <c r="K15" s="8" t="n">
        <f aca="false">_xlfn.MAXIFS(7F_4_CrossSect_NGBR_BR!$J$6:$J$125,7F_4_CrossSect_NGBR_BR!$C$6:$C$125,"&lt;&gt;")</f>
        <v>48.61281</v>
      </c>
      <c r="L15" s="8" t="n">
        <f aca="false">_xlfn.MINIFS(7F_4_CrossSect_NGBR_BR!$J$6:$J$125,7F_4_CrossSect_NGBR_BR!$C$6:$C$125,"&lt;&gt;")</f>
        <v>-39.47487</v>
      </c>
      <c r="M15" s="6" t="n">
        <f aca="false">MAX(7F_4_CrossSect_NGBR_BR!$L$6:$L$125)</f>
        <v>8</v>
      </c>
      <c r="N15" s="9" t="n">
        <f aca="false">SUMIFS(7F_4_CrossSect_NGBR_BR!$N$6:$N$125,7F_4_CrossSect_NGBR_BR!$B$6:$B$125,"IS")</f>
        <v>206599.16</v>
      </c>
      <c r="O15" s="9" t="n">
        <f aca="false">SUMIFS(7F_4_CrossSect_NGBR_BR!$N$6:$N$125,7F_4_CrossSect_NGBR_BR!$B$6:$B$125,"OOS")</f>
        <v>-257405.04</v>
      </c>
      <c r="P15" s="9" t="n">
        <f aca="false">SUM(7F_4_CrossSect_NGBR_BR!$N$6:$N$125)</f>
        <v>-50805.88</v>
      </c>
    </row>
    <row r="16" customFormat="false" ht="15" hidden="false" customHeight="false" outlineLevel="0" collapsed="false">
      <c r="A16" s="4" t="s">
        <v>42</v>
      </c>
      <c r="B16" s="5" t="s">
        <v>43</v>
      </c>
      <c r="C16" s="5" t="s">
        <v>23</v>
      </c>
      <c r="D16" s="5" t="s">
        <v>44</v>
      </c>
      <c r="E16" s="6" t="n">
        <f aca="false">COUNTIFS(7F_5_Carry_BR!$C$6:$C$140,"&lt;&gt;")</f>
        <v>135</v>
      </c>
      <c r="F16" s="6" t="n">
        <f aca="false">COUNTIFS(7F_5_Carry_BR!$J$6:$J$140,"&gt;0",7F_5_Carry_BR!$C$6:$C$140,"&lt;&gt;")</f>
        <v>77</v>
      </c>
      <c r="G16" s="6" t="n">
        <f aca="false">COUNTIFS(7F_5_Carry_BR!$J$6:$J$140,"&lt;0",7F_5_Carry_BR!$C$6:$C$140,"&lt;&gt;")</f>
        <v>58</v>
      </c>
      <c r="H16" s="7" t="n">
        <f aca="false">IF(E16&gt;0,F16/E16,0)</f>
        <v>0.57037037037037</v>
      </c>
      <c r="I16" s="8" t="n">
        <f aca="false">IFERROR(AVERAGEIFS(7F_5_Carry_BR!$J$6:$J$140,7F_5_Carry_BR!$J$6:$J$140,"&gt;0",7F_5_Carry_BR!$C$6:$C$140,"&lt;&gt;"),0)</f>
        <v>9.06434337662338</v>
      </c>
      <c r="J16" s="8" t="n">
        <f aca="false">IFERROR(AVERAGEIFS(7F_5_Carry_BR!$J$6:$J$140,7F_5_Carry_BR!$J$6:$J$140,"&lt;0",7F_5_Carry_BR!$C$6:$C$140,"&lt;&gt;"),0)</f>
        <v>-5.50353120689655</v>
      </c>
      <c r="K16" s="8" t="n">
        <f aca="false">_xlfn.MAXIFS(7F_5_Carry_BR!$J$6:$J$140,7F_5_Carry_BR!$C$6:$C$140,"&lt;&gt;")</f>
        <v>39.76593</v>
      </c>
      <c r="L16" s="8" t="n">
        <f aca="false">_xlfn.MINIFS(7F_5_Carry_BR!$J$6:$J$140,7F_5_Carry_BR!$C$6:$C$140,"&lt;&gt;")</f>
        <v>-33.12239</v>
      </c>
      <c r="M16" s="6" t="n">
        <f aca="false">MAX(7F_5_Carry_BR!$L$6:$L$140)</f>
        <v>7</v>
      </c>
      <c r="N16" s="9" t="n">
        <f aca="false">SUMIFS(7F_5_Carry_BR!$N$6:$N$140,7F_5_Carry_BR!$B$6:$B$140,"IS")</f>
        <v>1158861.26</v>
      </c>
      <c r="O16" s="9" t="n">
        <f aca="false">SUMIFS(7F_5_Carry_BR!$N$6:$N$140,7F_5_Carry_BR!$B$6:$B$140,"OOS")</f>
        <v>413586.52</v>
      </c>
      <c r="P16" s="9" t="n">
        <f aca="false">SUM(7F_5_Carry_BR!$N$6:$N$140)</f>
        <v>1572447.78</v>
      </c>
    </row>
    <row r="17" customFormat="false" ht="15" hidden="false" customHeight="false" outlineLevel="0" collapsed="false">
      <c r="A17" s="4" t="s">
        <v>45</v>
      </c>
      <c r="B17" s="5" t="s">
        <v>43</v>
      </c>
      <c r="C17" s="5" t="s">
        <v>26</v>
      </c>
      <c r="D17" s="5" t="s">
        <v>44</v>
      </c>
      <c r="E17" s="6" t="n">
        <f aca="false">COUNTIFS(7F_5_Carry_NG!$C$6:$C$84,"&lt;&gt;")</f>
        <v>78</v>
      </c>
      <c r="F17" s="6" t="n">
        <f aca="false">COUNTIFS(7F_5_Carry_NG!$J$6:$J$84,"&gt;0",7F_5_Carry_NG!$C$6:$C$84,"&lt;&gt;")</f>
        <v>43</v>
      </c>
      <c r="G17" s="6" t="n">
        <f aca="false">COUNTIFS(7F_5_Carry_NG!$J$6:$J$84,"&lt;0",7F_5_Carry_NG!$C$6:$C$84,"&lt;&gt;")</f>
        <v>35</v>
      </c>
      <c r="H17" s="7" t="n">
        <f aca="false">IF(E17&gt;0,F17/E17,0)</f>
        <v>0.551282051282051</v>
      </c>
      <c r="I17" s="8" t="n">
        <f aca="false">IFERROR(AVERAGEIFS(7F_5_Carry_NG!$J$6:$J$84,7F_5_Carry_NG!$J$6:$J$84,"&gt;0",7F_5_Carry_NG!$C$6:$C$84,"&lt;&gt;"),0)</f>
        <v>0.618843720930233</v>
      </c>
      <c r="J17" s="8" t="n">
        <f aca="false">IFERROR(AVERAGEIFS(7F_5_Carry_NG!$J$6:$J$84,7F_5_Carry_NG!$J$6:$J$84,"&lt;0",7F_5_Carry_NG!$C$6:$C$84,"&lt;&gt;"),0)</f>
        <v>-0.683551428571429</v>
      </c>
      <c r="K17" s="8" t="n">
        <f aca="false">_xlfn.MAXIFS(7F_5_Carry_NG!$J$6:$J$84,7F_5_Carry_NG!$C$6:$C$84,"&lt;&gt;")</f>
        <v>2.87612</v>
      </c>
      <c r="L17" s="8" t="n">
        <f aca="false">_xlfn.MINIFS(7F_5_Carry_NG!$J$6:$J$84,7F_5_Carry_NG!$C$6:$C$84,"&lt;&gt;")</f>
        <v>-2.13428</v>
      </c>
      <c r="M17" s="6" t="n">
        <f aca="false">MAX(7F_5_Carry_NG!$L$6:$L$84)</f>
        <v>8</v>
      </c>
      <c r="N17" s="9" t="n">
        <f aca="false">SUMIFS(7F_5_Carry_NG!$N$6:$N$84,7F_5_Carry_NG!$B$6:$B$84,"IS")</f>
        <v>-210750.56</v>
      </c>
      <c r="O17" s="9" t="n">
        <f aca="false">SUMIFS(7F_5_Carry_NG!$N$6:$N$84,7F_5_Carry_NG!$B$6:$B$84,"OOS")</f>
        <v>186603.33</v>
      </c>
      <c r="P17" s="9" t="n">
        <f aca="false">SUM(7F_5_Carry_NG!$N$6:$N$84)</f>
        <v>-13688.34</v>
      </c>
    </row>
    <row r="18" customFormat="false" ht="15" hidden="false" customHeight="false" outlineLevel="0" collapsed="false">
      <c r="A18" s="4" t="s">
        <v>46</v>
      </c>
      <c r="B18" s="5" t="s">
        <v>47</v>
      </c>
      <c r="C18" s="5" t="s">
        <v>26</v>
      </c>
      <c r="D18" s="5" t="s">
        <v>48</v>
      </c>
      <c r="E18" s="6" t="n">
        <f aca="false">COUNTIFS(7F_6_PortfolioMA_NGBR_NG!$C$6:$C$78,"&lt;&gt;")</f>
        <v>72</v>
      </c>
      <c r="F18" s="6" t="n">
        <f aca="false">COUNTIFS(7F_6_PortfolioMA_NGBR_NG!$J$6:$J$78,"&gt;0",7F_6_PortfolioMA_NGBR_NG!$C$6:$C$78,"&lt;&gt;")</f>
        <v>39</v>
      </c>
      <c r="G18" s="6" t="n">
        <f aca="false">COUNTIFS(7F_6_PortfolioMA_NGBR_NG!$J$6:$J$78,"&lt;0",7F_6_PortfolioMA_NGBR_NG!$C$6:$C$78,"&lt;&gt;")</f>
        <v>33</v>
      </c>
      <c r="H18" s="7" t="n">
        <f aca="false">IF(E18&gt;0,F18/E18,0)</f>
        <v>0.541666666666667</v>
      </c>
      <c r="I18" s="8" t="n">
        <f aca="false">IFERROR(AVERAGEIFS(7F_6_PortfolioMA_NGBR_NG!$J$6:$J$78,7F_6_PortfolioMA_NGBR_NG!$J$6:$J$78,"&gt;0",7F_6_PortfolioMA_NGBR_NG!$C$6:$C$78,"&lt;&gt;"),0)</f>
        <v>0.878409487179487</v>
      </c>
      <c r="J18" s="8" t="n">
        <f aca="false">IFERROR(AVERAGEIFS(7F_6_PortfolioMA_NGBR_NG!$J$6:$J$78,7F_6_PortfolioMA_NGBR_NG!$J$6:$J$78,"&lt;0",7F_6_PortfolioMA_NGBR_NG!$C$6:$C$78,"&lt;&gt;"),0)</f>
        <v>-0.589911515151515</v>
      </c>
      <c r="K18" s="8" t="n">
        <f aca="false">_xlfn.MAXIFS(7F_6_PortfolioMA_NGBR_NG!$J$6:$J$78,7F_6_PortfolioMA_NGBR_NG!$C$6:$C$78,"&lt;&gt;")</f>
        <v>2.68859</v>
      </c>
      <c r="L18" s="8" t="n">
        <f aca="false">_xlfn.MINIFS(7F_6_PortfolioMA_NGBR_NG!$J$6:$J$78,7F_6_PortfolioMA_NGBR_NG!$C$6:$C$78,"&lt;&gt;")</f>
        <v>-2.38076</v>
      </c>
      <c r="M18" s="6" t="n">
        <f aca="false">MAX(7F_6_PortfolioMA_NGBR_NG!$L$6:$L$78)</f>
        <v>4</v>
      </c>
      <c r="N18" s="9" t="n">
        <f aca="false">SUMIFS(7F_6_PortfolioMA_NGBR_NG!$N$6:$N$78,7F_6_PortfolioMA_NGBR_NG!$B$6:$B$78,"IS")</f>
        <v>119303.37</v>
      </c>
      <c r="O18" s="9" t="n">
        <f aca="false">SUMIFS(7F_6_PortfolioMA_NGBR_NG!$N$6:$N$78,7F_6_PortfolioMA_NGBR_NG!$B$6:$B$78,"OOS")</f>
        <v>-135018.49</v>
      </c>
      <c r="P18" s="9" t="n">
        <f aca="false">SUM(7F_6_PortfolioMA_NGBR_NG!$N$6:$N$78)</f>
        <v>-6426.42</v>
      </c>
    </row>
    <row r="19" customFormat="false" ht="15" hidden="false" customHeight="false" outlineLevel="0" collapsed="false">
      <c r="A19" s="4" t="s">
        <v>49</v>
      </c>
      <c r="B19" s="5" t="s">
        <v>47</v>
      </c>
      <c r="C19" s="5" t="s">
        <v>23</v>
      </c>
      <c r="D19" s="5" t="s">
        <v>48</v>
      </c>
      <c r="E19" s="6" t="n">
        <f aca="false">COUNTIFS(7F_6_PortfolioMA_NGBR_BR!$C$6:$C$73,"&lt;&gt;")</f>
        <v>67</v>
      </c>
      <c r="F19" s="6" t="n">
        <f aca="false">COUNTIFS(7F_6_PortfolioMA_NGBR_BR!$J$6:$J$73,"&gt;0",7F_6_PortfolioMA_NGBR_BR!$C$6:$C$73,"&lt;&gt;")</f>
        <v>45</v>
      </c>
      <c r="G19" s="6" t="n">
        <f aca="false">COUNTIFS(7F_6_PortfolioMA_NGBR_BR!$J$6:$J$73,"&lt;0",7F_6_PortfolioMA_NGBR_BR!$C$6:$C$73,"&lt;&gt;")</f>
        <v>22</v>
      </c>
      <c r="H19" s="7" t="n">
        <f aca="false">IF(E19&gt;0,F19/E19,0)</f>
        <v>0.671641791044776</v>
      </c>
      <c r="I19" s="8" t="n">
        <f aca="false">IFERROR(AVERAGEIFS(7F_6_PortfolioMA_NGBR_BR!$J$6:$J$73,7F_6_PortfolioMA_NGBR_BR!$J$6:$J$73,"&gt;0",7F_6_PortfolioMA_NGBR_BR!$C$6:$C$73,"&lt;&gt;"),0)</f>
        <v>12.405008</v>
      </c>
      <c r="J19" s="8" t="n">
        <f aca="false">IFERROR(AVERAGEIFS(7F_6_PortfolioMA_NGBR_BR!$J$6:$J$73,7F_6_PortfolioMA_NGBR_BR!$J$6:$J$73,"&lt;0",7F_6_PortfolioMA_NGBR_BR!$C$6:$C$73,"&lt;&gt;"),0)</f>
        <v>-4.49627545454545</v>
      </c>
      <c r="K19" s="8" t="n">
        <f aca="false">_xlfn.MAXIFS(7F_6_PortfolioMA_NGBR_BR!$J$6:$J$73,7F_6_PortfolioMA_NGBR_BR!$C$6:$C$73,"&lt;&gt;")</f>
        <v>44.83664</v>
      </c>
      <c r="L19" s="8" t="n">
        <f aca="false">_xlfn.MINIFS(7F_6_PortfolioMA_NGBR_BR!$J$6:$J$73,7F_6_PortfolioMA_NGBR_BR!$C$6:$C$73,"&lt;&gt;")</f>
        <v>-10.30961</v>
      </c>
      <c r="M19" s="6" t="n">
        <f aca="false">MAX(7F_6_PortfolioMA_NGBR_BR!$L$6:$L$73)</f>
        <v>6</v>
      </c>
      <c r="N19" s="9" t="n">
        <f aca="false">SUMIFS(7F_6_PortfolioMA_NGBR_BR!$N$6:$N$73,7F_6_PortfolioMA_NGBR_BR!$B$6:$B$73,"IS")</f>
        <v>342707.2</v>
      </c>
      <c r="O19" s="9" t="n">
        <f aca="false">SUMIFS(7F_6_PortfolioMA_NGBR_BR!$N$6:$N$73,7F_6_PortfolioMA_NGBR_BR!$B$6:$B$73,"OOS")</f>
        <v>-23594.76</v>
      </c>
      <c r="P19" s="9" t="n">
        <f aca="false">SUM(7F_6_PortfolioMA_NGBR_BR!$N$6:$N$73)</f>
        <v>319112.44</v>
      </c>
    </row>
    <row r="20" customFormat="false" ht="15" hidden="false" customHeight="false" outlineLevel="0" collapsed="false">
      <c r="A20" s="4" t="s">
        <v>50</v>
      </c>
      <c r="B20" s="5" t="s">
        <v>51</v>
      </c>
      <c r="C20" s="5" t="s">
        <v>23</v>
      </c>
      <c r="D20" s="5" t="s">
        <v>52</v>
      </c>
      <c r="E20" s="6" t="n">
        <f aca="false">COUNTIFS(7F_7_MomRev_BR!$C$6:$C$175,"&lt;&gt;")</f>
        <v>170</v>
      </c>
      <c r="F20" s="6" t="n">
        <f aca="false">COUNTIFS(7F_7_MomRev_BR!$J$6:$J$175,"&gt;0",7F_7_MomRev_BR!$C$6:$C$175,"&lt;&gt;")</f>
        <v>87</v>
      </c>
      <c r="G20" s="6" t="n">
        <f aca="false">COUNTIFS(7F_7_MomRev_BR!$J$6:$J$175,"&lt;0",7F_7_MomRev_BR!$C$6:$C$175,"&lt;&gt;")</f>
        <v>83</v>
      </c>
      <c r="H20" s="7" t="n">
        <f aca="false">IF(E20&gt;0,F20/E20,0)</f>
        <v>0.511764705882353</v>
      </c>
      <c r="I20" s="8" t="n">
        <f aca="false">IFERROR(AVERAGEIFS(7F_7_MomRev_BR!$J$6:$J$175,7F_7_MomRev_BR!$J$6:$J$175,"&gt;0",7F_7_MomRev_BR!$C$6:$C$175,"&lt;&gt;"),0)</f>
        <v>6.34432862068966</v>
      </c>
      <c r="J20" s="8" t="n">
        <f aca="false">IFERROR(AVERAGEIFS(7F_7_MomRev_BR!$J$6:$J$175,7F_7_MomRev_BR!$J$6:$J$175,"&lt;0",7F_7_MomRev_BR!$C$6:$C$175,"&lt;&gt;"),0)</f>
        <v>-1.97157108433735</v>
      </c>
      <c r="K20" s="8" t="n">
        <f aca="false">_xlfn.MAXIFS(7F_7_MomRev_BR!$J$6:$J$175,7F_7_MomRev_BR!$C$6:$C$175,"&lt;&gt;")</f>
        <v>42.19073</v>
      </c>
      <c r="L20" s="8" t="n">
        <f aca="false">_xlfn.MINIFS(7F_7_MomRev_BR!$J$6:$J$175,7F_7_MomRev_BR!$C$6:$C$175,"&lt;&gt;")</f>
        <v>-8.68317</v>
      </c>
      <c r="M20" s="6" t="n">
        <f aca="false">MAX(7F_7_MomRev_BR!$L$6:$L$175)</f>
        <v>9</v>
      </c>
      <c r="N20" s="9" t="n">
        <f aca="false">SUMIFS(7F_7_MomRev_BR!$N$6:$N$175,7F_7_MomRev_BR!$B$6:$B$175,"IS")</f>
        <v>473708.83</v>
      </c>
      <c r="O20" s="9" t="n">
        <f aca="false">SUMIFS(7F_7_MomRev_BR!$N$6:$N$175,7F_7_MomRev_BR!$B$6:$B$175,"OOS")</f>
        <v>268356.88</v>
      </c>
      <c r="P20" s="9" t="n">
        <f aca="false">SUM(7F_7_MomRev_BR!$N$6:$N$175)</f>
        <v>742065.71</v>
      </c>
    </row>
    <row r="21" customFormat="false" ht="15" hidden="false" customHeight="false" outlineLevel="0" collapsed="false">
      <c r="A21" s="4" t="s">
        <v>53</v>
      </c>
      <c r="B21" s="5" t="s">
        <v>51</v>
      </c>
      <c r="C21" s="5" t="s">
        <v>26</v>
      </c>
      <c r="D21" s="5" t="s">
        <v>54</v>
      </c>
      <c r="E21" s="6" t="n">
        <f aca="false">COUNTIFS(7F_7_MomRev_NG!$C$6:$C$111,"&lt;&gt;")</f>
        <v>105</v>
      </c>
      <c r="F21" s="6" t="n">
        <f aca="false">COUNTIFS(7F_7_MomRev_NG!$J$6:$J$111,"&gt;0",7F_7_MomRev_NG!$C$6:$C$111,"&lt;&gt;")</f>
        <v>52</v>
      </c>
      <c r="G21" s="6" t="n">
        <f aca="false">COUNTIFS(7F_7_MomRev_NG!$J$6:$J$111,"&lt;0",7F_7_MomRev_NG!$C$6:$C$111,"&lt;&gt;")</f>
        <v>53</v>
      </c>
      <c r="H21" s="7" t="n">
        <f aca="false">IF(E21&gt;0,F21/E21,0)</f>
        <v>0.495238095238095</v>
      </c>
      <c r="I21" s="8" t="n">
        <f aca="false">IFERROR(AVERAGEIFS(7F_7_MomRev_NG!$J$6:$J$111,7F_7_MomRev_NG!$J$6:$J$111,"&gt;0",7F_7_MomRev_NG!$C$6:$C$111,"&lt;&gt;"),0)</f>
        <v>0.450416346153846</v>
      </c>
      <c r="J21" s="8" t="n">
        <f aca="false">IFERROR(AVERAGEIFS(7F_7_MomRev_NG!$J$6:$J$111,7F_7_MomRev_NG!$J$6:$J$111,"&lt;0",7F_7_MomRev_NG!$C$6:$C$111,"&lt;&gt;"),0)</f>
        <v>-0.213035660377359</v>
      </c>
      <c r="K21" s="8" t="n">
        <f aca="false">_xlfn.MAXIFS(7F_7_MomRev_NG!$J$6:$J$111,7F_7_MomRev_NG!$C$6:$C$111,"&lt;&gt;")</f>
        <v>2.64912</v>
      </c>
      <c r="L21" s="8" t="n">
        <f aca="false">_xlfn.MINIFS(7F_7_MomRev_NG!$J$6:$J$111,7F_7_MomRev_NG!$C$6:$C$111,"&lt;&gt;")</f>
        <v>-1.96503</v>
      </c>
      <c r="M21" s="6" t="n">
        <f aca="false">MAX(7F_7_MomRev_NG!$L$6:$L$111)</f>
        <v>8</v>
      </c>
      <c r="N21" s="9" t="n">
        <f aca="false">SUMIFS(7F_7_MomRev_NG!$N$6:$N$111,7F_7_MomRev_NG!$B$6:$B$111,"IS")</f>
        <v>7851.04999999999</v>
      </c>
      <c r="O21" s="9" t="n">
        <f aca="false">SUMIFS(7F_7_MomRev_NG!$N$6:$N$111,7F_7_MomRev_NG!$B$6:$B$111,"OOS")</f>
        <v>-59177.63</v>
      </c>
      <c r="P21" s="9" t="n">
        <f aca="false">SUM(7F_7_MomRev_NG!$N$6:$N$111)</f>
        <v>-51326.58</v>
      </c>
    </row>
  </sheetData>
  <hyperlinks>
    <hyperlink ref="A8" r:id="rId1" location="'7F_1_TSMOM_BR'!A1" display="7F_1_TSMOM_BR"/>
    <hyperlink ref="A9" r:id="rId2" location="'7F_1_TSMOM_NG'!A1" display="7F_1_TSMOM_NG"/>
    <hyperlink ref="A10" r:id="rId3" location="'7F_2_DualMA_BR'!A1" display="7F_2_DualMA_BR"/>
    <hyperlink ref="A11" r:id="rId4" location="'7F_2_DualMA_NG'!A1" display="7F_2_DualMA_NG"/>
    <hyperlink ref="A12" r:id="rId5" location="'7F_3_Breakout_BR'!A1" display="7F_3_Breakout_BR"/>
    <hyperlink ref="A13" r:id="rId6" location="'7F_3_Breakout_NG'!A1" display="7F_3_Breakout_NG"/>
    <hyperlink ref="A14" r:id="rId7" location="'7F_4_CrossSect_NGBR_NG'!A1" display="7F_4_CrossSect_NGBR_NG"/>
    <hyperlink ref="A15" r:id="rId8" location="'7F_4_CrossSect_NGBR_BR'!A1" display="7F_4_CrossSect_NGBR_BR"/>
    <hyperlink ref="A16" r:id="rId9" location="'7F_5_Carry_BR'!A1" display="7F_5_Carry_BR"/>
    <hyperlink ref="A17" r:id="rId10" location="'7F_5_Carry_NG'!A1" display="7F_5_Carry_NG"/>
    <hyperlink ref="A18" r:id="rId11" location="'7F_6_PortfolioMA_NGBR_NG'!A1" display="7F_6_PortfolioMA_NGBR_NG"/>
    <hyperlink ref="A19" r:id="rId12" location="'7F_6_PortfolioMA_NGBR_BR'!A1" display="7F_6_PortfolioMA_NGBR_BR"/>
    <hyperlink ref="A20" r:id="rId13" location="'7F_7_MomRev_BR'!A1" display="7F_7_MomRev_BR"/>
    <hyperlink ref="A21" r:id="rId14" location="'7F_7_MomRev_NG'!A1" display="7F_7_MomRev_N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55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75</v>
      </c>
      <c r="D6" s="5" t="s">
        <v>76</v>
      </c>
      <c r="E6" s="5" t="s">
        <v>77</v>
      </c>
      <c r="F6" s="11" t="n">
        <v>2915.5</v>
      </c>
      <c r="G6" s="12" t="n">
        <v>118.0831</v>
      </c>
      <c r="H6" s="12" t="n">
        <v>125.9037</v>
      </c>
      <c r="I6" s="5" t="s">
        <v>78</v>
      </c>
      <c r="J6" s="8" t="n">
        <v>6.97414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697.41</v>
      </c>
      <c r="N6" s="9" t="n">
        <v>20333.08</v>
      </c>
      <c r="O6" s="9" t="n">
        <v>20333.08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76</v>
      </c>
      <c r="D7" s="5" t="s">
        <v>79</v>
      </c>
      <c r="E7" s="5" t="s">
        <v>77</v>
      </c>
      <c r="F7" s="11" t="n">
        <v>6671.22</v>
      </c>
      <c r="G7" s="12" t="n">
        <v>118.9034</v>
      </c>
      <c r="H7" s="12" t="n">
        <v>119.9206</v>
      </c>
      <c r="I7" s="5" t="s">
        <v>78</v>
      </c>
      <c r="J7" s="8" t="n">
        <v>-1.21783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1</v>
      </c>
      <c r="M7" s="14" t="n">
        <v>-121.78</v>
      </c>
      <c r="N7" s="9" t="n">
        <v>-8124.4</v>
      </c>
      <c r="O7" s="9" t="n">
        <v>12208.68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79</v>
      </c>
      <c r="D8" s="5" t="s">
        <v>80</v>
      </c>
      <c r="E8" s="5" t="s">
        <v>81</v>
      </c>
      <c r="F8" s="11" t="n">
        <v>7371.73</v>
      </c>
      <c r="G8" s="12" t="n">
        <v>119.9206</v>
      </c>
      <c r="H8" s="12" t="n">
        <v>121.603</v>
      </c>
      <c r="J8" s="8" t="n">
        <v>-1.69423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2</v>
      </c>
      <c r="M8" s="14" t="n">
        <v>-169.42</v>
      </c>
      <c r="N8" s="9" t="n">
        <v>-12489.4</v>
      </c>
      <c r="O8" s="9" t="n">
        <v>-280.72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80</v>
      </c>
      <c r="D9" s="5" t="s">
        <v>82</v>
      </c>
      <c r="E9" s="5" t="s">
        <v>77</v>
      </c>
      <c r="F9" s="11" t="n">
        <v>7198.1</v>
      </c>
      <c r="G9" s="12" t="n">
        <v>121.603</v>
      </c>
      <c r="H9" s="12" t="n">
        <v>118.2295</v>
      </c>
      <c r="I9" s="5" t="s">
        <v>78</v>
      </c>
      <c r="J9" s="8" t="n">
        <v>0.05967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5.97</v>
      </c>
      <c r="N9" s="9" t="n">
        <v>429.53</v>
      </c>
      <c r="O9" s="9" t="n">
        <v>148.82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82</v>
      </c>
      <c r="D10" s="5" t="s">
        <v>83</v>
      </c>
      <c r="E10" s="5" t="s">
        <v>81</v>
      </c>
      <c r="F10" s="11" t="n">
        <v>7174.68</v>
      </c>
      <c r="G10" s="12" t="n">
        <v>118.2295</v>
      </c>
      <c r="H10" s="12" t="n">
        <v>118.8499</v>
      </c>
      <c r="J10" s="8" t="n">
        <v>-0.6323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1</v>
      </c>
      <c r="M10" s="14" t="n">
        <v>-63.23</v>
      </c>
      <c r="N10" s="9" t="n">
        <v>-4536.55</v>
      </c>
      <c r="O10" s="9" t="n">
        <v>-4387.74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83</v>
      </c>
      <c r="D11" s="5" t="s">
        <v>84</v>
      </c>
      <c r="E11" s="5" t="s">
        <v>77</v>
      </c>
      <c r="F11" s="11" t="n">
        <v>7261.7</v>
      </c>
      <c r="G11" s="12" t="n">
        <v>118.8499</v>
      </c>
      <c r="H11" s="12" t="n">
        <v>118.0004</v>
      </c>
      <c r="J11" s="8" t="n">
        <v>-0.86122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2</v>
      </c>
      <c r="M11" s="14" t="n">
        <v>-86.12</v>
      </c>
      <c r="N11" s="9" t="n">
        <v>-6253.92</v>
      </c>
      <c r="O11" s="9" t="n">
        <v>-10641.66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84</v>
      </c>
      <c r="D12" s="5" t="s">
        <v>85</v>
      </c>
      <c r="E12" s="5" t="s">
        <v>81</v>
      </c>
      <c r="F12" s="11" t="n">
        <v>1948.43</v>
      </c>
      <c r="G12" s="12" t="n">
        <v>118.2252</v>
      </c>
      <c r="H12" s="12" t="n">
        <v>99.2944</v>
      </c>
      <c r="I12" s="5" t="s">
        <v>78</v>
      </c>
      <c r="J12" s="8" t="n">
        <v>13.79115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1379.12</v>
      </c>
      <c r="N12" s="9" t="n">
        <v>26871.16</v>
      </c>
      <c r="O12" s="9" t="n">
        <v>16229.5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85</v>
      </c>
      <c r="D13" s="5" t="s">
        <v>86</v>
      </c>
      <c r="E13" s="5" t="s">
        <v>81</v>
      </c>
      <c r="F13" s="11" t="n">
        <v>1554.51</v>
      </c>
      <c r="G13" s="12" t="n">
        <v>113.0951</v>
      </c>
      <c r="H13" s="12" t="n">
        <v>90.9197</v>
      </c>
      <c r="I13" s="5" t="s">
        <v>78</v>
      </c>
      <c r="J13" s="8" t="n">
        <v>23.12782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2312.78</v>
      </c>
      <c r="N13" s="9" t="n">
        <v>35952.48</v>
      </c>
      <c r="O13" s="9" t="n">
        <v>52181.98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86</v>
      </c>
      <c r="D14" s="5" t="s">
        <v>87</v>
      </c>
      <c r="E14" s="5" t="s">
        <v>81</v>
      </c>
      <c r="F14" s="11" t="n">
        <v>1465.1</v>
      </c>
      <c r="G14" s="12" t="n">
        <v>114.0521</v>
      </c>
      <c r="H14" s="12" t="n">
        <v>97.171</v>
      </c>
      <c r="J14" s="8" t="n">
        <v>16.87617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1687.62</v>
      </c>
      <c r="N14" s="9" t="n">
        <v>24725.19</v>
      </c>
      <c r="O14" s="9" t="n">
        <v>76907.17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87</v>
      </c>
      <c r="D15" s="5" t="s">
        <v>88</v>
      </c>
      <c r="E15" s="5" t="s">
        <v>81</v>
      </c>
      <c r="F15" s="11" t="n">
        <v>4144.45</v>
      </c>
      <c r="G15" s="12" t="n">
        <v>114.0521</v>
      </c>
      <c r="H15" s="12" t="n">
        <v>107.6325</v>
      </c>
      <c r="I15" s="5" t="s">
        <v>78</v>
      </c>
      <c r="J15" s="8" t="n">
        <v>6.43066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643.07</v>
      </c>
      <c r="N15" s="9" t="n">
        <v>26651.54</v>
      </c>
      <c r="O15" s="9" t="n">
        <v>103558.71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88</v>
      </c>
      <c r="D16" s="5" t="s">
        <v>89</v>
      </c>
      <c r="E16" s="5" t="s">
        <v>77</v>
      </c>
      <c r="F16" s="11" t="n">
        <v>4226.27</v>
      </c>
      <c r="G16" s="12" t="n">
        <v>107.6325</v>
      </c>
      <c r="H16" s="12" t="n">
        <v>106.2087</v>
      </c>
      <c r="J16" s="8" t="n">
        <v>-1.43448</v>
      </c>
      <c r="K16" s="13" t="str">
        <f aca="false">IF(J16&gt;0,"прибыль",IF(J16&lt;0,"убыток","ноль"))</f>
        <v>убыток</v>
      </c>
      <c r="L16" s="13" t="n">
        <f aca="false">IF(C16="",L15,IF(J16&lt;0,L15+1,0))</f>
        <v>1</v>
      </c>
      <c r="M16" s="14" t="n">
        <v>-143.45</v>
      </c>
      <c r="N16" s="9" t="n">
        <v>-6062.49</v>
      </c>
      <c r="O16" s="9" t="n">
        <v>97496.22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89</v>
      </c>
      <c r="D17" s="5" t="s">
        <v>90</v>
      </c>
      <c r="E17" s="5" t="s">
        <v>81</v>
      </c>
      <c r="F17" s="11" t="n">
        <v>4253.01</v>
      </c>
      <c r="G17" s="12" t="n">
        <v>106.2087</v>
      </c>
      <c r="H17" s="12" t="n">
        <v>105.9135</v>
      </c>
      <c r="J17" s="8" t="n">
        <v>0.28476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28.48</v>
      </c>
      <c r="N17" s="9" t="n">
        <v>1211.1</v>
      </c>
      <c r="O17" s="9" t="n">
        <v>98707.33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90</v>
      </c>
      <c r="D18" s="5" t="s">
        <v>91</v>
      </c>
      <c r="E18" s="5" t="s">
        <v>77</v>
      </c>
      <c r="F18" s="11" t="n">
        <v>3465.61</v>
      </c>
      <c r="G18" s="12" t="n">
        <v>110.6382</v>
      </c>
      <c r="H18" s="12" t="n">
        <v>107.7963</v>
      </c>
      <c r="I18" s="5" t="s">
        <v>78</v>
      </c>
      <c r="J18" s="8" t="n">
        <v>-0.02838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1</v>
      </c>
      <c r="M18" s="14" t="n">
        <v>-2.84</v>
      </c>
      <c r="N18" s="9" t="n">
        <v>-98.37</v>
      </c>
      <c r="O18" s="9" t="n">
        <v>98608.96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91</v>
      </c>
      <c r="D19" s="5" t="s">
        <v>92</v>
      </c>
      <c r="E19" s="5" t="s">
        <v>77</v>
      </c>
      <c r="F19" s="11" t="n">
        <v>1514.88</v>
      </c>
      <c r="G19" s="12" t="n">
        <v>107.8103</v>
      </c>
      <c r="H19" s="12" t="n">
        <v>112.2918</v>
      </c>
      <c r="J19" s="8" t="n">
        <v>4.47597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447.6</v>
      </c>
      <c r="N19" s="9" t="n">
        <v>6780.55</v>
      </c>
      <c r="O19" s="9" t="n">
        <v>105389.51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92</v>
      </c>
      <c r="D20" s="5" t="s">
        <v>93</v>
      </c>
      <c r="E20" s="5" t="s">
        <v>77</v>
      </c>
      <c r="F20" s="11" t="n">
        <v>4936.86</v>
      </c>
      <c r="G20" s="12" t="n">
        <v>107.8103</v>
      </c>
      <c r="H20" s="12" t="n">
        <v>108.0738</v>
      </c>
      <c r="J20" s="8" t="n">
        <v>0.25272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25.27</v>
      </c>
      <c r="N20" s="9" t="n">
        <v>1247.63</v>
      </c>
      <c r="O20" s="9" t="n">
        <v>106637.14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93</v>
      </c>
      <c r="D21" s="5" t="s">
        <v>94</v>
      </c>
      <c r="E21" s="5" t="s">
        <v>81</v>
      </c>
      <c r="F21" s="11" t="n">
        <v>4984.62</v>
      </c>
      <c r="G21" s="12" t="n">
        <v>108.0738</v>
      </c>
      <c r="H21" s="12" t="n">
        <v>112.4332</v>
      </c>
      <c r="J21" s="8" t="n">
        <v>-4.36981</v>
      </c>
      <c r="K21" s="13" t="str">
        <f aca="false">IF(J21&gt;0,"прибыль",IF(J21&lt;0,"убыток","ноль"))</f>
        <v>убыток</v>
      </c>
      <c r="L21" s="13" t="n">
        <f aca="false">IF(C21="",L20,IF(J21&lt;0,L20+1,0))</f>
        <v>1</v>
      </c>
      <c r="M21" s="14" t="n">
        <v>-436.98</v>
      </c>
      <c r="N21" s="9" t="n">
        <v>-21781.83</v>
      </c>
      <c r="O21" s="9" t="n">
        <v>84855.31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94</v>
      </c>
      <c r="D22" s="5" t="s">
        <v>95</v>
      </c>
      <c r="E22" s="5" t="s">
        <v>77</v>
      </c>
      <c r="F22" s="11" t="n">
        <v>4311.79</v>
      </c>
      <c r="G22" s="12" t="n">
        <v>112.4332</v>
      </c>
      <c r="H22" s="12" t="n">
        <v>113.3611</v>
      </c>
      <c r="I22" s="5" t="s">
        <v>78</v>
      </c>
      <c r="J22" s="8" t="n">
        <v>2.4113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241.13</v>
      </c>
      <c r="N22" s="9" t="n">
        <v>10397.04</v>
      </c>
      <c r="O22" s="9" t="n">
        <v>95252.35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95</v>
      </c>
      <c r="D23" s="5" t="s">
        <v>96</v>
      </c>
      <c r="E23" s="5" t="s">
        <v>81</v>
      </c>
      <c r="F23" s="11" t="n">
        <v>4913.42</v>
      </c>
      <c r="G23" s="12" t="n">
        <v>113.3611</v>
      </c>
      <c r="H23" s="12" t="n">
        <v>110.8164</v>
      </c>
      <c r="J23" s="8" t="n">
        <v>2.53356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253.36</v>
      </c>
      <c r="N23" s="9" t="n">
        <v>12448.48</v>
      </c>
      <c r="O23" s="9" t="n">
        <v>107700.83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96</v>
      </c>
      <c r="D24" s="5" t="s">
        <v>97</v>
      </c>
      <c r="E24" s="5" t="s">
        <v>77</v>
      </c>
      <c r="F24" s="11" t="n">
        <v>4926.58</v>
      </c>
      <c r="G24" s="12" t="n">
        <v>110.8164</v>
      </c>
      <c r="H24" s="12" t="n">
        <v>109.3241</v>
      </c>
      <c r="J24" s="8" t="n">
        <v>-1.5033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-150.33</v>
      </c>
      <c r="N24" s="9" t="n">
        <v>-7406.13</v>
      </c>
      <c r="O24" s="9" t="n">
        <v>100294.7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97</v>
      </c>
      <c r="D25" s="5" t="s">
        <v>98</v>
      </c>
      <c r="E25" s="5" t="s">
        <v>81</v>
      </c>
      <c r="F25" s="11" t="n">
        <v>3025.61</v>
      </c>
      <c r="G25" s="12" t="n">
        <v>108.8544</v>
      </c>
      <c r="H25" s="12" t="n">
        <v>110.8192</v>
      </c>
      <c r="J25" s="8" t="n">
        <v>-1.97664</v>
      </c>
      <c r="K25" s="13" t="str">
        <f aca="false">IF(J25&gt;0,"прибыль",IF(J25&lt;0,"убыток","ноль"))</f>
        <v>убыток</v>
      </c>
      <c r="L25" s="13" t="n">
        <f aca="false">IF(C25="",L24,IF(J25&lt;0,L24+1,0))</f>
        <v>2</v>
      </c>
      <c r="M25" s="14" t="n">
        <v>-197.66</v>
      </c>
      <c r="N25" s="9" t="n">
        <v>-5980.54</v>
      </c>
      <c r="O25" s="9" t="n">
        <v>94314.16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98</v>
      </c>
      <c r="D26" s="5" t="s">
        <v>99</v>
      </c>
      <c r="E26" s="5" t="s">
        <v>81</v>
      </c>
      <c r="F26" s="11" t="n">
        <v>5411.97</v>
      </c>
      <c r="G26" s="12" t="n">
        <v>108.8544</v>
      </c>
      <c r="H26" s="12" t="n">
        <v>111.0845</v>
      </c>
      <c r="J26" s="8" t="n">
        <v>-2.24043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3</v>
      </c>
      <c r="M26" s="14" t="n">
        <v>-224.04</v>
      </c>
      <c r="N26" s="9" t="n">
        <v>-12125.16</v>
      </c>
      <c r="O26" s="9" t="n">
        <v>82189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99</v>
      </c>
      <c r="D27" s="5" t="s">
        <v>100</v>
      </c>
      <c r="E27" s="5" t="s">
        <v>77</v>
      </c>
      <c r="F27" s="11" t="n">
        <v>6637.4</v>
      </c>
      <c r="G27" s="12" t="n">
        <v>111.3173</v>
      </c>
      <c r="H27" s="12" t="n">
        <v>108.7609</v>
      </c>
      <c r="I27" s="5" t="s">
        <v>78</v>
      </c>
      <c r="J27" s="8" t="n">
        <v>-0.80264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4</v>
      </c>
      <c r="M27" s="14" t="n">
        <v>-80.26</v>
      </c>
      <c r="N27" s="9" t="n">
        <v>-5327.42</v>
      </c>
      <c r="O27" s="9" t="n">
        <v>76861.58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100</v>
      </c>
      <c r="D28" s="5" t="s">
        <v>101</v>
      </c>
      <c r="E28" s="5" t="s">
        <v>81</v>
      </c>
      <c r="F28" s="11" t="n">
        <v>10112.56</v>
      </c>
      <c r="G28" s="12" t="n">
        <v>108.6456</v>
      </c>
      <c r="H28" s="12" t="n">
        <v>108.9756</v>
      </c>
      <c r="I28" s="5" t="s">
        <v>78</v>
      </c>
      <c r="J28" s="8" t="n">
        <v>-1.45746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5</v>
      </c>
      <c r="M28" s="14" t="n">
        <v>-145.75</v>
      </c>
      <c r="N28" s="9" t="n">
        <v>-14738.6</v>
      </c>
      <c r="O28" s="9" t="n">
        <v>62122.98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101</v>
      </c>
      <c r="D29" s="5" t="s">
        <v>102</v>
      </c>
      <c r="E29" s="5" t="s">
        <v>77</v>
      </c>
      <c r="F29" s="11" t="n">
        <v>2505.04</v>
      </c>
      <c r="G29" s="12" t="n">
        <v>108.9756</v>
      </c>
      <c r="H29" s="12" t="n">
        <v>111.6208</v>
      </c>
      <c r="J29" s="8" t="n">
        <v>2.63959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263.96</v>
      </c>
      <c r="N29" s="9" t="n">
        <v>6612.29</v>
      </c>
      <c r="O29" s="9" t="n">
        <v>68735.28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102</v>
      </c>
      <c r="D30" s="5" t="s">
        <v>103</v>
      </c>
      <c r="E30" s="5" t="s">
        <v>77</v>
      </c>
      <c r="F30" s="11" t="n">
        <v>3436.81</v>
      </c>
      <c r="G30" s="12" t="n">
        <v>113.0315</v>
      </c>
      <c r="H30" s="12" t="n">
        <v>115.1254</v>
      </c>
      <c r="I30" s="5" t="s">
        <v>78</v>
      </c>
      <c r="J30" s="8" t="n">
        <v>2.17271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217.27</v>
      </c>
      <c r="N30" s="9" t="n">
        <v>7467.17</v>
      </c>
      <c r="O30" s="9" t="n">
        <v>76202.45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103</v>
      </c>
      <c r="D31" s="5" t="s">
        <v>104</v>
      </c>
      <c r="E31" s="5" t="s">
        <v>77</v>
      </c>
      <c r="F31" s="11" t="n">
        <v>11643.55</v>
      </c>
      <c r="G31" s="12" t="n">
        <v>112.9354</v>
      </c>
      <c r="H31" s="12" t="n">
        <v>110.2737</v>
      </c>
      <c r="J31" s="8" t="n">
        <v>-2.67238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1</v>
      </c>
      <c r="M31" s="14" t="n">
        <v>-267.24</v>
      </c>
      <c r="N31" s="9" t="n">
        <v>-31116.05</v>
      </c>
      <c r="O31" s="9" t="n">
        <v>45086.4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104</v>
      </c>
      <c r="D32" s="5" t="s">
        <v>105</v>
      </c>
      <c r="E32" s="5" t="s">
        <v>81</v>
      </c>
      <c r="F32" s="11" t="n">
        <v>3548.5</v>
      </c>
      <c r="G32" s="12" t="n">
        <v>109.5798</v>
      </c>
      <c r="H32" s="12" t="n">
        <v>107.3781</v>
      </c>
      <c r="I32" s="5" t="s">
        <v>78</v>
      </c>
      <c r="J32" s="8" t="n">
        <v>2.66261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266.26</v>
      </c>
      <c r="N32" s="9" t="n">
        <v>9448.28</v>
      </c>
      <c r="O32" s="9" t="n">
        <v>54534.68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105</v>
      </c>
      <c r="D33" s="5" t="s">
        <v>106</v>
      </c>
      <c r="E33" s="5" t="s">
        <v>81</v>
      </c>
      <c r="F33" s="11" t="n">
        <v>2188.67</v>
      </c>
      <c r="G33" s="12" t="n">
        <v>110.0506</v>
      </c>
      <c r="H33" s="12" t="n">
        <v>100.3583</v>
      </c>
      <c r="J33" s="8" t="n">
        <v>9.68735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968.73</v>
      </c>
      <c r="N33" s="9" t="n">
        <v>21202.4</v>
      </c>
      <c r="O33" s="9" t="n">
        <v>75737.09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106</v>
      </c>
      <c r="D34" s="5" t="s">
        <v>107</v>
      </c>
      <c r="E34" s="5" t="s">
        <v>81</v>
      </c>
      <c r="F34" s="11" t="n">
        <v>2106.04</v>
      </c>
      <c r="G34" s="12" t="n">
        <v>108.594</v>
      </c>
      <c r="H34" s="12" t="n">
        <v>103.2269</v>
      </c>
      <c r="I34" s="5" t="s">
        <v>78</v>
      </c>
      <c r="J34" s="8" t="n">
        <v>5.91615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591.62</v>
      </c>
      <c r="N34" s="9" t="n">
        <v>12459.63</v>
      </c>
      <c r="O34" s="9" t="n">
        <v>88196.71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107</v>
      </c>
      <c r="D35" s="5" t="s">
        <v>108</v>
      </c>
      <c r="E35" s="5" t="s">
        <v>81</v>
      </c>
      <c r="F35" s="11" t="n">
        <v>8352.22</v>
      </c>
      <c r="G35" s="12" t="n">
        <v>109.1545</v>
      </c>
      <c r="H35" s="12" t="n">
        <v>104.2368</v>
      </c>
      <c r="J35" s="8" t="n">
        <v>4.90719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490.72</v>
      </c>
      <c r="N35" s="9" t="n">
        <v>40985.9</v>
      </c>
      <c r="O35" s="9" t="n">
        <v>129182.61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108</v>
      </c>
      <c r="D36" s="5" t="s">
        <v>109</v>
      </c>
      <c r="E36" s="5" t="s">
        <v>77</v>
      </c>
      <c r="F36" s="11" t="n">
        <v>8340.51</v>
      </c>
      <c r="G36" s="12" t="n">
        <v>104.2368</v>
      </c>
      <c r="H36" s="12" t="n">
        <v>102.3762</v>
      </c>
      <c r="I36" s="5" t="s">
        <v>78</v>
      </c>
      <c r="J36" s="8" t="n">
        <v>-3.23927</v>
      </c>
      <c r="K36" s="13" t="str">
        <f aca="false">IF(J36&gt;0,"прибыль",IF(J36&lt;0,"убыток","ноль"))</f>
        <v>убыток</v>
      </c>
      <c r="L36" s="13" t="n">
        <f aca="false">IF(C36="",L35,IF(J36&lt;0,L35+1,0))</f>
        <v>1</v>
      </c>
      <c r="M36" s="14" t="n">
        <v>-323.93</v>
      </c>
      <c r="N36" s="9" t="n">
        <v>-27017.14</v>
      </c>
      <c r="O36" s="9" t="n">
        <v>102165.47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109</v>
      </c>
      <c r="D37" s="5" t="s">
        <v>110</v>
      </c>
      <c r="E37" s="5" t="s">
        <v>81</v>
      </c>
      <c r="F37" s="11" t="n">
        <v>7383.16</v>
      </c>
      <c r="G37" s="12" t="n">
        <v>102.3762</v>
      </c>
      <c r="H37" s="12" t="n">
        <v>107.7647</v>
      </c>
      <c r="J37" s="8" t="n">
        <v>-5.39933</v>
      </c>
      <c r="K37" s="13" t="str">
        <f aca="false">IF(J37&gt;0,"прибыль",IF(J37&lt;0,"убыток","ноль"))</f>
        <v>убыток</v>
      </c>
      <c r="L37" s="13" t="n">
        <f aca="false">IF(C37="",L36,IF(J37&lt;0,L36+1,0))</f>
        <v>2</v>
      </c>
      <c r="M37" s="14" t="n">
        <v>-539.93</v>
      </c>
      <c r="N37" s="9" t="n">
        <v>-39864.13</v>
      </c>
      <c r="O37" s="9" t="n">
        <v>62301.34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110</v>
      </c>
      <c r="D38" s="5" t="s">
        <v>111</v>
      </c>
      <c r="E38" s="5" t="s">
        <v>77</v>
      </c>
      <c r="F38" s="11" t="n">
        <v>4998.49</v>
      </c>
      <c r="G38" s="12" t="n">
        <v>108.5224</v>
      </c>
      <c r="H38" s="12" t="n">
        <v>114.261</v>
      </c>
      <c r="I38" s="5" t="s">
        <v>78</v>
      </c>
      <c r="J38" s="8" t="n">
        <v>7.34525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734.53</v>
      </c>
      <c r="N38" s="9" t="n">
        <v>36715.18</v>
      </c>
      <c r="O38" s="9" t="n">
        <v>99016.52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111</v>
      </c>
      <c r="D39" s="5" t="s">
        <v>112</v>
      </c>
      <c r="E39" s="5" t="s">
        <v>77</v>
      </c>
      <c r="F39" s="11" t="n">
        <v>1763.73</v>
      </c>
      <c r="G39" s="12" t="n">
        <v>106.9037</v>
      </c>
      <c r="H39" s="12" t="n">
        <v>107.7106</v>
      </c>
      <c r="I39" s="5" t="s">
        <v>78</v>
      </c>
      <c r="J39" s="8" t="n">
        <v>3.12651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312.65</v>
      </c>
      <c r="N39" s="9" t="n">
        <v>5514.3</v>
      </c>
      <c r="O39" s="9" t="n">
        <v>104530.82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112</v>
      </c>
      <c r="D40" s="5" t="s">
        <v>113</v>
      </c>
      <c r="E40" s="5" t="s">
        <v>77</v>
      </c>
      <c r="F40" s="11" t="n">
        <v>9306.95</v>
      </c>
      <c r="G40" s="12" t="n">
        <v>106.3233</v>
      </c>
      <c r="H40" s="12" t="n">
        <v>106.9235</v>
      </c>
      <c r="I40" s="5" t="s">
        <v>78</v>
      </c>
      <c r="J40" s="8" t="n">
        <v>2.46659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246.66</v>
      </c>
      <c r="N40" s="9" t="n">
        <v>22956.42</v>
      </c>
      <c r="O40" s="9" t="n">
        <v>127487.24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113</v>
      </c>
      <c r="D41" s="5" t="s">
        <v>114</v>
      </c>
      <c r="E41" s="5" t="s">
        <v>81</v>
      </c>
      <c r="F41" s="11" t="n">
        <v>8580.23</v>
      </c>
      <c r="G41" s="12" t="n">
        <v>106.9235</v>
      </c>
      <c r="H41" s="12" t="n">
        <v>109.959</v>
      </c>
      <c r="J41" s="8" t="n">
        <v>-3.04635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1</v>
      </c>
      <c r="M41" s="14" t="n">
        <v>-304.64</v>
      </c>
      <c r="N41" s="9" t="n">
        <v>-26138.39</v>
      </c>
      <c r="O41" s="9" t="n">
        <v>101348.86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114</v>
      </c>
      <c r="D42" s="5" t="s">
        <v>115</v>
      </c>
      <c r="E42" s="5" t="s">
        <v>77</v>
      </c>
      <c r="F42" s="11" t="n">
        <v>8312.07</v>
      </c>
      <c r="G42" s="12" t="n">
        <v>109.959</v>
      </c>
      <c r="H42" s="12" t="n">
        <v>108.6738</v>
      </c>
      <c r="J42" s="8" t="n">
        <v>-1.2964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2</v>
      </c>
      <c r="M42" s="14" t="n">
        <v>-129.64</v>
      </c>
      <c r="N42" s="9" t="n">
        <v>-10775.78</v>
      </c>
      <c r="O42" s="9" t="n">
        <v>90573.08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115</v>
      </c>
      <c r="D43" s="5" t="s">
        <v>116</v>
      </c>
      <c r="E43" s="5" t="s">
        <v>81</v>
      </c>
      <c r="F43" s="11" t="n">
        <v>8698.81</v>
      </c>
      <c r="G43" s="12" t="n">
        <v>108.6738</v>
      </c>
      <c r="H43" s="12" t="n">
        <v>108.7585</v>
      </c>
      <c r="J43" s="8" t="n">
        <v>-0.09462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3</v>
      </c>
      <c r="M43" s="14" t="n">
        <v>-9.46</v>
      </c>
      <c r="N43" s="9" t="n">
        <v>-823.11</v>
      </c>
      <c r="O43" s="9" t="n">
        <v>89749.97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116</v>
      </c>
      <c r="D44" s="5" t="s">
        <v>117</v>
      </c>
      <c r="E44" s="5" t="s">
        <v>77</v>
      </c>
      <c r="F44" s="11" t="n">
        <v>7097.21</v>
      </c>
      <c r="G44" s="12" t="n">
        <v>108.7585</v>
      </c>
      <c r="H44" s="12" t="n">
        <v>108.2529</v>
      </c>
      <c r="I44" s="5" t="s">
        <v>78</v>
      </c>
      <c r="J44" s="8" t="n">
        <v>-0.23603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4</v>
      </c>
      <c r="M44" s="14" t="n">
        <v>-23.6</v>
      </c>
      <c r="N44" s="9" t="n">
        <v>-1675.14</v>
      </c>
      <c r="O44" s="9" t="n">
        <v>88074.82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117</v>
      </c>
      <c r="D45" s="5" t="s">
        <v>118</v>
      </c>
      <c r="E45" s="5" t="s">
        <v>81</v>
      </c>
      <c r="F45" s="11" t="n">
        <v>7216.15</v>
      </c>
      <c r="G45" s="12" t="n">
        <v>108.2529</v>
      </c>
      <c r="H45" s="12" t="n">
        <v>106.7176</v>
      </c>
      <c r="J45" s="8" t="n">
        <v>1.52474</v>
      </c>
      <c r="K45" s="13" t="str">
        <f aca="false">IF(J45&gt;0,"прибыль",IF(J45&lt;0,"убыток","ноль"))</f>
        <v>прибыль</v>
      </c>
      <c r="L45" s="13" t="n">
        <f aca="false">IF(C45="",L44,IF(J45&lt;0,L44+1,0))</f>
        <v>0</v>
      </c>
      <c r="M45" s="14" t="n">
        <v>152.47</v>
      </c>
      <c r="N45" s="9" t="n">
        <v>11002.77</v>
      </c>
      <c r="O45" s="9" t="n">
        <v>99077.59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118</v>
      </c>
      <c r="D46" s="5" t="s">
        <v>119</v>
      </c>
      <c r="E46" s="5" t="s">
        <v>77</v>
      </c>
      <c r="F46" s="11" t="n">
        <v>8553.91</v>
      </c>
      <c r="G46" s="12" t="n">
        <v>107.5381</v>
      </c>
      <c r="H46" s="12" t="n">
        <v>108.5541</v>
      </c>
      <c r="J46" s="8" t="n">
        <v>1.00399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100.4</v>
      </c>
      <c r="N46" s="9" t="n">
        <v>8588.02</v>
      </c>
      <c r="O46" s="9" t="n">
        <v>107665.61</v>
      </c>
    </row>
    <row r="47" customFormat="false" ht="15" hidden="false" customHeight="false" outlineLevel="0" collapsed="false">
      <c r="A47" s="6" t="n">
        <v>42</v>
      </c>
      <c r="B47" s="5" t="s">
        <v>74</v>
      </c>
      <c r="C47" s="5" t="s">
        <v>119</v>
      </c>
      <c r="D47" s="5" t="s">
        <v>120</v>
      </c>
      <c r="E47" s="5" t="s">
        <v>81</v>
      </c>
      <c r="F47" s="11" t="n">
        <v>8736.55</v>
      </c>
      <c r="G47" s="12" t="n">
        <v>108.5541</v>
      </c>
      <c r="H47" s="12" t="n">
        <v>109.0962</v>
      </c>
      <c r="J47" s="8" t="n">
        <v>-0.55308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1</v>
      </c>
      <c r="M47" s="14" t="n">
        <v>-55.31</v>
      </c>
      <c r="N47" s="9" t="n">
        <v>-4832</v>
      </c>
      <c r="O47" s="9" t="n">
        <v>102833.61</v>
      </c>
    </row>
    <row r="48" customFormat="false" ht="15" hidden="false" customHeight="false" outlineLevel="0" collapsed="false">
      <c r="A48" s="6" t="n">
        <v>43</v>
      </c>
      <c r="B48" s="5" t="s">
        <v>74</v>
      </c>
      <c r="C48" s="5" t="s">
        <v>120</v>
      </c>
      <c r="D48" s="5" t="s">
        <v>121</v>
      </c>
      <c r="E48" s="5" t="s">
        <v>77</v>
      </c>
      <c r="F48" s="11" t="n">
        <v>8920.41</v>
      </c>
      <c r="G48" s="12" t="n">
        <v>109.0962</v>
      </c>
      <c r="H48" s="12" t="n">
        <v>107.5724</v>
      </c>
      <c r="I48" s="5" t="s">
        <v>78</v>
      </c>
      <c r="J48" s="8" t="n">
        <v>0.88134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88.13</v>
      </c>
      <c r="N48" s="9" t="n">
        <v>7861.94</v>
      </c>
      <c r="O48" s="9" t="n">
        <v>110695.54</v>
      </c>
    </row>
    <row r="49" customFormat="false" ht="15" hidden="false" customHeight="false" outlineLevel="0" collapsed="false">
      <c r="A49" s="6" t="n">
        <v>44</v>
      </c>
      <c r="B49" s="5" t="s">
        <v>74</v>
      </c>
      <c r="C49" s="5" t="s">
        <v>121</v>
      </c>
      <c r="D49" s="5" t="s">
        <v>122</v>
      </c>
      <c r="E49" s="5" t="s">
        <v>81</v>
      </c>
      <c r="F49" s="11" t="n">
        <v>13359.48</v>
      </c>
      <c r="G49" s="12" t="n">
        <v>106.9676</v>
      </c>
      <c r="H49" s="12" t="n">
        <v>109.4568</v>
      </c>
      <c r="J49" s="8" t="n">
        <v>-2.50098</v>
      </c>
      <c r="K49" s="13" t="str">
        <f aca="false">IF(J49&gt;0,"прибыль",IF(J49&lt;0,"убыток","ноль"))</f>
        <v>убыток</v>
      </c>
      <c r="L49" s="13" t="n">
        <f aca="false">IF(C49="",L48,IF(J49&lt;0,L48+1,0))</f>
        <v>1</v>
      </c>
      <c r="M49" s="14" t="n">
        <v>-250.1</v>
      </c>
      <c r="N49" s="9" t="n">
        <v>-33411.86</v>
      </c>
      <c r="O49" s="9" t="n">
        <v>77283.69</v>
      </c>
    </row>
    <row r="50" customFormat="false" ht="15" hidden="false" customHeight="false" outlineLevel="0" collapsed="false">
      <c r="A50" s="6" t="n">
        <v>45</v>
      </c>
      <c r="B50" s="5" t="s">
        <v>74</v>
      </c>
      <c r="C50" s="5" t="s">
        <v>122</v>
      </c>
      <c r="D50" s="5" t="s">
        <v>123</v>
      </c>
      <c r="E50" s="5" t="s">
        <v>77</v>
      </c>
      <c r="F50" s="11" t="n">
        <v>10570.66</v>
      </c>
      <c r="G50" s="12" t="n">
        <v>109.4568</v>
      </c>
      <c r="H50" s="12" t="n">
        <v>109.9044</v>
      </c>
      <c r="I50" s="5" t="s">
        <v>78</v>
      </c>
      <c r="J50" s="8" t="n">
        <v>0.10424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10.42</v>
      </c>
      <c r="N50" s="9" t="n">
        <v>1101.93</v>
      </c>
      <c r="O50" s="9" t="n">
        <v>78385.62</v>
      </c>
    </row>
    <row r="51" customFormat="false" ht="15" hidden="false" customHeight="false" outlineLevel="0" collapsed="false">
      <c r="A51" s="6" t="n">
        <v>46</v>
      </c>
      <c r="B51" s="5" t="s">
        <v>74</v>
      </c>
      <c r="C51" s="5" t="s">
        <v>123</v>
      </c>
      <c r="D51" s="5" t="s">
        <v>124</v>
      </c>
      <c r="E51" s="5" t="s">
        <v>81</v>
      </c>
      <c r="F51" s="11" t="n">
        <v>10985.55</v>
      </c>
      <c r="G51" s="12" t="n">
        <v>109.9044</v>
      </c>
      <c r="H51" s="12" t="n">
        <v>111.2782</v>
      </c>
      <c r="J51" s="8" t="n">
        <v>-1.38466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1</v>
      </c>
      <c r="M51" s="14" t="n">
        <v>-138.47</v>
      </c>
      <c r="N51" s="9" t="n">
        <v>-15211.22</v>
      </c>
      <c r="O51" s="9" t="n">
        <v>63174.4</v>
      </c>
    </row>
    <row r="52" customFormat="false" ht="15" hidden="false" customHeight="false" outlineLevel="0" collapsed="false">
      <c r="A52" s="6" t="n">
        <v>47</v>
      </c>
      <c r="B52" s="5" t="s">
        <v>74</v>
      </c>
      <c r="C52" s="5" t="s">
        <v>124</v>
      </c>
      <c r="D52" s="5" t="s">
        <v>125</v>
      </c>
      <c r="E52" s="5" t="s">
        <v>77</v>
      </c>
      <c r="F52" s="11" t="n">
        <v>10633.06</v>
      </c>
      <c r="G52" s="12" t="n">
        <v>111.2782</v>
      </c>
      <c r="H52" s="12" t="n">
        <v>106.2033</v>
      </c>
      <c r="I52" s="5" t="s">
        <v>78</v>
      </c>
      <c r="J52" s="8" t="n">
        <v>-2.81973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2</v>
      </c>
      <c r="M52" s="14" t="n">
        <v>-281.97</v>
      </c>
      <c r="N52" s="9" t="n">
        <v>-29982.31</v>
      </c>
      <c r="O52" s="9" t="n">
        <v>33192.09</v>
      </c>
    </row>
    <row r="53" customFormat="false" ht="15" hidden="false" customHeight="false" outlineLevel="0" collapsed="false">
      <c r="A53" s="6" t="n">
        <v>48</v>
      </c>
      <c r="B53" s="5" t="s">
        <v>74</v>
      </c>
      <c r="C53" s="5" t="s">
        <v>125</v>
      </c>
      <c r="D53" s="5" t="s">
        <v>126</v>
      </c>
      <c r="E53" s="5" t="s">
        <v>81</v>
      </c>
      <c r="F53" s="11" t="n">
        <v>10388.44</v>
      </c>
      <c r="G53" s="12" t="n">
        <v>106.2033</v>
      </c>
      <c r="H53" s="12" t="n">
        <v>106.918</v>
      </c>
      <c r="J53" s="8" t="n">
        <v>-0.72532</v>
      </c>
      <c r="K53" s="13" t="str">
        <f aca="false">IF(J53&gt;0,"прибыль",IF(J53&lt;0,"убыток","ноль"))</f>
        <v>убыток</v>
      </c>
      <c r="L53" s="13" t="n">
        <f aca="false">IF(C53="",L52,IF(J53&lt;0,L52+1,0))</f>
        <v>3</v>
      </c>
      <c r="M53" s="14" t="n">
        <v>-72.53</v>
      </c>
      <c r="N53" s="9" t="n">
        <v>-7534.98</v>
      </c>
      <c r="O53" s="9" t="n">
        <v>25657.11</v>
      </c>
    </row>
    <row r="54" customFormat="false" ht="15" hidden="false" customHeight="false" outlineLevel="0" collapsed="false">
      <c r="A54" s="6" t="n">
        <v>49</v>
      </c>
      <c r="B54" s="5" t="s">
        <v>74</v>
      </c>
      <c r="C54" s="5" t="s">
        <v>126</v>
      </c>
      <c r="D54" s="5" t="s">
        <v>127</v>
      </c>
      <c r="E54" s="5" t="s">
        <v>77</v>
      </c>
      <c r="F54" s="11" t="n">
        <v>10116.67</v>
      </c>
      <c r="G54" s="12" t="n">
        <v>106.918</v>
      </c>
      <c r="H54" s="12" t="n">
        <v>105.7747</v>
      </c>
      <c r="J54" s="8" t="n">
        <v>-1.15424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4</v>
      </c>
      <c r="M54" s="14" t="n">
        <v>-115.42</v>
      </c>
      <c r="N54" s="9" t="n">
        <v>-11677.03</v>
      </c>
      <c r="O54" s="9" t="n">
        <v>13980.08</v>
      </c>
    </row>
    <row r="55" customFormat="false" ht="15" hidden="false" customHeight="false" outlineLevel="0" collapsed="false">
      <c r="A55" s="6" t="n">
        <v>50</v>
      </c>
      <c r="B55" s="5" t="s">
        <v>74</v>
      </c>
      <c r="C55" s="5" t="s">
        <v>127</v>
      </c>
      <c r="D55" s="5" t="s">
        <v>128</v>
      </c>
      <c r="E55" s="5" t="s">
        <v>81</v>
      </c>
      <c r="F55" s="11" t="n">
        <v>10703.4</v>
      </c>
      <c r="G55" s="12" t="n">
        <v>105.7747</v>
      </c>
      <c r="H55" s="12" t="n">
        <v>107.5199</v>
      </c>
      <c r="J55" s="8" t="n">
        <v>-1.75553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5</v>
      </c>
      <c r="M55" s="14" t="n">
        <v>-175.55</v>
      </c>
      <c r="N55" s="9" t="n">
        <v>-18790.14</v>
      </c>
      <c r="O55" s="9" t="n">
        <v>-4810.06</v>
      </c>
    </row>
    <row r="56" customFormat="false" ht="15" hidden="false" customHeight="false" outlineLevel="0" collapsed="false">
      <c r="A56" s="6" t="n">
        <v>51</v>
      </c>
      <c r="B56" s="5" t="s">
        <v>74</v>
      </c>
      <c r="C56" s="5" t="s">
        <v>128</v>
      </c>
      <c r="D56" s="5" t="s">
        <v>129</v>
      </c>
      <c r="E56" s="5" t="s">
        <v>77</v>
      </c>
      <c r="F56" s="11" t="n">
        <v>9701.63</v>
      </c>
      <c r="G56" s="12" t="n">
        <v>107.5199</v>
      </c>
      <c r="H56" s="12" t="n">
        <v>108.7933</v>
      </c>
      <c r="I56" s="5" t="s">
        <v>78</v>
      </c>
      <c r="J56" s="8" t="n">
        <v>0.50095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50.09</v>
      </c>
      <c r="N56" s="9" t="n">
        <v>4860.01</v>
      </c>
      <c r="O56" s="9" t="n">
        <v>49.94</v>
      </c>
    </row>
    <row r="57" customFormat="false" ht="15" hidden="false" customHeight="false" outlineLevel="0" collapsed="false">
      <c r="A57" s="6" t="n">
        <v>52</v>
      </c>
      <c r="B57" s="5" t="s">
        <v>74</v>
      </c>
      <c r="C57" s="5" t="s">
        <v>129</v>
      </c>
      <c r="D57" s="5" t="s">
        <v>130</v>
      </c>
      <c r="E57" s="5" t="s">
        <v>81</v>
      </c>
      <c r="F57" s="11" t="n">
        <v>10592.32</v>
      </c>
      <c r="G57" s="12" t="n">
        <v>108.7933</v>
      </c>
      <c r="H57" s="12" t="n">
        <v>108.1855</v>
      </c>
      <c r="J57" s="8" t="n">
        <v>0.59694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59.69</v>
      </c>
      <c r="N57" s="9" t="n">
        <v>6323.02</v>
      </c>
      <c r="O57" s="9" t="n">
        <v>6372.97</v>
      </c>
    </row>
    <row r="58" customFormat="false" ht="15" hidden="false" customHeight="false" outlineLevel="0" collapsed="false">
      <c r="A58" s="6" t="n">
        <v>53</v>
      </c>
      <c r="B58" s="5" t="s">
        <v>74</v>
      </c>
      <c r="C58" s="5" t="s">
        <v>130</v>
      </c>
      <c r="D58" s="5" t="s">
        <v>131</v>
      </c>
      <c r="E58" s="5" t="s">
        <v>77</v>
      </c>
      <c r="F58" s="11" t="n">
        <v>10810.4</v>
      </c>
      <c r="G58" s="12" t="n">
        <v>108.1855</v>
      </c>
      <c r="H58" s="12" t="n">
        <v>107.3986</v>
      </c>
      <c r="J58" s="8" t="n">
        <v>-0.79819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1</v>
      </c>
      <c r="M58" s="14" t="n">
        <v>-79.82</v>
      </c>
      <c r="N58" s="9" t="n">
        <v>-8628.77</v>
      </c>
      <c r="O58" s="9" t="n">
        <v>-2255.8</v>
      </c>
    </row>
    <row r="59" customFormat="false" ht="15" hidden="false" customHeight="false" outlineLevel="0" collapsed="false">
      <c r="A59" s="6" t="n">
        <v>54</v>
      </c>
      <c r="B59" s="5" t="s">
        <v>74</v>
      </c>
      <c r="C59" s="5" t="s">
        <v>131</v>
      </c>
      <c r="D59" s="5" t="s">
        <v>132</v>
      </c>
      <c r="E59" s="5" t="s">
        <v>81</v>
      </c>
      <c r="F59" s="11" t="n">
        <v>11918.4</v>
      </c>
      <c r="G59" s="12" t="n">
        <v>107.3986</v>
      </c>
      <c r="H59" s="12" t="n">
        <v>108.4696</v>
      </c>
      <c r="J59" s="8" t="n">
        <v>-1.0822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2</v>
      </c>
      <c r="M59" s="14" t="n">
        <v>-108.22</v>
      </c>
      <c r="N59" s="9" t="n">
        <v>-12898.12</v>
      </c>
      <c r="O59" s="9" t="n">
        <v>-15153.92</v>
      </c>
    </row>
    <row r="60" customFormat="false" ht="15" hidden="false" customHeight="false" outlineLevel="0" collapsed="false">
      <c r="A60" s="6" t="n">
        <v>55</v>
      </c>
      <c r="B60" s="5" t="s">
        <v>74</v>
      </c>
      <c r="C60" s="5" t="s">
        <v>132</v>
      </c>
      <c r="D60" s="5" t="s">
        <v>133</v>
      </c>
      <c r="E60" s="5" t="s">
        <v>77</v>
      </c>
      <c r="F60" s="11" t="n">
        <v>10027.17</v>
      </c>
      <c r="G60" s="12" t="n">
        <v>109.0788</v>
      </c>
      <c r="H60" s="12" t="n">
        <v>113.2917</v>
      </c>
      <c r="I60" s="5" t="s">
        <v>78</v>
      </c>
      <c r="J60" s="8" t="n">
        <v>4.76601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476.6</v>
      </c>
      <c r="N60" s="9" t="n">
        <v>47789.56</v>
      </c>
      <c r="O60" s="9" t="n">
        <v>32635.64</v>
      </c>
    </row>
    <row r="61" customFormat="false" ht="15" hidden="false" customHeight="false" outlineLevel="0" collapsed="false">
      <c r="A61" s="6" t="n">
        <v>56</v>
      </c>
      <c r="B61" s="5" t="s">
        <v>74</v>
      </c>
      <c r="C61" s="5" t="s">
        <v>133</v>
      </c>
      <c r="D61" s="5" t="s">
        <v>134</v>
      </c>
      <c r="E61" s="5" t="s">
        <v>77</v>
      </c>
      <c r="F61" s="11" t="n">
        <v>10548.45</v>
      </c>
      <c r="G61" s="12" t="n">
        <v>108.5157</v>
      </c>
      <c r="H61" s="12" t="n">
        <v>108.049</v>
      </c>
      <c r="I61" s="5" t="s">
        <v>78</v>
      </c>
      <c r="J61" s="8" t="n">
        <v>-0.19905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1</v>
      </c>
      <c r="M61" s="14" t="n">
        <v>-19.9</v>
      </c>
      <c r="N61" s="9" t="n">
        <v>-2099.66</v>
      </c>
      <c r="O61" s="9" t="n">
        <v>30535.97</v>
      </c>
    </row>
    <row r="62" customFormat="false" ht="15" hidden="false" customHeight="false" outlineLevel="0" collapsed="false">
      <c r="A62" s="6" t="n">
        <v>57</v>
      </c>
      <c r="B62" s="5" t="s">
        <v>74</v>
      </c>
      <c r="C62" s="5" t="s">
        <v>134</v>
      </c>
      <c r="D62" s="5" t="s">
        <v>135</v>
      </c>
      <c r="E62" s="5" t="s">
        <v>81</v>
      </c>
      <c r="F62" s="11" t="n">
        <v>3451.33</v>
      </c>
      <c r="G62" s="12" t="n">
        <v>107.6433</v>
      </c>
      <c r="H62" s="12" t="n">
        <v>102.4106</v>
      </c>
      <c r="I62" s="5" t="s">
        <v>78</v>
      </c>
      <c r="J62" s="8" t="n">
        <v>8.73403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873.4</v>
      </c>
      <c r="N62" s="9" t="n">
        <v>30144</v>
      </c>
      <c r="O62" s="9" t="n">
        <v>60679.98</v>
      </c>
    </row>
    <row r="63" customFormat="false" ht="15" hidden="false" customHeight="false" outlineLevel="0" collapsed="false">
      <c r="A63" s="6" t="n">
        <v>58</v>
      </c>
      <c r="B63" s="5" t="s">
        <v>74</v>
      </c>
      <c r="C63" s="5" t="s">
        <v>135</v>
      </c>
      <c r="D63" s="5" t="s">
        <v>136</v>
      </c>
      <c r="E63" s="5" t="s">
        <v>81</v>
      </c>
      <c r="F63" s="11" t="n">
        <v>3642.92</v>
      </c>
      <c r="G63" s="12" t="n">
        <v>105.6513</v>
      </c>
      <c r="H63" s="12" t="n">
        <v>85.2819</v>
      </c>
      <c r="I63" s="5" t="s">
        <v>78</v>
      </c>
      <c r="J63" s="8" t="n">
        <v>22.97242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2297.24</v>
      </c>
      <c r="N63" s="9" t="n">
        <v>83686.73</v>
      </c>
      <c r="O63" s="9" t="n">
        <v>144366.71</v>
      </c>
    </row>
    <row r="64" customFormat="false" ht="15" hidden="false" customHeight="false" outlineLevel="0" collapsed="false">
      <c r="A64" s="6" t="n">
        <v>59</v>
      </c>
      <c r="B64" s="5" t="s">
        <v>74</v>
      </c>
      <c r="C64" s="5" t="s">
        <v>136</v>
      </c>
      <c r="D64" s="5" t="s">
        <v>137</v>
      </c>
      <c r="E64" s="5" t="s">
        <v>81</v>
      </c>
      <c r="F64" s="11" t="n">
        <v>2029.61</v>
      </c>
      <c r="G64" s="12" t="n">
        <v>108.2647</v>
      </c>
      <c r="H64" s="12" t="n">
        <v>87.1156</v>
      </c>
      <c r="I64" s="5" t="s">
        <v>78</v>
      </c>
      <c r="J64" s="8" t="n">
        <v>23.37339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2337.34</v>
      </c>
      <c r="N64" s="9" t="n">
        <v>47438.76</v>
      </c>
      <c r="O64" s="9" t="n">
        <v>191805.46</v>
      </c>
    </row>
    <row r="65" customFormat="false" ht="15" hidden="false" customHeight="false" outlineLevel="0" collapsed="false">
      <c r="A65" s="6" t="n">
        <v>60</v>
      </c>
      <c r="B65" s="5" t="s">
        <v>74</v>
      </c>
      <c r="C65" s="5" t="s">
        <v>137</v>
      </c>
      <c r="D65" s="5" t="s">
        <v>138</v>
      </c>
      <c r="E65" s="5" t="s">
        <v>81</v>
      </c>
      <c r="F65" s="11" t="n">
        <v>2204.07</v>
      </c>
      <c r="G65" s="12" t="n">
        <v>103.2986</v>
      </c>
      <c r="H65" s="12" t="n">
        <v>72.5912</v>
      </c>
      <c r="I65" s="5" t="s">
        <v>78</v>
      </c>
      <c r="J65" s="8" t="n">
        <v>33.09116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3309.12</v>
      </c>
      <c r="N65" s="9" t="n">
        <v>72935.37</v>
      </c>
      <c r="O65" s="9" t="n">
        <v>264740.83</v>
      </c>
    </row>
    <row r="66" customFormat="false" ht="15" hidden="false" customHeight="false" outlineLevel="0" collapsed="false">
      <c r="A66" s="6" t="n">
        <v>61</v>
      </c>
      <c r="B66" s="5" t="s">
        <v>74</v>
      </c>
      <c r="C66" s="5" t="s">
        <v>138</v>
      </c>
      <c r="D66" s="5" t="s">
        <v>139</v>
      </c>
      <c r="E66" s="5" t="s">
        <v>81</v>
      </c>
      <c r="F66" s="11" t="n">
        <v>1744.32</v>
      </c>
      <c r="G66" s="12" t="n">
        <v>105.6904</v>
      </c>
      <c r="H66" s="12" t="n">
        <v>61.657</v>
      </c>
      <c r="I66" s="5" t="s">
        <v>78</v>
      </c>
      <c r="J66" s="8" t="n">
        <v>46.15121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4615.12</v>
      </c>
      <c r="N66" s="9" t="n">
        <v>80502.31</v>
      </c>
      <c r="O66" s="9" t="n">
        <v>345243.14</v>
      </c>
    </row>
    <row r="67" customFormat="false" ht="15" hidden="false" customHeight="false" outlineLevel="0" collapsed="false">
      <c r="A67" s="6" t="n">
        <v>62</v>
      </c>
      <c r="B67" s="5" t="s">
        <v>74</v>
      </c>
      <c r="C67" s="5" t="s">
        <v>139</v>
      </c>
      <c r="D67" s="5" t="s">
        <v>140</v>
      </c>
      <c r="E67" s="5" t="s">
        <v>81</v>
      </c>
      <c r="F67" s="11" t="n">
        <v>2114.7</v>
      </c>
      <c r="G67" s="12" t="n">
        <v>96.3703</v>
      </c>
      <c r="H67" s="12" t="n">
        <v>55.0057</v>
      </c>
      <c r="I67" s="5" t="s">
        <v>78</v>
      </c>
      <c r="J67" s="8" t="n">
        <v>45.94756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4594.76</v>
      </c>
      <c r="N67" s="9" t="n">
        <v>97165.52</v>
      </c>
      <c r="O67" s="9" t="n">
        <v>442408.66</v>
      </c>
    </row>
    <row r="68" customFormat="false" ht="15" hidden="false" customHeight="false" outlineLevel="0" collapsed="false">
      <c r="A68" s="6" t="n">
        <v>63</v>
      </c>
      <c r="B68" s="5" t="s">
        <v>74</v>
      </c>
      <c r="C68" s="5" t="s">
        <v>140</v>
      </c>
      <c r="D68" s="5" t="s">
        <v>141</v>
      </c>
      <c r="E68" s="5" t="s">
        <v>81</v>
      </c>
      <c r="F68" s="11" t="n">
        <v>4876.2</v>
      </c>
      <c r="G68" s="12" t="n">
        <v>100.9584</v>
      </c>
      <c r="H68" s="12" t="n">
        <v>60.7052</v>
      </c>
      <c r="I68" s="5" t="s">
        <v>78</v>
      </c>
      <c r="J68" s="8" t="n">
        <v>47.59889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4759.89</v>
      </c>
      <c r="N68" s="9" t="n">
        <v>232101.52</v>
      </c>
      <c r="O68" s="9" t="n">
        <v>674510.18</v>
      </c>
    </row>
    <row r="69" customFormat="false" ht="15" hidden="false" customHeight="false" outlineLevel="0" collapsed="false">
      <c r="A69" s="6" t="n">
        <v>64</v>
      </c>
      <c r="B69" s="5" t="s">
        <v>74</v>
      </c>
      <c r="C69" s="5" t="s">
        <v>141</v>
      </c>
      <c r="D69" s="5" t="s">
        <v>142</v>
      </c>
      <c r="E69" s="5" t="s">
        <v>77</v>
      </c>
      <c r="F69" s="11" t="n">
        <v>5375.82</v>
      </c>
      <c r="G69" s="12" t="n">
        <v>60.7052</v>
      </c>
      <c r="H69" s="12" t="n">
        <v>53.2035</v>
      </c>
      <c r="J69" s="8" t="n">
        <v>-7.50757</v>
      </c>
      <c r="K69" s="13" t="str">
        <f aca="false">IF(J69&gt;0,"прибыль",IF(J69&lt;0,"убыток","ноль"))</f>
        <v>убыток</v>
      </c>
      <c r="L69" s="13" t="n">
        <f aca="false">IF(C69="",L68,IF(J69&lt;0,L68+1,0))</f>
        <v>1</v>
      </c>
      <c r="M69" s="14" t="n">
        <v>-750.76</v>
      </c>
      <c r="N69" s="9" t="n">
        <v>-40359.38</v>
      </c>
      <c r="O69" s="9" t="n">
        <v>634150.8</v>
      </c>
    </row>
    <row r="70" customFormat="false" ht="15" hidden="false" customHeight="false" outlineLevel="0" collapsed="false">
      <c r="A70" s="6" t="n">
        <v>65</v>
      </c>
      <c r="B70" s="5" t="s">
        <v>74</v>
      </c>
      <c r="C70" s="5" t="s">
        <v>142</v>
      </c>
      <c r="D70" s="5" t="s">
        <v>143</v>
      </c>
      <c r="E70" s="5" t="s">
        <v>81</v>
      </c>
      <c r="F70" s="11" t="n">
        <v>6663.18</v>
      </c>
      <c r="G70" s="12" t="n">
        <v>53.2035</v>
      </c>
      <c r="H70" s="12" t="n">
        <v>56.0395</v>
      </c>
      <c r="I70" s="5" t="s">
        <v>78</v>
      </c>
      <c r="J70" s="8" t="n">
        <v>-3.09013</v>
      </c>
      <c r="K70" s="13" t="str">
        <f aca="false">IF(J70&gt;0,"прибыль",IF(J70&lt;0,"убыток","ноль"))</f>
        <v>убыток</v>
      </c>
      <c r="L70" s="13" t="n">
        <f aca="false">IF(C70="",L69,IF(J70&lt;0,L69+1,0))</f>
        <v>2</v>
      </c>
      <c r="M70" s="14" t="n">
        <v>-309.01</v>
      </c>
      <c r="N70" s="9" t="n">
        <v>-20590.07</v>
      </c>
      <c r="O70" s="9" t="n">
        <v>613560.73</v>
      </c>
    </row>
    <row r="71" customFormat="false" ht="15" hidden="false" customHeight="false" outlineLevel="0" collapsed="false">
      <c r="A71" s="6" t="n">
        <v>66</v>
      </c>
      <c r="B71" s="5" t="s">
        <v>74</v>
      </c>
      <c r="C71" s="5" t="s">
        <v>143</v>
      </c>
      <c r="D71" s="5" t="s">
        <v>144</v>
      </c>
      <c r="E71" s="5" t="s">
        <v>77</v>
      </c>
      <c r="F71" s="11" t="n">
        <v>5637.07</v>
      </c>
      <c r="G71" s="12" t="n">
        <v>56.0395</v>
      </c>
      <c r="H71" s="12" t="n">
        <v>56.6582</v>
      </c>
      <c r="J71" s="8" t="n">
        <v>0.61312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61.31</v>
      </c>
      <c r="N71" s="9" t="n">
        <v>3456.19</v>
      </c>
      <c r="O71" s="9" t="n">
        <v>617016.93</v>
      </c>
    </row>
    <row r="72" customFormat="false" ht="15" hidden="false" customHeight="false" outlineLevel="0" collapsed="false">
      <c r="A72" s="6" t="n">
        <v>67</v>
      </c>
      <c r="B72" s="5" t="s">
        <v>74</v>
      </c>
      <c r="C72" s="5" t="s">
        <v>144</v>
      </c>
      <c r="D72" s="5" t="s">
        <v>145</v>
      </c>
      <c r="E72" s="5" t="s">
        <v>81</v>
      </c>
      <c r="F72" s="11" t="n">
        <v>5223.05</v>
      </c>
      <c r="G72" s="12" t="n">
        <v>56.6582</v>
      </c>
      <c r="H72" s="12" t="n">
        <v>63.9818</v>
      </c>
      <c r="I72" s="5" t="s">
        <v>78</v>
      </c>
      <c r="J72" s="8" t="n">
        <v>-4.25344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1</v>
      </c>
      <c r="M72" s="14" t="n">
        <v>-425.34</v>
      </c>
      <c r="N72" s="9" t="n">
        <v>-22215.93</v>
      </c>
      <c r="O72" s="9" t="n">
        <v>594800.99</v>
      </c>
    </row>
    <row r="73" customFormat="false" ht="15" hidden="false" customHeight="false" outlineLevel="0" collapsed="false">
      <c r="A73" s="6" t="n">
        <v>68</v>
      </c>
      <c r="B73" s="5" t="s">
        <v>74</v>
      </c>
      <c r="C73" s="5" t="s">
        <v>145</v>
      </c>
      <c r="D73" s="5" t="s">
        <v>146</v>
      </c>
      <c r="E73" s="5" t="s">
        <v>77</v>
      </c>
      <c r="F73" s="11" t="n">
        <v>5654.77</v>
      </c>
      <c r="G73" s="12" t="n">
        <v>63.9818</v>
      </c>
      <c r="H73" s="12" t="n">
        <v>61.6992</v>
      </c>
      <c r="J73" s="8" t="n">
        <v>-2.28879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2</v>
      </c>
      <c r="M73" s="14" t="n">
        <v>-228.88</v>
      </c>
      <c r="N73" s="9" t="n">
        <v>-12942.59</v>
      </c>
      <c r="O73" s="9" t="n">
        <v>581858.41</v>
      </c>
    </row>
    <row r="74" customFormat="false" ht="15" hidden="false" customHeight="false" outlineLevel="0" collapsed="false">
      <c r="A74" s="6" t="n">
        <v>69</v>
      </c>
      <c r="B74" s="5" t="s">
        <v>74</v>
      </c>
      <c r="C74" s="5" t="s">
        <v>146</v>
      </c>
      <c r="D74" s="5" t="s">
        <v>147</v>
      </c>
      <c r="E74" s="5" t="s">
        <v>81</v>
      </c>
      <c r="F74" s="11" t="n">
        <v>5663.99</v>
      </c>
      <c r="G74" s="12" t="n">
        <v>61.6992</v>
      </c>
      <c r="H74" s="12" t="n">
        <v>62.7516</v>
      </c>
      <c r="J74" s="8" t="n">
        <v>-1.05863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3</v>
      </c>
      <c r="M74" s="14" t="n">
        <v>-105.86</v>
      </c>
      <c r="N74" s="9" t="n">
        <v>-5996.06</v>
      </c>
      <c r="O74" s="9" t="n">
        <v>575862.34</v>
      </c>
    </row>
    <row r="75" customFormat="false" ht="15" hidden="false" customHeight="false" outlineLevel="0" collapsed="false">
      <c r="A75" s="6" t="n">
        <v>70</v>
      </c>
      <c r="B75" s="5" t="s">
        <v>74</v>
      </c>
      <c r="C75" s="5" t="s">
        <v>147</v>
      </c>
      <c r="D75" s="5" t="s">
        <v>148</v>
      </c>
      <c r="E75" s="5" t="s">
        <v>77</v>
      </c>
      <c r="F75" s="11" t="n">
        <v>5632.08</v>
      </c>
      <c r="G75" s="12" t="n">
        <v>62.7516</v>
      </c>
      <c r="H75" s="12" t="n">
        <v>64.4293</v>
      </c>
      <c r="J75" s="8" t="n">
        <v>1.67079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167.08</v>
      </c>
      <c r="N75" s="9" t="n">
        <v>9410.01</v>
      </c>
      <c r="O75" s="9" t="n">
        <v>585272.35</v>
      </c>
    </row>
    <row r="76" customFormat="false" ht="15" hidden="false" customHeight="false" outlineLevel="0" collapsed="false">
      <c r="A76" s="6" t="n">
        <v>71</v>
      </c>
      <c r="B76" s="5" t="s">
        <v>74</v>
      </c>
      <c r="C76" s="5" t="s">
        <v>148</v>
      </c>
      <c r="D76" s="5" t="s">
        <v>149</v>
      </c>
      <c r="E76" s="5" t="s">
        <v>81</v>
      </c>
      <c r="F76" s="11" t="n">
        <v>6505.44</v>
      </c>
      <c r="G76" s="12" t="n">
        <v>64.4293</v>
      </c>
      <c r="H76" s="12" t="n">
        <v>64.6785</v>
      </c>
      <c r="J76" s="8" t="n">
        <v>-0.25581</v>
      </c>
      <c r="K76" s="13" t="str">
        <f aca="false">IF(J76&gt;0,"прибыль",IF(J76&lt;0,"убыток","ноль"))</f>
        <v>убыток</v>
      </c>
      <c r="L76" s="13" t="n">
        <f aca="false">IF(C76="",L75,IF(J76&lt;0,L75+1,0))</f>
        <v>1</v>
      </c>
      <c r="M76" s="14" t="n">
        <v>-25.58</v>
      </c>
      <c r="N76" s="9" t="n">
        <v>-1664.18</v>
      </c>
      <c r="O76" s="9" t="n">
        <v>583608.17</v>
      </c>
    </row>
    <row r="77" customFormat="false" ht="15" hidden="false" customHeight="false" outlineLevel="0" collapsed="false">
      <c r="A77" s="6" t="n">
        <v>72</v>
      </c>
      <c r="B77" s="5" t="s">
        <v>74</v>
      </c>
      <c r="C77" s="5" t="s">
        <v>149</v>
      </c>
      <c r="D77" s="5" t="s">
        <v>150</v>
      </c>
      <c r="E77" s="5" t="s">
        <v>77</v>
      </c>
      <c r="F77" s="11" t="n">
        <v>0</v>
      </c>
      <c r="G77" s="12" t="n">
        <v>64.6785</v>
      </c>
      <c r="H77" s="12" t="n">
        <v>65.5513</v>
      </c>
      <c r="J77" s="8" t="n">
        <v>0.86952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86.95</v>
      </c>
      <c r="N77" s="9" t="n">
        <v>0</v>
      </c>
      <c r="O77" s="9" t="n">
        <v>583608.17</v>
      </c>
    </row>
    <row r="78" customFormat="false" ht="15" hidden="false" customHeight="false" outlineLevel="0" collapsed="false">
      <c r="A78" s="6" t="n">
        <v>73</v>
      </c>
      <c r="B78" s="5" t="s">
        <v>74</v>
      </c>
      <c r="C78" s="5" t="s">
        <v>150</v>
      </c>
      <c r="D78" s="5" t="s">
        <v>151</v>
      </c>
      <c r="E78" s="5" t="s">
        <v>77</v>
      </c>
      <c r="F78" s="11" t="n">
        <v>1875.47</v>
      </c>
      <c r="G78" s="12" t="n">
        <v>64.9093</v>
      </c>
      <c r="H78" s="12" t="n">
        <v>65.2471</v>
      </c>
      <c r="I78" s="5" t="s">
        <v>78</v>
      </c>
      <c r="J78" s="8" t="n">
        <v>-0.08931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1</v>
      </c>
      <c r="M78" s="14" t="n">
        <v>-8.93</v>
      </c>
      <c r="N78" s="9" t="n">
        <v>-167.5</v>
      </c>
      <c r="O78" s="9" t="n">
        <v>583440.67</v>
      </c>
    </row>
    <row r="79" customFormat="false" ht="15" hidden="false" customHeight="false" outlineLevel="0" collapsed="false">
      <c r="A79" s="6" t="n">
        <v>74</v>
      </c>
      <c r="B79" s="5" t="s">
        <v>74</v>
      </c>
      <c r="C79" s="5" t="s">
        <v>151</v>
      </c>
      <c r="D79" s="5" t="s">
        <v>152</v>
      </c>
      <c r="E79" s="5" t="s">
        <v>77</v>
      </c>
      <c r="F79" s="11" t="n">
        <v>7216.05</v>
      </c>
      <c r="G79" s="12" t="n">
        <v>65.3287</v>
      </c>
      <c r="H79" s="12" t="n">
        <v>63.6398</v>
      </c>
      <c r="I79" s="5" t="s">
        <v>78</v>
      </c>
      <c r="J79" s="8" t="n">
        <v>-2.85293</v>
      </c>
      <c r="K79" s="13" t="str">
        <f aca="false">IF(J79&gt;0,"прибыль",IF(J79&lt;0,"убыток","ноль"))</f>
        <v>убыток</v>
      </c>
      <c r="L79" s="13" t="n">
        <f aca="false">IF(C79="",L78,IF(J79&lt;0,L78+1,0))</f>
        <v>2</v>
      </c>
      <c r="M79" s="14" t="n">
        <v>-285.29</v>
      </c>
      <c r="N79" s="9" t="n">
        <v>-20586.88</v>
      </c>
      <c r="O79" s="9" t="n">
        <v>562853.79</v>
      </c>
    </row>
    <row r="80" customFormat="false" ht="15" hidden="false" customHeight="false" outlineLevel="0" collapsed="false">
      <c r="A80" s="6" t="n">
        <v>75</v>
      </c>
      <c r="B80" s="5" t="s">
        <v>74</v>
      </c>
      <c r="C80" s="5" t="s">
        <v>152</v>
      </c>
      <c r="D80" s="5" t="s">
        <v>153</v>
      </c>
      <c r="E80" s="5" t="s">
        <v>81</v>
      </c>
      <c r="F80" s="11" t="n">
        <v>0</v>
      </c>
      <c r="G80" s="12" t="n">
        <v>63.6398</v>
      </c>
      <c r="H80" s="12" t="n">
        <v>63.7472</v>
      </c>
      <c r="J80" s="8" t="n">
        <v>-0.11055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3</v>
      </c>
      <c r="M80" s="14" t="n">
        <v>-11.06</v>
      </c>
      <c r="N80" s="9" t="n">
        <v>0</v>
      </c>
      <c r="O80" s="9" t="n">
        <v>562853.79</v>
      </c>
    </row>
    <row r="81" customFormat="false" ht="15" hidden="false" customHeight="false" outlineLevel="0" collapsed="false">
      <c r="A81" s="6" t="n">
        <v>76</v>
      </c>
      <c r="B81" s="5" t="s">
        <v>74</v>
      </c>
      <c r="C81" s="5" t="s">
        <v>153</v>
      </c>
      <c r="D81" s="5" t="s">
        <v>154</v>
      </c>
      <c r="E81" s="5" t="s">
        <v>81</v>
      </c>
      <c r="F81" s="11" t="n">
        <v>6563.01</v>
      </c>
      <c r="G81" s="12" t="n">
        <v>63.6398</v>
      </c>
      <c r="H81" s="12" t="n">
        <v>64.5878</v>
      </c>
      <c r="J81" s="8" t="n">
        <v>-0.95455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4</v>
      </c>
      <c r="M81" s="14" t="n">
        <v>-95.45</v>
      </c>
      <c r="N81" s="9" t="n">
        <v>-6264.72</v>
      </c>
      <c r="O81" s="9" t="n">
        <v>556589.08</v>
      </c>
    </row>
    <row r="82" customFormat="false" ht="15" hidden="false" customHeight="false" outlineLevel="0" collapsed="false">
      <c r="A82" s="6" t="n">
        <v>77</v>
      </c>
      <c r="B82" s="5" t="s">
        <v>74</v>
      </c>
      <c r="C82" s="5" t="s">
        <v>154</v>
      </c>
      <c r="D82" s="5" t="s">
        <v>155</v>
      </c>
      <c r="E82" s="5" t="s">
        <v>77</v>
      </c>
      <c r="F82" s="11" t="n">
        <v>6813.05</v>
      </c>
      <c r="G82" s="12" t="n">
        <v>64.5878</v>
      </c>
      <c r="H82" s="12" t="n">
        <v>63.456</v>
      </c>
      <c r="J82" s="8" t="n">
        <v>-1.13833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5</v>
      </c>
      <c r="M82" s="14" t="n">
        <v>-113.83</v>
      </c>
      <c r="N82" s="9" t="n">
        <v>-7755.48</v>
      </c>
      <c r="O82" s="9" t="n">
        <v>548833.6</v>
      </c>
    </row>
    <row r="83" customFormat="false" ht="15" hidden="false" customHeight="false" outlineLevel="0" collapsed="false">
      <c r="A83" s="6" t="n">
        <v>78</v>
      </c>
      <c r="B83" s="5" t="s">
        <v>74</v>
      </c>
      <c r="C83" s="5" t="s">
        <v>155</v>
      </c>
      <c r="D83" s="5" t="s">
        <v>156</v>
      </c>
      <c r="E83" s="5" t="s">
        <v>81</v>
      </c>
      <c r="F83" s="11" t="n">
        <v>5088.76</v>
      </c>
      <c r="G83" s="12" t="n">
        <v>60.0437</v>
      </c>
      <c r="H83" s="12" t="n">
        <v>47.5888</v>
      </c>
      <c r="I83" s="5" t="s">
        <v>78</v>
      </c>
      <c r="J83" s="8" t="n">
        <v>11.5021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1150.21</v>
      </c>
      <c r="N83" s="9" t="n">
        <v>58531.41</v>
      </c>
      <c r="O83" s="9" t="n">
        <v>607365.01</v>
      </c>
    </row>
    <row r="84" customFormat="false" ht="15" hidden="false" customHeight="false" outlineLevel="0" collapsed="false">
      <c r="A84" s="6" t="n">
        <v>79</v>
      </c>
      <c r="B84" s="5" t="s">
        <v>74</v>
      </c>
      <c r="C84" s="5" t="s">
        <v>156</v>
      </c>
      <c r="D84" s="5" t="s">
        <v>157</v>
      </c>
      <c r="E84" s="5" t="s">
        <v>81</v>
      </c>
      <c r="F84" s="11" t="n">
        <v>1396.2</v>
      </c>
      <c r="G84" s="12" t="n">
        <v>59.0954</v>
      </c>
      <c r="H84" s="12" t="n">
        <v>48.7705</v>
      </c>
      <c r="J84" s="8" t="n">
        <v>10.32241</v>
      </c>
      <c r="K84" s="13" t="str">
        <f aca="false">IF(J84&gt;0,"прибыль",IF(J84&lt;0,"убыток","ноль"))</f>
        <v>прибыль</v>
      </c>
      <c r="L84" s="13" t="n">
        <f aca="false">IF(C84="",L83,IF(J84&lt;0,L83+1,0))</f>
        <v>0</v>
      </c>
      <c r="M84" s="14" t="n">
        <v>1032.24</v>
      </c>
      <c r="N84" s="9" t="n">
        <v>14412.18</v>
      </c>
      <c r="O84" s="9" t="n">
        <v>621777.19</v>
      </c>
    </row>
    <row r="85" customFormat="false" ht="15" hidden="false" customHeight="false" outlineLevel="0" collapsed="false">
      <c r="A85" s="6" t="n">
        <v>80</v>
      </c>
      <c r="B85" s="5" t="s">
        <v>74</v>
      </c>
      <c r="C85" s="5" t="s">
        <v>157</v>
      </c>
      <c r="D85" s="5" t="s">
        <v>158</v>
      </c>
      <c r="E85" s="5" t="s">
        <v>81</v>
      </c>
      <c r="F85" s="11" t="n">
        <v>8547.92</v>
      </c>
      <c r="G85" s="12" t="n">
        <v>52.3312</v>
      </c>
      <c r="H85" s="12" t="n">
        <v>53.3747</v>
      </c>
      <c r="I85" s="5" t="s">
        <v>78</v>
      </c>
      <c r="J85" s="8" t="n">
        <v>2.65605</v>
      </c>
      <c r="K85" s="13" t="str">
        <f aca="false">IF(J85&gt;0,"прибыль",IF(J85&lt;0,"убыток","ноль"))</f>
        <v>прибыль</v>
      </c>
      <c r="L85" s="13" t="n">
        <f aca="false">IF(C85="",L84,IF(J85&lt;0,L84+1,0))</f>
        <v>0</v>
      </c>
      <c r="M85" s="14" t="n">
        <v>265.61</v>
      </c>
      <c r="N85" s="9" t="n">
        <v>22703.71</v>
      </c>
      <c r="O85" s="9" t="n">
        <v>644480.91</v>
      </c>
    </row>
    <row r="86" customFormat="false" ht="15" hidden="false" customHeight="false" outlineLevel="0" collapsed="false">
      <c r="A86" s="6" t="n">
        <v>81</v>
      </c>
      <c r="B86" s="5" t="s">
        <v>74</v>
      </c>
      <c r="C86" s="5" t="s">
        <v>158</v>
      </c>
      <c r="D86" s="5" t="s">
        <v>159</v>
      </c>
      <c r="E86" s="5" t="s">
        <v>77</v>
      </c>
      <c r="F86" s="11" t="n">
        <v>7939.9</v>
      </c>
      <c r="G86" s="12" t="n">
        <v>53.3747</v>
      </c>
      <c r="H86" s="12" t="n">
        <v>50.3275</v>
      </c>
      <c r="J86" s="8" t="n">
        <v>-3.05234</v>
      </c>
      <c r="K86" s="13" t="str">
        <f aca="false">IF(J86&gt;0,"прибыль",IF(J86&lt;0,"убыток","ноль"))</f>
        <v>убыток</v>
      </c>
      <c r="L86" s="13" t="n">
        <f aca="false">IF(C86="",L85,IF(J86&lt;0,L85+1,0))</f>
        <v>1</v>
      </c>
      <c r="M86" s="14" t="n">
        <v>-305.23</v>
      </c>
      <c r="N86" s="9" t="n">
        <v>-24235.26</v>
      </c>
      <c r="O86" s="9" t="n">
        <v>620245.64</v>
      </c>
    </row>
    <row r="87" customFormat="false" ht="15" hidden="false" customHeight="false" outlineLevel="0" collapsed="false">
      <c r="A87" s="6" t="n">
        <v>82</v>
      </c>
      <c r="B87" s="5" t="s">
        <v>74</v>
      </c>
      <c r="C87" s="5" t="s">
        <v>159</v>
      </c>
      <c r="D87" s="5" t="s">
        <v>160</v>
      </c>
      <c r="E87" s="5" t="s">
        <v>81</v>
      </c>
      <c r="F87" s="11" t="n">
        <v>0</v>
      </c>
      <c r="G87" s="12" t="n">
        <v>50.3275</v>
      </c>
      <c r="H87" s="12" t="n">
        <v>49.2723</v>
      </c>
      <c r="J87" s="8" t="n">
        <v>1.05275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105.28</v>
      </c>
      <c r="N87" s="9" t="n">
        <v>0</v>
      </c>
      <c r="O87" s="9" t="n">
        <v>620245.64</v>
      </c>
    </row>
    <row r="88" customFormat="false" ht="15" hidden="false" customHeight="false" outlineLevel="0" collapsed="false">
      <c r="A88" s="6" t="n">
        <v>83</v>
      </c>
      <c r="B88" s="5" t="s">
        <v>74</v>
      </c>
      <c r="C88" s="5" t="s">
        <v>160</v>
      </c>
      <c r="D88" s="5" t="s">
        <v>161</v>
      </c>
      <c r="E88" s="5" t="s">
        <v>81</v>
      </c>
      <c r="F88" s="11" t="n">
        <v>7867.31</v>
      </c>
      <c r="G88" s="12" t="n">
        <v>50.3275</v>
      </c>
      <c r="H88" s="12" t="n">
        <v>50.4409</v>
      </c>
      <c r="I88" s="5" t="s">
        <v>78</v>
      </c>
      <c r="J88" s="8" t="n">
        <v>1.58586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158.59</v>
      </c>
      <c r="N88" s="9" t="n">
        <v>12476.46</v>
      </c>
      <c r="O88" s="9" t="n">
        <v>632722.1</v>
      </c>
    </row>
    <row r="89" customFormat="false" ht="15" hidden="false" customHeight="false" outlineLevel="0" collapsed="false">
      <c r="A89" s="6" t="n">
        <v>84</v>
      </c>
      <c r="B89" s="5" t="s">
        <v>74</v>
      </c>
      <c r="C89" s="5" t="s">
        <v>161</v>
      </c>
      <c r="D89" s="5" t="s">
        <v>162</v>
      </c>
      <c r="E89" s="5" t="s">
        <v>77</v>
      </c>
      <c r="F89" s="11" t="n">
        <v>8362.5</v>
      </c>
      <c r="G89" s="12" t="n">
        <v>50.4409</v>
      </c>
      <c r="H89" s="12" t="n">
        <v>47.9028</v>
      </c>
      <c r="J89" s="8" t="n">
        <v>-2.54298</v>
      </c>
      <c r="K89" s="13" t="str">
        <f aca="false">IF(J89&gt;0,"прибыль",IF(J89&lt;0,"убыток","ноль"))</f>
        <v>убыток</v>
      </c>
      <c r="L89" s="13" t="n">
        <f aca="false">IF(C89="",L88,IF(J89&lt;0,L88+1,0))</f>
        <v>1</v>
      </c>
      <c r="M89" s="14" t="n">
        <v>-254.3</v>
      </c>
      <c r="N89" s="9" t="n">
        <v>-21265.64</v>
      </c>
      <c r="O89" s="9" t="n">
        <v>611456.46</v>
      </c>
    </row>
    <row r="90" customFormat="false" ht="15" hidden="false" customHeight="false" outlineLevel="0" collapsed="false">
      <c r="A90" s="6" t="n">
        <v>85</v>
      </c>
      <c r="B90" s="5" t="s">
        <v>74</v>
      </c>
      <c r="C90" s="5" t="s">
        <v>162</v>
      </c>
      <c r="D90" s="5" t="s">
        <v>163</v>
      </c>
      <c r="E90" s="5" t="s">
        <v>81</v>
      </c>
      <c r="F90" s="11" t="n">
        <v>2752.37</v>
      </c>
      <c r="G90" s="12" t="n">
        <v>44.8869</v>
      </c>
      <c r="H90" s="12" t="n">
        <v>37.8076</v>
      </c>
      <c r="I90" s="5" t="s">
        <v>78</v>
      </c>
      <c r="J90" s="8" t="n">
        <v>8.27468</v>
      </c>
      <c r="K90" s="13" t="str">
        <f aca="false">IF(J90&gt;0,"прибыль",IF(J90&lt;0,"убыток","ноль"))</f>
        <v>прибыль</v>
      </c>
      <c r="L90" s="13" t="n">
        <f aca="false">IF(C90="",L89,IF(J90&lt;0,L89+1,0))</f>
        <v>0</v>
      </c>
      <c r="M90" s="14" t="n">
        <v>827.47</v>
      </c>
      <c r="N90" s="9" t="n">
        <v>22774.99</v>
      </c>
      <c r="O90" s="9" t="n">
        <v>634231.44</v>
      </c>
    </row>
    <row r="91" customFormat="false" ht="15" hidden="false" customHeight="false" outlineLevel="0" collapsed="false">
      <c r="A91" s="6" t="n">
        <v>86</v>
      </c>
      <c r="B91" s="5" t="s">
        <v>74</v>
      </c>
      <c r="C91" s="5" t="s">
        <v>163</v>
      </c>
      <c r="D91" s="5" t="s">
        <v>164</v>
      </c>
      <c r="E91" s="5" t="s">
        <v>81</v>
      </c>
      <c r="F91" s="11" t="n">
        <v>3143.09</v>
      </c>
      <c r="G91" s="12" t="n">
        <v>46.0873</v>
      </c>
      <c r="H91" s="12" t="n">
        <v>32.2216</v>
      </c>
      <c r="I91" s="5" t="s">
        <v>78</v>
      </c>
      <c r="J91" s="8" t="n">
        <v>11.06997</v>
      </c>
      <c r="K91" s="13" t="str">
        <f aca="false">IF(J91&gt;0,"прибыль",IF(J91&lt;0,"убыток","ноль"))</f>
        <v>прибыль</v>
      </c>
      <c r="L91" s="13" t="n">
        <f aca="false">IF(C91="",L90,IF(J91&lt;0,L90+1,0))</f>
        <v>0</v>
      </c>
      <c r="M91" s="14" t="n">
        <v>1107</v>
      </c>
      <c r="N91" s="9" t="n">
        <v>34793.89</v>
      </c>
      <c r="O91" s="9" t="n">
        <v>669025.34</v>
      </c>
    </row>
    <row r="92" customFormat="false" ht="15" hidden="false" customHeight="false" outlineLevel="0" collapsed="false">
      <c r="A92" s="6" t="n">
        <v>87</v>
      </c>
      <c r="B92" s="5" t="s">
        <v>74</v>
      </c>
      <c r="C92" s="5" t="s">
        <v>164</v>
      </c>
      <c r="D92" s="5" t="s">
        <v>165</v>
      </c>
      <c r="E92" s="5" t="s">
        <v>81</v>
      </c>
      <c r="F92" s="11" t="n">
        <v>2067.18</v>
      </c>
      <c r="G92" s="12" t="n">
        <v>43.2932</v>
      </c>
      <c r="H92" s="12" t="n">
        <v>35.5734</v>
      </c>
      <c r="I92" s="5" t="s">
        <v>78</v>
      </c>
      <c r="J92" s="8" t="n">
        <v>6.93154</v>
      </c>
      <c r="K92" s="13" t="str">
        <f aca="false">IF(J92&gt;0,"прибыль",IF(J92&lt;0,"убыток","ноль"))</f>
        <v>прибыль</v>
      </c>
      <c r="L92" s="13" t="n">
        <f aca="false">IF(C92="",L91,IF(J92&lt;0,L91+1,0))</f>
        <v>0</v>
      </c>
      <c r="M92" s="14" t="n">
        <v>693.15</v>
      </c>
      <c r="N92" s="9" t="n">
        <v>14328.75</v>
      </c>
      <c r="O92" s="9" t="n">
        <v>683354.08</v>
      </c>
    </row>
    <row r="93" customFormat="false" ht="15" hidden="false" customHeight="false" outlineLevel="0" collapsed="false">
      <c r="A93" s="6" t="n">
        <v>88</v>
      </c>
      <c r="B93" s="5" t="s">
        <v>74</v>
      </c>
      <c r="C93" s="5" t="s">
        <v>165</v>
      </c>
      <c r="D93" s="5" t="s">
        <v>166</v>
      </c>
      <c r="E93" s="5" t="s">
        <v>81</v>
      </c>
      <c r="F93" s="11" t="n">
        <v>6994.08</v>
      </c>
      <c r="G93" s="12" t="n">
        <v>40.6608</v>
      </c>
      <c r="H93" s="12" t="n">
        <v>34.3905</v>
      </c>
      <c r="J93" s="8" t="n">
        <v>6.26677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626.68</v>
      </c>
      <c r="N93" s="9" t="n">
        <v>43830.24</v>
      </c>
      <c r="O93" s="9" t="n">
        <v>727184.33</v>
      </c>
    </row>
    <row r="94" customFormat="false" ht="15" hidden="false" customHeight="false" outlineLevel="0" collapsed="false">
      <c r="A94" s="6" t="n">
        <v>89</v>
      </c>
      <c r="B94" s="5" t="s">
        <v>74</v>
      </c>
      <c r="C94" s="5" t="s">
        <v>166</v>
      </c>
      <c r="D94" s="5" t="s">
        <v>167</v>
      </c>
      <c r="E94" s="5" t="s">
        <v>77</v>
      </c>
      <c r="F94" s="11" t="n">
        <v>5820.36</v>
      </c>
      <c r="G94" s="12" t="n">
        <v>34.3905</v>
      </c>
      <c r="H94" s="12" t="n">
        <v>33.8113</v>
      </c>
      <c r="J94" s="8" t="n">
        <v>-0.58261</v>
      </c>
      <c r="K94" s="13" t="str">
        <f aca="false">IF(J94&gt;0,"прибыль",IF(J94&lt;0,"убыток","ноль"))</f>
        <v>убыток</v>
      </c>
      <c r="L94" s="13" t="n">
        <f aca="false">IF(C94="",L93,IF(J94&lt;0,L93+1,0))</f>
        <v>1</v>
      </c>
      <c r="M94" s="14" t="n">
        <v>-58.26</v>
      </c>
      <c r="N94" s="9" t="n">
        <v>-3391.01</v>
      </c>
      <c r="O94" s="9" t="n">
        <v>723793.32</v>
      </c>
    </row>
    <row r="95" customFormat="false" ht="15" hidden="false" customHeight="false" outlineLevel="0" collapsed="false">
      <c r="A95" s="6" t="n">
        <v>90</v>
      </c>
      <c r="B95" s="5" t="s">
        <v>74</v>
      </c>
      <c r="C95" s="5" t="s">
        <v>167</v>
      </c>
      <c r="D95" s="5" t="s">
        <v>168</v>
      </c>
      <c r="E95" s="5" t="s">
        <v>81</v>
      </c>
      <c r="F95" s="11" t="n">
        <v>5945.74</v>
      </c>
      <c r="G95" s="12" t="n">
        <v>33.8113</v>
      </c>
      <c r="H95" s="12" t="n">
        <v>35.229</v>
      </c>
      <c r="J95" s="8" t="n">
        <v>-1.42141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2</v>
      </c>
      <c r="M95" s="14" t="n">
        <v>-142.14</v>
      </c>
      <c r="N95" s="9" t="n">
        <v>-8451.35</v>
      </c>
      <c r="O95" s="9" t="n">
        <v>715341.97</v>
      </c>
    </row>
    <row r="96" customFormat="false" ht="15" hidden="false" customHeight="false" outlineLevel="0" collapsed="false">
      <c r="A96" s="6" t="n">
        <v>91</v>
      </c>
      <c r="B96" s="5" t="s">
        <v>74</v>
      </c>
      <c r="C96" s="5" t="s">
        <v>168</v>
      </c>
      <c r="D96" s="5" t="s">
        <v>169</v>
      </c>
      <c r="E96" s="5" t="s">
        <v>77</v>
      </c>
      <c r="F96" s="11" t="n">
        <v>2552.12</v>
      </c>
      <c r="G96" s="12" t="n">
        <v>37.0104</v>
      </c>
      <c r="H96" s="12" t="n">
        <v>42.7196</v>
      </c>
      <c r="I96" s="5" t="s">
        <v>78</v>
      </c>
      <c r="J96" s="8" t="n">
        <v>5.73329</v>
      </c>
      <c r="K96" s="13" t="str">
        <f aca="false">IF(J96&gt;0,"прибыль",IF(J96&lt;0,"убыток","ноль"))</f>
        <v>прибыль</v>
      </c>
      <c r="L96" s="13" t="n">
        <f aca="false">IF(C96="",L95,IF(J96&lt;0,L95+1,0))</f>
        <v>0</v>
      </c>
      <c r="M96" s="14" t="n">
        <v>573.33</v>
      </c>
      <c r="N96" s="9" t="n">
        <v>14632.06</v>
      </c>
      <c r="O96" s="9" t="n">
        <v>729974.02</v>
      </c>
    </row>
    <row r="97" customFormat="false" ht="15" hidden="false" customHeight="false" outlineLevel="0" collapsed="false">
      <c r="A97" s="6" t="n">
        <v>92</v>
      </c>
      <c r="B97" s="5" t="s">
        <v>74</v>
      </c>
      <c r="C97" s="5" t="s">
        <v>169</v>
      </c>
      <c r="D97" s="5" t="s">
        <v>170</v>
      </c>
      <c r="E97" s="5" t="s">
        <v>77</v>
      </c>
      <c r="F97" s="11" t="n">
        <v>4693.29</v>
      </c>
      <c r="G97" s="12" t="n">
        <v>41.3866</v>
      </c>
      <c r="H97" s="12" t="n">
        <v>49.2282</v>
      </c>
      <c r="I97" s="5" t="s">
        <v>78</v>
      </c>
      <c r="J97" s="8" t="n">
        <v>8.28664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828.66</v>
      </c>
      <c r="N97" s="9" t="n">
        <v>38891.58</v>
      </c>
      <c r="O97" s="9" t="n">
        <v>768865.61</v>
      </c>
    </row>
    <row r="98" customFormat="false" ht="15" hidden="false" customHeight="false" outlineLevel="0" collapsed="false">
      <c r="A98" s="6" t="n">
        <v>93</v>
      </c>
      <c r="B98" s="5" t="s">
        <v>74</v>
      </c>
      <c r="C98" s="5" t="s">
        <v>170</v>
      </c>
      <c r="D98" s="5" t="s">
        <v>171</v>
      </c>
      <c r="E98" s="5" t="s">
        <v>77</v>
      </c>
      <c r="F98" s="11" t="n">
        <v>2169.08</v>
      </c>
      <c r="G98" s="12" t="n">
        <v>40.9366</v>
      </c>
      <c r="H98" s="12" t="n">
        <v>48.6752</v>
      </c>
      <c r="J98" s="8" t="n">
        <v>7.73622</v>
      </c>
      <c r="K98" s="13" t="str">
        <f aca="false">IF(J98&gt;0,"прибыль",IF(J98&lt;0,"убыток","ноль"))</f>
        <v>прибыль</v>
      </c>
      <c r="L98" s="13" t="n">
        <f aca="false">IF(C98="",L97,IF(J98&lt;0,L97+1,0))</f>
        <v>0</v>
      </c>
      <c r="M98" s="14" t="n">
        <v>773.62</v>
      </c>
      <c r="N98" s="9" t="n">
        <v>16780.47</v>
      </c>
      <c r="O98" s="9" t="n">
        <v>785646.08</v>
      </c>
    </row>
    <row r="99" customFormat="false" ht="15" hidden="false" customHeight="false" outlineLevel="0" collapsed="false">
      <c r="A99" s="6" t="n">
        <v>94</v>
      </c>
      <c r="B99" s="5" t="s">
        <v>74</v>
      </c>
      <c r="C99" s="5" t="s">
        <v>171</v>
      </c>
      <c r="D99" s="5" t="s">
        <v>172</v>
      </c>
      <c r="E99" s="5" t="s">
        <v>77</v>
      </c>
      <c r="F99" s="11" t="n">
        <v>7643.45</v>
      </c>
      <c r="G99" s="12" t="n">
        <v>40.9366</v>
      </c>
      <c r="H99" s="12" t="n">
        <v>46.5003</v>
      </c>
      <c r="I99" s="5" t="s">
        <v>78</v>
      </c>
      <c r="J99" s="8" t="n">
        <v>4.95961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495.96</v>
      </c>
      <c r="N99" s="9" t="n">
        <v>37908.48</v>
      </c>
      <c r="O99" s="9" t="n">
        <v>823554.55</v>
      </c>
    </row>
    <row r="100" customFormat="false" ht="15" hidden="false" customHeight="false" outlineLevel="0" collapsed="false">
      <c r="A100" s="6" t="n">
        <v>95</v>
      </c>
      <c r="B100" s="5" t="s">
        <v>74</v>
      </c>
      <c r="C100" s="5" t="s">
        <v>172</v>
      </c>
      <c r="D100" s="5" t="s">
        <v>173</v>
      </c>
      <c r="E100" s="5" t="s">
        <v>81</v>
      </c>
      <c r="F100" s="11" t="n">
        <v>0</v>
      </c>
      <c r="G100" s="12" t="n">
        <v>46.5003</v>
      </c>
      <c r="H100" s="12" t="n">
        <v>46.6796</v>
      </c>
      <c r="J100" s="8" t="n">
        <v>-0.18171</v>
      </c>
      <c r="K100" s="13" t="str">
        <f aca="false">IF(J100&gt;0,"прибыль",IF(J100&lt;0,"убыток","ноль"))</f>
        <v>убыток</v>
      </c>
      <c r="L100" s="13" t="n">
        <f aca="false">IF(C100="",L99,IF(J100&lt;0,L99+1,0))</f>
        <v>1</v>
      </c>
      <c r="M100" s="14" t="n">
        <v>-18.17</v>
      </c>
      <c r="N100" s="9" t="n">
        <v>0</v>
      </c>
      <c r="O100" s="9" t="n">
        <v>823554.55</v>
      </c>
    </row>
    <row r="101" customFormat="false" ht="15" hidden="false" customHeight="false" outlineLevel="0" collapsed="false">
      <c r="A101" s="6" t="n">
        <v>96</v>
      </c>
      <c r="B101" s="5" t="s">
        <v>74</v>
      </c>
      <c r="C101" s="5" t="s">
        <v>173</v>
      </c>
      <c r="D101" s="5" t="s">
        <v>174</v>
      </c>
      <c r="E101" s="5" t="s">
        <v>81</v>
      </c>
      <c r="F101" s="11" t="n">
        <v>2821.52</v>
      </c>
      <c r="G101" s="12" t="n">
        <v>45.1915</v>
      </c>
      <c r="H101" s="12" t="n">
        <v>46.12</v>
      </c>
      <c r="I101" s="5" t="s">
        <v>78</v>
      </c>
      <c r="J101" s="8" t="n">
        <v>-1.11626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2</v>
      </c>
      <c r="M101" s="14" t="n">
        <v>-111.63</v>
      </c>
      <c r="N101" s="9" t="n">
        <v>-3149.55</v>
      </c>
      <c r="O101" s="9" t="n">
        <v>820405</v>
      </c>
    </row>
    <row r="102" customFormat="false" ht="15" hidden="false" customHeight="false" outlineLevel="0" collapsed="false">
      <c r="A102" s="6" t="n">
        <v>97</v>
      </c>
      <c r="B102" s="5" t="s">
        <v>74</v>
      </c>
      <c r="C102" s="5" t="s">
        <v>174</v>
      </c>
      <c r="D102" s="5" t="s">
        <v>175</v>
      </c>
      <c r="E102" s="5" t="s">
        <v>81</v>
      </c>
      <c r="F102" s="11" t="n">
        <v>10098.1</v>
      </c>
      <c r="G102" s="12" t="n">
        <v>45.0105</v>
      </c>
      <c r="H102" s="12" t="n">
        <v>50.8669</v>
      </c>
      <c r="J102" s="8" t="n">
        <v>-5.86119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3</v>
      </c>
      <c r="M102" s="14" t="n">
        <v>-586.12</v>
      </c>
      <c r="N102" s="9" t="n">
        <v>-59186.89</v>
      </c>
      <c r="O102" s="9" t="n">
        <v>761218.11</v>
      </c>
    </row>
    <row r="103" customFormat="false" ht="15" hidden="false" customHeight="false" outlineLevel="0" collapsed="false">
      <c r="A103" s="6" t="n">
        <v>98</v>
      </c>
      <c r="B103" s="5" t="s">
        <v>74</v>
      </c>
      <c r="C103" s="5" t="s">
        <v>175</v>
      </c>
      <c r="D103" s="5" t="s">
        <v>176</v>
      </c>
      <c r="E103" s="5" t="s">
        <v>77</v>
      </c>
      <c r="F103" s="11" t="n">
        <v>0</v>
      </c>
      <c r="G103" s="12" t="n">
        <v>50.8669</v>
      </c>
      <c r="H103" s="12" t="n">
        <v>49.043</v>
      </c>
      <c r="J103" s="8" t="n">
        <v>-1.82638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4</v>
      </c>
      <c r="M103" s="14" t="n">
        <v>-182.64</v>
      </c>
      <c r="N103" s="9" t="n">
        <v>0</v>
      </c>
      <c r="O103" s="9" t="n">
        <v>761218.11</v>
      </c>
    </row>
    <row r="104" customFormat="false" ht="15" hidden="false" customHeight="false" outlineLevel="0" collapsed="false">
      <c r="A104" s="6" t="n">
        <v>99</v>
      </c>
      <c r="B104" s="5" t="s">
        <v>74</v>
      </c>
      <c r="C104" s="5" t="s">
        <v>176</v>
      </c>
      <c r="D104" s="5" t="s">
        <v>177</v>
      </c>
      <c r="E104" s="5" t="s">
        <v>77</v>
      </c>
      <c r="F104" s="11" t="n">
        <v>9025.56</v>
      </c>
      <c r="G104" s="12" t="n">
        <v>50.8669</v>
      </c>
      <c r="H104" s="12" t="n">
        <v>48.9555</v>
      </c>
      <c r="J104" s="8" t="n">
        <v>-1.91634</v>
      </c>
      <c r="K104" s="13" t="str">
        <f aca="false">IF(J104&gt;0,"прибыль",IF(J104&lt;0,"убыток","ноль"))</f>
        <v>убыток</v>
      </c>
      <c r="L104" s="13" t="n">
        <f aca="false">IF(C104="",L103,IF(J104&lt;0,L103+1,0))</f>
        <v>5</v>
      </c>
      <c r="M104" s="14" t="n">
        <v>-191.63</v>
      </c>
      <c r="N104" s="9" t="n">
        <v>-17296.03</v>
      </c>
      <c r="O104" s="9" t="n">
        <v>743922.08</v>
      </c>
    </row>
    <row r="105" customFormat="false" ht="15" hidden="false" customHeight="false" outlineLevel="0" collapsed="false">
      <c r="A105" s="6" t="n">
        <v>100</v>
      </c>
      <c r="B105" s="5" t="s">
        <v>74</v>
      </c>
      <c r="C105" s="5" t="s">
        <v>177</v>
      </c>
      <c r="D105" s="5" t="s">
        <v>178</v>
      </c>
      <c r="E105" s="5" t="s">
        <v>81</v>
      </c>
      <c r="F105" s="11" t="n">
        <v>9374.95</v>
      </c>
      <c r="G105" s="12" t="n">
        <v>48.9555</v>
      </c>
      <c r="H105" s="12" t="n">
        <v>48.4135</v>
      </c>
      <c r="J105" s="8" t="n">
        <v>0.53718</v>
      </c>
      <c r="K105" s="13" t="str">
        <f aca="false">IF(J105&gt;0,"прибыль",IF(J105&lt;0,"убыток","ноль"))</f>
        <v>прибыль</v>
      </c>
      <c r="L105" s="13" t="n">
        <f aca="false">IF(C105="",L104,IF(J105&lt;0,L104+1,0))</f>
        <v>0</v>
      </c>
      <c r="M105" s="14" t="n">
        <v>53.72</v>
      </c>
      <c r="N105" s="9" t="n">
        <v>5036.03</v>
      </c>
      <c r="O105" s="9" t="n">
        <v>748958.11</v>
      </c>
    </row>
    <row r="106" customFormat="false" ht="15" hidden="false" customHeight="false" outlineLevel="0" collapsed="false">
      <c r="A106" s="6" t="n">
        <v>101</v>
      </c>
      <c r="B106" s="5" t="s">
        <v>74</v>
      </c>
      <c r="C106" s="5" t="s">
        <v>178</v>
      </c>
      <c r="D106" s="5" t="s">
        <v>179</v>
      </c>
      <c r="E106" s="5" t="s">
        <v>77</v>
      </c>
      <c r="F106" s="11" t="n">
        <v>9519.81</v>
      </c>
      <c r="G106" s="12" t="n">
        <v>48.4135</v>
      </c>
      <c r="H106" s="12" t="n">
        <v>46.8971</v>
      </c>
      <c r="J106" s="8" t="n">
        <v>-1.52112</v>
      </c>
      <c r="K106" s="13" t="str">
        <f aca="false">IF(J106&gt;0,"прибыль",IF(J106&lt;0,"убыток","ноль"))</f>
        <v>убыток</v>
      </c>
      <c r="L106" s="13" t="n">
        <f aca="false">IF(C106="",L105,IF(J106&lt;0,L105+1,0))</f>
        <v>1</v>
      </c>
      <c r="M106" s="14" t="n">
        <v>-152.11</v>
      </c>
      <c r="N106" s="9" t="n">
        <v>-14480.75</v>
      </c>
      <c r="O106" s="9" t="n">
        <v>734477.36</v>
      </c>
    </row>
    <row r="107" customFormat="false" ht="15" hidden="false" customHeight="false" outlineLevel="0" collapsed="false">
      <c r="A107" s="6" t="n">
        <v>102</v>
      </c>
      <c r="B107" s="5" t="s">
        <v>74</v>
      </c>
      <c r="C107" s="5" t="s">
        <v>179</v>
      </c>
      <c r="D107" s="5" t="s">
        <v>180</v>
      </c>
      <c r="E107" s="5" t="s">
        <v>81</v>
      </c>
      <c r="F107" s="11" t="n">
        <v>9817.58</v>
      </c>
      <c r="G107" s="12" t="n">
        <v>46.8971</v>
      </c>
      <c r="H107" s="12" t="n">
        <v>45.8308</v>
      </c>
      <c r="I107" s="5" t="s">
        <v>78</v>
      </c>
      <c r="J107" s="8" t="n">
        <v>-0.21421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2</v>
      </c>
      <c r="M107" s="14" t="n">
        <v>-21.42</v>
      </c>
      <c r="N107" s="9" t="n">
        <v>-2103.06</v>
      </c>
      <c r="O107" s="9" t="n">
        <v>732374.3</v>
      </c>
    </row>
    <row r="108" customFormat="false" ht="15" hidden="false" customHeight="false" outlineLevel="0" collapsed="false">
      <c r="A108" s="6" t="n">
        <v>103</v>
      </c>
      <c r="B108" s="5" t="s">
        <v>74</v>
      </c>
      <c r="C108" s="5" t="s">
        <v>180</v>
      </c>
      <c r="D108" s="5" t="s">
        <v>181</v>
      </c>
      <c r="E108" s="5" t="s">
        <v>77</v>
      </c>
      <c r="F108" s="11" t="n">
        <v>14113.57</v>
      </c>
      <c r="G108" s="12" t="n">
        <v>46.6454</v>
      </c>
      <c r="H108" s="12" t="n">
        <v>48.2392</v>
      </c>
      <c r="I108" s="5" t="s">
        <v>78</v>
      </c>
      <c r="J108" s="8" t="n">
        <v>0.0015</v>
      </c>
      <c r="K108" s="13" t="str">
        <f aca="false">IF(J108&gt;0,"прибыль",IF(J108&lt;0,"убыток","ноль"))</f>
        <v>прибыль</v>
      </c>
      <c r="L108" s="13" t="n">
        <f aca="false">IF(C108="",L107,IF(J108&lt;0,L107+1,0))</f>
        <v>0</v>
      </c>
      <c r="M108" s="14" t="n">
        <v>0.15</v>
      </c>
      <c r="N108" s="9" t="n">
        <v>21.19</v>
      </c>
      <c r="O108" s="9" t="n">
        <v>732395.48</v>
      </c>
    </row>
    <row r="109" customFormat="false" ht="15" hidden="false" customHeight="false" outlineLevel="0" collapsed="false">
      <c r="A109" s="6" t="n">
        <v>104</v>
      </c>
      <c r="B109" s="5" t="s">
        <v>74</v>
      </c>
      <c r="C109" s="5" t="s">
        <v>181</v>
      </c>
      <c r="D109" s="5" t="s">
        <v>182</v>
      </c>
      <c r="E109" s="5" t="s">
        <v>81</v>
      </c>
      <c r="F109" s="11" t="n">
        <v>6988.74</v>
      </c>
      <c r="G109" s="12" t="n">
        <v>47.7402</v>
      </c>
      <c r="H109" s="12" t="n">
        <v>47.1802</v>
      </c>
      <c r="I109" s="5" t="s">
        <v>78</v>
      </c>
      <c r="J109" s="8" t="n">
        <v>0.19064</v>
      </c>
      <c r="K109" s="13" t="str">
        <f aca="false">IF(J109&gt;0,"прибыль",IF(J109&lt;0,"убыток","ноль"))</f>
        <v>прибыль</v>
      </c>
      <c r="L109" s="13" t="n">
        <f aca="false">IF(C109="",L108,IF(J109&lt;0,L108+1,0))</f>
        <v>0</v>
      </c>
      <c r="M109" s="14" t="n">
        <v>19.06</v>
      </c>
      <c r="N109" s="9" t="n">
        <v>1332.34</v>
      </c>
      <c r="O109" s="9" t="n">
        <v>733727.82</v>
      </c>
    </row>
    <row r="110" customFormat="false" ht="15" hidden="false" customHeight="false" outlineLevel="0" collapsed="false">
      <c r="A110" s="6" t="n">
        <v>105</v>
      </c>
      <c r="B110" s="5" t="s">
        <v>74</v>
      </c>
      <c r="C110" s="5" t="s">
        <v>182</v>
      </c>
      <c r="D110" s="5" t="s">
        <v>183</v>
      </c>
      <c r="E110" s="5" t="s">
        <v>81</v>
      </c>
      <c r="F110" s="11" t="n">
        <v>10117.87</v>
      </c>
      <c r="G110" s="12" t="n">
        <v>47.3746</v>
      </c>
      <c r="H110" s="12" t="n">
        <v>49.1899</v>
      </c>
      <c r="J110" s="8" t="n">
        <v>-1.81976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1</v>
      </c>
      <c r="M110" s="14" t="n">
        <v>-181.98</v>
      </c>
      <c r="N110" s="9" t="n">
        <v>-18412.08</v>
      </c>
      <c r="O110" s="9" t="n">
        <v>715315.75</v>
      </c>
    </row>
    <row r="111" customFormat="false" ht="15" hidden="false" customHeight="false" outlineLevel="0" collapsed="false">
      <c r="A111" s="6" t="n">
        <v>106</v>
      </c>
      <c r="B111" s="5" t="s">
        <v>74</v>
      </c>
      <c r="C111" s="5" t="s">
        <v>183</v>
      </c>
      <c r="D111" s="5" t="s">
        <v>184</v>
      </c>
      <c r="E111" s="5" t="s">
        <v>77</v>
      </c>
      <c r="F111" s="11" t="n">
        <v>8463.87</v>
      </c>
      <c r="G111" s="12" t="n">
        <v>49.1899</v>
      </c>
      <c r="H111" s="12" t="n">
        <v>48.8819</v>
      </c>
      <c r="J111" s="8" t="n">
        <v>-0.31291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2</v>
      </c>
      <c r="M111" s="14" t="n">
        <v>-31.29</v>
      </c>
      <c r="N111" s="9" t="n">
        <v>-2648.41</v>
      </c>
      <c r="O111" s="9" t="n">
        <v>712667.34</v>
      </c>
    </row>
    <row r="112" customFormat="false" ht="15" hidden="false" customHeight="false" outlineLevel="0" collapsed="false">
      <c r="A112" s="6" t="n">
        <v>107</v>
      </c>
      <c r="B112" s="5" t="s">
        <v>74</v>
      </c>
      <c r="C112" s="5" t="s">
        <v>184</v>
      </c>
      <c r="D112" s="5" t="s">
        <v>185</v>
      </c>
      <c r="E112" s="5" t="s">
        <v>81</v>
      </c>
      <c r="F112" s="11" t="n">
        <v>2724.01</v>
      </c>
      <c r="G112" s="12" t="n">
        <v>48.8819</v>
      </c>
      <c r="H112" s="12" t="n">
        <v>50.5328</v>
      </c>
      <c r="J112" s="8" t="n">
        <v>-1.65345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3</v>
      </c>
      <c r="M112" s="14" t="n">
        <v>-165.34</v>
      </c>
      <c r="N112" s="9" t="n">
        <v>-4504.01</v>
      </c>
      <c r="O112" s="9" t="n">
        <v>708163.33</v>
      </c>
    </row>
    <row r="113" customFormat="false" ht="15" hidden="false" customHeight="false" outlineLevel="0" collapsed="false">
      <c r="A113" s="6" t="n">
        <v>108</v>
      </c>
      <c r="B113" s="5" t="s">
        <v>74</v>
      </c>
      <c r="C113" s="5" t="s">
        <v>185</v>
      </c>
      <c r="D113" s="5" t="s">
        <v>186</v>
      </c>
      <c r="E113" s="5" t="s">
        <v>81</v>
      </c>
      <c r="F113" s="11" t="n">
        <v>5584.41</v>
      </c>
      <c r="G113" s="12" t="n">
        <v>48.8819</v>
      </c>
      <c r="H113" s="12" t="n">
        <v>56.0979</v>
      </c>
      <c r="I113" s="5" t="s">
        <v>78</v>
      </c>
      <c r="J113" s="8" t="n">
        <v>-3.56961</v>
      </c>
      <c r="K113" s="13" t="str">
        <f aca="false">IF(J113&gt;0,"прибыль",IF(J113&lt;0,"убыток","ноль"))</f>
        <v>убыток</v>
      </c>
      <c r="L113" s="13" t="n">
        <f aca="false">IF(C113="",L112,IF(J113&lt;0,L112+1,0))</f>
        <v>4</v>
      </c>
      <c r="M113" s="14" t="n">
        <v>-356.96</v>
      </c>
      <c r="N113" s="9" t="n">
        <v>-19934.15</v>
      </c>
      <c r="O113" s="9" t="n">
        <v>688229.19</v>
      </c>
    </row>
    <row r="114" customFormat="false" ht="15" hidden="false" customHeight="false" outlineLevel="0" collapsed="false">
      <c r="A114" s="6" t="n">
        <v>109</v>
      </c>
      <c r="B114" s="5" t="s">
        <v>74</v>
      </c>
      <c r="C114" s="5" t="s">
        <v>186</v>
      </c>
      <c r="D114" s="5" t="s">
        <v>187</v>
      </c>
      <c r="E114" s="5" t="s">
        <v>77</v>
      </c>
      <c r="F114" s="11" t="n">
        <v>5753.79</v>
      </c>
      <c r="G114" s="12" t="n">
        <v>56.0979</v>
      </c>
      <c r="H114" s="12" t="n">
        <v>54.5483</v>
      </c>
      <c r="J114" s="8" t="n">
        <v>-1.55526</v>
      </c>
      <c r="K114" s="13" t="str">
        <f aca="false">IF(J114&gt;0,"прибыль",IF(J114&lt;0,"убыток","ноль"))</f>
        <v>убыток</v>
      </c>
      <c r="L114" s="13" t="n">
        <f aca="false">IF(C114="",L113,IF(J114&lt;0,L113+1,0))</f>
        <v>5</v>
      </c>
      <c r="M114" s="14" t="n">
        <v>-155.53</v>
      </c>
      <c r="N114" s="9" t="n">
        <v>-8948.64</v>
      </c>
      <c r="O114" s="9" t="n">
        <v>679280.55</v>
      </c>
    </row>
    <row r="115" customFormat="false" ht="15" hidden="false" customHeight="false" outlineLevel="0" collapsed="false">
      <c r="A115" s="6" t="n">
        <v>110</v>
      </c>
      <c r="B115" s="5" t="s">
        <v>74</v>
      </c>
      <c r="C115" s="5" t="s">
        <v>187</v>
      </c>
      <c r="D115" s="5" t="s">
        <v>188</v>
      </c>
      <c r="E115" s="5" t="s">
        <v>81</v>
      </c>
      <c r="F115" s="11" t="n">
        <v>6202.64</v>
      </c>
      <c r="G115" s="12" t="n">
        <v>54.5483</v>
      </c>
      <c r="H115" s="12" t="n">
        <v>56.0136</v>
      </c>
      <c r="J115" s="8" t="n">
        <v>-1.47077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6</v>
      </c>
      <c r="M115" s="14" t="n">
        <v>-147.08</v>
      </c>
      <c r="N115" s="9" t="n">
        <v>-9122.66</v>
      </c>
      <c r="O115" s="9" t="n">
        <v>670157.89</v>
      </c>
    </row>
    <row r="116" customFormat="false" ht="15" hidden="false" customHeight="false" outlineLevel="0" collapsed="false">
      <c r="A116" s="6" t="n">
        <v>111</v>
      </c>
      <c r="B116" s="5" t="s">
        <v>74</v>
      </c>
      <c r="C116" s="5" t="s">
        <v>188</v>
      </c>
      <c r="D116" s="5" t="s">
        <v>189</v>
      </c>
      <c r="E116" s="5" t="s">
        <v>77</v>
      </c>
      <c r="F116" s="11" t="n">
        <v>3160.89</v>
      </c>
      <c r="G116" s="12" t="n">
        <v>56.5225</v>
      </c>
      <c r="H116" s="12" t="n">
        <v>55.1288</v>
      </c>
      <c r="J116" s="8" t="n">
        <v>-1.40321</v>
      </c>
      <c r="K116" s="13" t="str">
        <f aca="false">IF(J116&gt;0,"прибыль",IF(J116&lt;0,"убыток","ноль"))</f>
        <v>убыток</v>
      </c>
      <c r="L116" s="13" t="n">
        <f aca="false">IF(C116="",L115,IF(J116&lt;0,L115+1,0))</f>
        <v>7</v>
      </c>
      <c r="M116" s="14" t="n">
        <v>-140.32</v>
      </c>
      <c r="N116" s="9" t="n">
        <v>-4435.4</v>
      </c>
      <c r="O116" s="9" t="n">
        <v>665722.49</v>
      </c>
    </row>
    <row r="117" customFormat="false" ht="15" hidden="false" customHeight="false" outlineLevel="0" collapsed="false">
      <c r="A117" s="6" t="n">
        <v>112</v>
      </c>
      <c r="B117" s="5" t="s">
        <v>74</v>
      </c>
      <c r="C117" s="5" t="s">
        <v>189</v>
      </c>
      <c r="D117" s="5" t="s">
        <v>190</v>
      </c>
      <c r="E117" s="5" t="s">
        <v>77</v>
      </c>
      <c r="F117" s="11" t="n">
        <v>10288.1</v>
      </c>
      <c r="G117" s="12" t="n">
        <v>56.5225</v>
      </c>
      <c r="H117" s="12" t="n">
        <v>55.7944</v>
      </c>
      <c r="I117" s="5" t="s">
        <v>78</v>
      </c>
      <c r="J117" s="8" t="n">
        <v>-1.6174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8</v>
      </c>
      <c r="M117" s="14" t="n">
        <v>-161.74</v>
      </c>
      <c r="N117" s="9" t="n">
        <v>-16639.94</v>
      </c>
      <c r="O117" s="9" t="n">
        <v>649082.56</v>
      </c>
    </row>
    <row r="118" customFormat="false" ht="15" hidden="false" customHeight="false" outlineLevel="0" collapsed="false">
      <c r="A118" s="6" t="n">
        <v>113</v>
      </c>
      <c r="B118" s="5" t="s">
        <v>74</v>
      </c>
      <c r="C118" s="5" t="s">
        <v>190</v>
      </c>
      <c r="D118" s="5" t="s">
        <v>191</v>
      </c>
      <c r="E118" s="5" t="s">
        <v>81</v>
      </c>
      <c r="F118" s="11" t="n">
        <v>14693.11</v>
      </c>
      <c r="G118" s="12" t="n">
        <v>55.6741</v>
      </c>
      <c r="H118" s="12" t="n">
        <v>55.7274</v>
      </c>
      <c r="J118" s="8" t="n">
        <v>-0.05951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9</v>
      </c>
      <c r="M118" s="14" t="n">
        <v>-5.95</v>
      </c>
      <c r="N118" s="9" t="n">
        <v>-874.33</v>
      </c>
      <c r="O118" s="9" t="n">
        <v>648208.23</v>
      </c>
    </row>
    <row r="119" customFormat="false" ht="15" hidden="false" customHeight="false" outlineLevel="0" collapsed="false">
      <c r="A119" s="6" t="n">
        <v>114</v>
      </c>
      <c r="B119" s="5" t="s">
        <v>74</v>
      </c>
      <c r="C119" s="5" t="s">
        <v>191</v>
      </c>
      <c r="D119" s="5" t="s">
        <v>192</v>
      </c>
      <c r="E119" s="5" t="s">
        <v>77</v>
      </c>
      <c r="F119" s="11" t="n">
        <v>0</v>
      </c>
      <c r="G119" s="12" t="n">
        <v>55.7274</v>
      </c>
      <c r="H119" s="12" t="n">
        <v>56.6198</v>
      </c>
      <c r="J119" s="8" t="n">
        <v>0.88955</v>
      </c>
      <c r="K119" s="13" t="str">
        <f aca="false">IF(J119&gt;0,"прибыль",IF(J119&lt;0,"убыток","ноль"))</f>
        <v>прибыль</v>
      </c>
      <c r="L119" s="13" t="n">
        <f aca="false">IF(C119="",L118,IF(J119&lt;0,L118+1,0))</f>
        <v>0</v>
      </c>
      <c r="M119" s="14" t="n">
        <v>88.96</v>
      </c>
      <c r="N119" s="9" t="n">
        <v>0</v>
      </c>
      <c r="O119" s="9" t="n">
        <v>648208.23</v>
      </c>
    </row>
    <row r="120" customFormat="false" ht="15" hidden="false" customHeight="false" outlineLevel="0" collapsed="false">
      <c r="A120" s="6" t="n">
        <v>115</v>
      </c>
      <c r="B120" s="5" t="s">
        <v>74</v>
      </c>
      <c r="C120" s="5" t="s">
        <v>192</v>
      </c>
      <c r="D120" s="5" t="s">
        <v>193</v>
      </c>
      <c r="E120" s="5" t="s">
        <v>77</v>
      </c>
      <c r="F120" s="11" t="n">
        <v>15194.18</v>
      </c>
      <c r="G120" s="12" t="n">
        <v>55.7274</v>
      </c>
      <c r="H120" s="12" t="n">
        <v>55.5484</v>
      </c>
      <c r="J120" s="8" t="n">
        <v>-0.18422</v>
      </c>
      <c r="K120" s="13" t="str">
        <f aca="false">IF(J120&gt;0,"прибыль",IF(J120&lt;0,"убыток","ноль"))</f>
        <v>убыток</v>
      </c>
      <c r="L120" s="13" t="n">
        <f aca="false">IF(C120="",L119,IF(J120&lt;0,L119+1,0))</f>
        <v>1</v>
      </c>
      <c r="M120" s="14" t="n">
        <v>-18.42</v>
      </c>
      <c r="N120" s="9" t="n">
        <v>-2799.01</v>
      </c>
      <c r="O120" s="9" t="n">
        <v>645409.21</v>
      </c>
    </row>
    <row r="121" customFormat="false" ht="15" hidden="false" customHeight="false" outlineLevel="0" collapsed="false">
      <c r="A121" s="6" t="n">
        <v>116</v>
      </c>
      <c r="B121" s="5" t="s">
        <v>74</v>
      </c>
      <c r="C121" s="5" t="s">
        <v>193</v>
      </c>
      <c r="D121" s="5" t="s">
        <v>194</v>
      </c>
      <c r="E121" s="5" t="s">
        <v>81</v>
      </c>
      <c r="F121" s="11" t="n">
        <v>5370.21</v>
      </c>
      <c r="G121" s="12" t="n">
        <v>55.5843</v>
      </c>
      <c r="H121" s="12" t="n">
        <v>52.6598</v>
      </c>
      <c r="I121" s="5" t="s">
        <v>78</v>
      </c>
      <c r="J121" s="8" t="n">
        <v>3.65036</v>
      </c>
      <c r="K121" s="13" t="str">
        <f aca="false">IF(J121&gt;0,"прибыль",IF(J121&lt;0,"убыток","ноль"))</f>
        <v>прибыль</v>
      </c>
      <c r="L121" s="13" t="n">
        <f aca="false">IF(C121="",L120,IF(J121&lt;0,L120+1,0))</f>
        <v>0</v>
      </c>
      <c r="M121" s="14" t="n">
        <v>365.04</v>
      </c>
      <c r="N121" s="9" t="n">
        <v>19603.19</v>
      </c>
      <c r="O121" s="9" t="n">
        <v>665012.4</v>
      </c>
    </row>
    <row r="122" customFormat="false" ht="15" hidden="false" customHeight="false" outlineLevel="0" collapsed="false">
      <c r="A122" s="6" t="n">
        <v>117</v>
      </c>
      <c r="B122" s="5" t="s">
        <v>74</v>
      </c>
      <c r="C122" s="5" t="s">
        <v>194</v>
      </c>
      <c r="D122" s="5" t="s">
        <v>195</v>
      </c>
      <c r="E122" s="5" t="s">
        <v>81</v>
      </c>
      <c r="F122" s="11" t="n">
        <v>15292.83</v>
      </c>
      <c r="G122" s="12" t="n">
        <v>55.7546</v>
      </c>
      <c r="H122" s="12" t="n">
        <v>51.8452</v>
      </c>
      <c r="I122" s="5" t="s">
        <v>78</v>
      </c>
      <c r="J122" s="8" t="n">
        <v>3.44757</v>
      </c>
      <c r="K122" s="13" t="str">
        <f aca="false">IF(J122&gt;0,"прибыль",IF(J122&lt;0,"убыток","ноль"))</f>
        <v>прибыль</v>
      </c>
      <c r="L122" s="13" t="n">
        <f aca="false">IF(C122="",L121,IF(J122&lt;0,L121+1,0))</f>
        <v>0</v>
      </c>
      <c r="M122" s="14" t="n">
        <v>344.76</v>
      </c>
      <c r="N122" s="9" t="n">
        <v>52723.03</v>
      </c>
      <c r="O122" s="9" t="n">
        <v>717735.43</v>
      </c>
    </row>
    <row r="123" customFormat="false" ht="15" hidden="false" customHeight="false" outlineLevel="0" collapsed="false">
      <c r="A123" s="6" t="n">
        <v>118</v>
      </c>
      <c r="B123" s="5" t="s">
        <v>74</v>
      </c>
      <c r="C123" s="5" t="s">
        <v>195</v>
      </c>
      <c r="D123" s="5" t="s">
        <v>196</v>
      </c>
      <c r="E123" s="5" t="s">
        <v>77</v>
      </c>
      <c r="F123" s="11" t="n">
        <v>11767.59</v>
      </c>
      <c r="G123" s="12" t="n">
        <v>51.8452</v>
      </c>
      <c r="H123" s="12" t="n">
        <v>51.2853</v>
      </c>
      <c r="J123" s="8" t="n">
        <v>-0.56499</v>
      </c>
      <c r="K123" s="13" t="str">
        <f aca="false">IF(J123&gt;0,"прибыль",IF(J123&lt;0,"убыток","ноль"))</f>
        <v>убыток</v>
      </c>
      <c r="L123" s="13" t="n">
        <f aca="false">IF(C123="",L122,IF(J123&lt;0,L122+1,0))</f>
        <v>1</v>
      </c>
      <c r="M123" s="14" t="n">
        <v>-56.5</v>
      </c>
      <c r="N123" s="9" t="n">
        <v>-6648.58</v>
      </c>
      <c r="O123" s="9" t="n">
        <v>711086.85</v>
      </c>
    </row>
    <row r="124" customFormat="false" ht="15" hidden="false" customHeight="false" outlineLevel="0" collapsed="false">
      <c r="A124" s="6" t="n">
        <v>119</v>
      </c>
      <c r="B124" s="5" t="s">
        <v>74</v>
      </c>
      <c r="C124" s="5" t="s">
        <v>196</v>
      </c>
      <c r="D124" s="5" t="s">
        <v>197</v>
      </c>
      <c r="E124" s="5" t="s">
        <v>81</v>
      </c>
      <c r="F124" s="11" t="n">
        <v>11877.42</v>
      </c>
      <c r="G124" s="12" t="n">
        <v>51.2853</v>
      </c>
      <c r="H124" s="12" t="n">
        <v>52.167</v>
      </c>
      <c r="J124" s="8" t="n">
        <v>-0.88674</v>
      </c>
      <c r="K124" s="13" t="str">
        <f aca="false">IF(J124&gt;0,"прибыль",IF(J124&lt;0,"убыток","ноль"))</f>
        <v>убыток</v>
      </c>
      <c r="L124" s="13" t="n">
        <f aca="false">IF(C124="",L123,IF(J124&lt;0,L123+1,0))</f>
        <v>2</v>
      </c>
      <c r="M124" s="14" t="n">
        <v>-88.67</v>
      </c>
      <c r="N124" s="9" t="n">
        <v>-10532.17</v>
      </c>
      <c r="O124" s="9" t="n">
        <v>700554.68</v>
      </c>
    </row>
    <row r="125" customFormat="false" ht="15" hidden="false" customHeight="false" outlineLevel="0" collapsed="false">
      <c r="A125" s="6" t="n">
        <v>120</v>
      </c>
      <c r="B125" s="5" t="s">
        <v>74</v>
      </c>
      <c r="C125" s="5" t="s">
        <v>197</v>
      </c>
      <c r="D125" s="5" t="s">
        <v>198</v>
      </c>
      <c r="E125" s="5" t="s">
        <v>77</v>
      </c>
      <c r="F125" s="11" t="n">
        <v>0</v>
      </c>
      <c r="G125" s="12" t="n">
        <v>52.167</v>
      </c>
      <c r="H125" s="12" t="n">
        <v>52.4428</v>
      </c>
      <c r="J125" s="8" t="n">
        <v>0.27323</v>
      </c>
      <c r="K125" s="13" t="str">
        <f aca="false">IF(J125&gt;0,"прибыль",IF(J125&lt;0,"убыток","ноль"))</f>
        <v>прибыль</v>
      </c>
      <c r="L125" s="13" t="n">
        <f aca="false">IF(C125="",L124,IF(J125&lt;0,L124+1,0))</f>
        <v>0</v>
      </c>
      <c r="M125" s="14" t="n">
        <v>27.32</v>
      </c>
      <c r="N125" s="9" t="n">
        <v>0</v>
      </c>
      <c r="O125" s="9" t="n">
        <v>700554.68</v>
      </c>
    </row>
    <row r="126" customFormat="false" ht="15" hidden="false" customHeight="false" outlineLevel="0" collapsed="false">
      <c r="A126" s="6" t="n">
        <v>121</v>
      </c>
      <c r="B126" s="5" t="s">
        <v>74</v>
      </c>
      <c r="C126" s="5" t="s">
        <v>198</v>
      </c>
      <c r="D126" s="5" t="s">
        <v>199</v>
      </c>
      <c r="E126" s="5" t="s">
        <v>77</v>
      </c>
      <c r="F126" s="11" t="n">
        <v>11269.11</v>
      </c>
      <c r="G126" s="12" t="n">
        <v>52.167</v>
      </c>
      <c r="H126" s="12" t="n">
        <v>52.3645</v>
      </c>
      <c r="J126" s="8" t="n">
        <v>0.19275</v>
      </c>
      <c r="K126" s="13" t="str">
        <f aca="false">IF(J126&gt;0,"прибыль",IF(J126&lt;0,"убыток","ноль"))</f>
        <v>прибыль</v>
      </c>
      <c r="L126" s="13" t="n">
        <f aca="false">IF(C126="",L125,IF(J126&lt;0,L125+1,0))</f>
        <v>0</v>
      </c>
      <c r="M126" s="14" t="n">
        <v>19.28</v>
      </c>
      <c r="N126" s="9" t="n">
        <v>2172.15</v>
      </c>
      <c r="O126" s="9" t="n">
        <v>702726.83</v>
      </c>
    </row>
    <row r="127" customFormat="false" ht="15" hidden="false" customHeight="false" outlineLevel="0" collapsed="false">
      <c r="A127" s="6" t="n">
        <v>122</v>
      </c>
      <c r="B127" s="5" t="s">
        <v>74</v>
      </c>
      <c r="C127" s="5" t="s">
        <v>199</v>
      </c>
      <c r="D127" s="5" t="s">
        <v>200</v>
      </c>
      <c r="E127" s="5" t="s">
        <v>81</v>
      </c>
      <c r="F127" s="11" t="n">
        <v>4274.53</v>
      </c>
      <c r="G127" s="12" t="n">
        <v>50.4113</v>
      </c>
      <c r="H127" s="12" t="n">
        <v>50.8658</v>
      </c>
      <c r="I127" s="5" t="s">
        <v>78</v>
      </c>
      <c r="J127" s="8" t="n">
        <v>1.35315</v>
      </c>
      <c r="K127" s="13" t="str">
        <f aca="false">IF(J127&gt;0,"прибыль",IF(J127&lt;0,"убыток","ноль"))</f>
        <v>прибыль</v>
      </c>
      <c r="L127" s="13" t="n">
        <f aca="false">IF(C127="",L126,IF(J127&lt;0,L126+1,0))</f>
        <v>0</v>
      </c>
      <c r="M127" s="14" t="n">
        <v>135.31</v>
      </c>
      <c r="N127" s="9" t="n">
        <v>5784.07</v>
      </c>
      <c r="O127" s="9" t="n">
        <v>708510.9</v>
      </c>
    </row>
    <row r="128" customFormat="false" ht="15" hidden="false" customHeight="false" outlineLevel="0" collapsed="false">
      <c r="A128" s="6" t="n">
        <v>123</v>
      </c>
      <c r="B128" s="5" t="s">
        <v>74</v>
      </c>
      <c r="C128" s="5" t="s">
        <v>200</v>
      </c>
      <c r="D128" s="5" t="s">
        <v>201</v>
      </c>
      <c r="E128" s="5" t="s">
        <v>81</v>
      </c>
      <c r="F128" s="11" t="n">
        <v>9204.6</v>
      </c>
      <c r="G128" s="12" t="n">
        <v>52.224</v>
      </c>
      <c r="H128" s="12" t="n">
        <v>52.6971</v>
      </c>
      <c r="J128" s="8" t="n">
        <v>-0.47834</v>
      </c>
      <c r="K128" s="13" t="str">
        <f aca="false">IF(J128&gt;0,"прибыль",IF(J128&lt;0,"убыток","ноль"))</f>
        <v>убыток</v>
      </c>
      <c r="L128" s="13" t="n">
        <f aca="false">IF(C128="",L127,IF(J128&lt;0,L127+1,0))</f>
        <v>1</v>
      </c>
      <c r="M128" s="14" t="n">
        <v>-47.83</v>
      </c>
      <c r="N128" s="9" t="n">
        <v>-4402.9</v>
      </c>
      <c r="O128" s="9" t="n">
        <v>704108</v>
      </c>
    </row>
    <row r="129" customFormat="false" ht="15" hidden="false" customHeight="false" outlineLevel="0" collapsed="false">
      <c r="A129" s="6" t="n">
        <v>124</v>
      </c>
      <c r="B129" s="5" t="s">
        <v>74</v>
      </c>
      <c r="C129" s="5" t="s">
        <v>201</v>
      </c>
      <c r="D129" s="5" t="s">
        <v>202</v>
      </c>
      <c r="E129" s="5" t="s">
        <v>77</v>
      </c>
      <c r="F129" s="11" t="n">
        <v>3092.74</v>
      </c>
      <c r="G129" s="12" t="n">
        <v>55.2626</v>
      </c>
      <c r="H129" s="12" t="n">
        <v>62.0821</v>
      </c>
      <c r="I129" s="5" t="s">
        <v>78</v>
      </c>
      <c r="J129" s="8" t="n">
        <v>9.81589</v>
      </c>
      <c r="K129" s="13" t="str">
        <f aca="false">IF(J129&gt;0,"прибыль",IF(J129&lt;0,"убыток","ноль"))</f>
        <v>прибыль</v>
      </c>
      <c r="L129" s="13" t="n">
        <f aca="false">IF(C129="",L128,IF(J129&lt;0,L128+1,0))</f>
        <v>0</v>
      </c>
      <c r="M129" s="14" t="n">
        <v>981.59</v>
      </c>
      <c r="N129" s="9" t="n">
        <v>30357.99</v>
      </c>
      <c r="O129" s="9" t="n">
        <v>734465.99</v>
      </c>
    </row>
    <row r="130" customFormat="false" ht="15" hidden="false" customHeight="false" outlineLevel="0" collapsed="false">
      <c r="A130" s="6" t="n">
        <v>125</v>
      </c>
      <c r="B130" s="5" t="s">
        <v>74</v>
      </c>
      <c r="C130" s="5" t="s">
        <v>202</v>
      </c>
      <c r="D130" s="5" t="s">
        <v>203</v>
      </c>
      <c r="E130" s="5" t="s">
        <v>77</v>
      </c>
      <c r="F130" s="11" t="n">
        <v>3539.29</v>
      </c>
      <c r="G130" s="12" t="n">
        <v>54.8584</v>
      </c>
      <c r="H130" s="12" t="n">
        <v>62.8632</v>
      </c>
      <c r="I130" s="5" t="s">
        <v>78</v>
      </c>
      <c r="J130" s="8" t="n">
        <v>8.18825</v>
      </c>
      <c r="K130" s="13" t="str">
        <f aca="false">IF(J130&gt;0,"прибыль",IF(J130&lt;0,"убыток","ноль"))</f>
        <v>прибыль</v>
      </c>
      <c r="L130" s="13" t="n">
        <f aca="false">IF(C130="",L129,IF(J130&lt;0,L129+1,0))</f>
        <v>0</v>
      </c>
      <c r="M130" s="14" t="n">
        <v>818.82</v>
      </c>
      <c r="N130" s="9" t="n">
        <v>28980.6</v>
      </c>
      <c r="O130" s="9" t="n">
        <v>763446.59</v>
      </c>
    </row>
    <row r="131" customFormat="false" ht="15" hidden="false" customHeight="false" outlineLevel="0" collapsed="false">
      <c r="A131" s="6" t="n">
        <v>126</v>
      </c>
      <c r="B131" s="5" t="s">
        <v>74</v>
      </c>
      <c r="C131" s="5" t="s">
        <v>203</v>
      </c>
      <c r="D131" s="5" t="s">
        <v>204</v>
      </c>
      <c r="E131" s="5" t="s">
        <v>77</v>
      </c>
      <c r="F131" s="11" t="n">
        <v>3510.36</v>
      </c>
      <c r="G131" s="12" t="n">
        <v>58.4429</v>
      </c>
      <c r="H131" s="12" t="n">
        <v>70.0322</v>
      </c>
      <c r="J131" s="8" t="n">
        <v>11.58188</v>
      </c>
      <c r="K131" s="13" t="str">
        <f aca="false">IF(J131&gt;0,"прибыль",IF(J131&lt;0,"убыток","ноль"))</f>
        <v>прибыль</v>
      </c>
      <c r="L131" s="13" t="n">
        <f aca="false">IF(C131="",L130,IF(J131&lt;0,L130+1,0))</f>
        <v>0</v>
      </c>
      <c r="M131" s="14" t="n">
        <v>1158.19</v>
      </c>
      <c r="N131" s="9" t="n">
        <v>40656.54</v>
      </c>
      <c r="O131" s="9" t="n">
        <v>804103.13</v>
      </c>
    </row>
    <row r="132" customFormat="false" ht="15" hidden="false" customHeight="false" outlineLevel="0" collapsed="false">
      <c r="A132" s="6" t="n">
        <v>127</v>
      </c>
      <c r="B132" s="5" t="s">
        <v>74</v>
      </c>
      <c r="C132" s="5" t="s">
        <v>204</v>
      </c>
      <c r="D132" s="5" t="s">
        <v>205</v>
      </c>
      <c r="E132" s="5" t="s">
        <v>77</v>
      </c>
      <c r="F132" s="11" t="n">
        <v>15128.47</v>
      </c>
      <c r="G132" s="12" t="n">
        <v>60.2683</v>
      </c>
      <c r="H132" s="12" t="n">
        <v>64.1844</v>
      </c>
      <c r="I132" s="5" t="s">
        <v>78</v>
      </c>
      <c r="J132" s="8" t="n">
        <v>3.20288</v>
      </c>
      <c r="K132" s="13" t="str">
        <f aca="false">IF(J132&gt;0,"прибыль",IF(J132&lt;0,"убыток","ноль"))</f>
        <v>прибыль</v>
      </c>
      <c r="L132" s="13" t="n">
        <f aca="false">IF(C132="",L131,IF(J132&lt;0,L131+1,0))</f>
        <v>0</v>
      </c>
      <c r="M132" s="14" t="n">
        <v>320.29</v>
      </c>
      <c r="N132" s="9" t="n">
        <v>48454.62</v>
      </c>
      <c r="O132" s="9" t="n">
        <v>852557.75</v>
      </c>
    </row>
    <row r="133" customFormat="false" ht="15" hidden="false" customHeight="false" outlineLevel="0" collapsed="false">
      <c r="A133" s="6" t="n">
        <v>128</v>
      </c>
      <c r="B133" s="5" t="s">
        <v>74</v>
      </c>
      <c r="C133" s="5" t="s">
        <v>205</v>
      </c>
      <c r="D133" s="5" t="s">
        <v>206</v>
      </c>
      <c r="E133" s="5" t="s">
        <v>81</v>
      </c>
      <c r="F133" s="11" t="n">
        <v>12845.83</v>
      </c>
      <c r="G133" s="12" t="n">
        <v>64.1844</v>
      </c>
      <c r="H133" s="12" t="n">
        <v>62.7037</v>
      </c>
      <c r="J133" s="8" t="n">
        <v>1.4743</v>
      </c>
      <c r="K133" s="13" t="str">
        <f aca="false">IF(J133&gt;0,"прибыль",IF(J133&lt;0,"убыток","ноль"))</f>
        <v>прибыль</v>
      </c>
      <c r="L133" s="13" t="n">
        <f aca="false">IF(C133="",L132,IF(J133&lt;0,L132+1,0))</f>
        <v>0</v>
      </c>
      <c r="M133" s="14" t="n">
        <v>147.43</v>
      </c>
      <c r="N133" s="9" t="n">
        <v>18938.59</v>
      </c>
      <c r="O133" s="9" t="n">
        <v>871496.34</v>
      </c>
    </row>
    <row r="134" customFormat="false" ht="15" hidden="false" customHeight="false" outlineLevel="0" collapsed="false">
      <c r="A134" s="6" t="n">
        <v>129</v>
      </c>
      <c r="B134" s="5" t="s">
        <v>74</v>
      </c>
      <c r="C134" s="5" t="s">
        <v>206</v>
      </c>
      <c r="D134" s="5" t="s">
        <v>207</v>
      </c>
      <c r="E134" s="5" t="s">
        <v>77</v>
      </c>
      <c r="F134" s="11" t="n">
        <v>13356.04</v>
      </c>
      <c r="G134" s="12" t="n">
        <v>62.7037</v>
      </c>
      <c r="H134" s="12" t="n">
        <v>62.7362</v>
      </c>
      <c r="J134" s="8" t="n">
        <v>0.02624</v>
      </c>
      <c r="K134" s="13" t="str">
        <f aca="false">IF(J134&gt;0,"прибыль",IF(J134&lt;0,"убыток","ноль"))</f>
        <v>прибыль</v>
      </c>
      <c r="L134" s="13" t="n">
        <f aca="false">IF(C134="",L133,IF(J134&lt;0,L133+1,0))</f>
        <v>0</v>
      </c>
      <c r="M134" s="14" t="n">
        <v>2.62</v>
      </c>
      <c r="N134" s="9" t="n">
        <v>350.4</v>
      </c>
      <c r="O134" s="9" t="n">
        <v>871846.73</v>
      </c>
    </row>
    <row r="135" customFormat="false" ht="15" hidden="false" customHeight="false" outlineLevel="0" collapsed="false">
      <c r="A135" s="6" t="n">
        <v>130</v>
      </c>
      <c r="B135" s="5" t="s">
        <v>74</v>
      </c>
      <c r="C135" s="5" t="s">
        <v>207</v>
      </c>
      <c r="D135" s="5" t="s">
        <v>208</v>
      </c>
      <c r="E135" s="5" t="s">
        <v>81</v>
      </c>
      <c r="F135" s="11" t="n">
        <v>13345.97</v>
      </c>
      <c r="G135" s="12" t="n">
        <v>62.7362</v>
      </c>
      <c r="H135" s="12" t="n">
        <v>64.4008</v>
      </c>
      <c r="J135" s="8" t="n">
        <v>-1.67052</v>
      </c>
      <c r="K135" s="13" t="str">
        <f aca="false">IF(J135&gt;0,"прибыль",IF(J135&lt;0,"убыток","ноль"))</f>
        <v>убыток</v>
      </c>
      <c r="L135" s="13" t="n">
        <f aca="false">IF(C135="",L134,IF(J135&lt;0,L134+1,0))</f>
        <v>1</v>
      </c>
      <c r="M135" s="14" t="n">
        <v>-167.05</v>
      </c>
      <c r="N135" s="9" t="n">
        <v>-22294.77</v>
      </c>
      <c r="O135" s="9" t="n">
        <v>849551.97</v>
      </c>
    </row>
    <row r="136" customFormat="false" ht="15" hidden="false" customHeight="false" outlineLevel="0" collapsed="false">
      <c r="A136" s="6" t="n">
        <v>131</v>
      </c>
      <c r="B136" s="5" t="s">
        <v>74</v>
      </c>
      <c r="C136" s="5" t="s">
        <v>208</v>
      </c>
      <c r="D136" s="5" t="s">
        <v>209</v>
      </c>
      <c r="E136" s="5" t="s">
        <v>77</v>
      </c>
      <c r="F136" s="11" t="n">
        <v>11233.16</v>
      </c>
      <c r="G136" s="12" t="n">
        <v>64.4008</v>
      </c>
      <c r="H136" s="12" t="n">
        <v>64.8808</v>
      </c>
      <c r="J136" s="8" t="n">
        <v>0.4733</v>
      </c>
      <c r="K136" s="13" t="str">
        <f aca="false">IF(J136&gt;0,"прибыль",IF(J136&lt;0,"убыток","ноль"))</f>
        <v>прибыль</v>
      </c>
      <c r="L136" s="13" t="n">
        <f aca="false">IF(C136="",L135,IF(J136&lt;0,L135+1,0))</f>
        <v>0</v>
      </c>
      <c r="M136" s="14" t="n">
        <v>47.33</v>
      </c>
      <c r="N136" s="9" t="n">
        <v>5316.65</v>
      </c>
      <c r="O136" s="9" t="n">
        <v>854868.62</v>
      </c>
    </row>
    <row r="137" customFormat="false" ht="15" hidden="false" customHeight="false" outlineLevel="0" collapsed="false">
      <c r="A137" s="6" t="n">
        <v>132</v>
      </c>
      <c r="B137" s="5" t="s">
        <v>74</v>
      </c>
      <c r="C137" s="5" t="s">
        <v>209</v>
      </c>
      <c r="D137" s="5" t="s">
        <v>210</v>
      </c>
      <c r="E137" s="5" t="s">
        <v>81</v>
      </c>
      <c r="F137" s="11" t="n">
        <v>11724.5</v>
      </c>
      <c r="G137" s="12" t="n">
        <v>64.8808</v>
      </c>
      <c r="H137" s="12" t="n">
        <v>66.2937</v>
      </c>
      <c r="J137" s="8" t="n">
        <v>-1.41928</v>
      </c>
      <c r="K137" s="13" t="str">
        <f aca="false">IF(J137&gt;0,"прибыль",IF(J137&lt;0,"убыток","ноль"))</f>
        <v>убыток</v>
      </c>
      <c r="L137" s="13" t="n">
        <f aca="false">IF(C137="",L136,IF(J137&lt;0,L136+1,0))</f>
        <v>1</v>
      </c>
      <c r="M137" s="14" t="n">
        <v>-141.93</v>
      </c>
      <c r="N137" s="9" t="n">
        <v>-16640.36</v>
      </c>
      <c r="O137" s="9" t="n">
        <v>838228.26</v>
      </c>
    </row>
    <row r="138" customFormat="false" ht="15" hidden="false" customHeight="false" outlineLevel="0" collapsed="false">
      <c r="A138" s="6" t="n">
        <v>133</v>
      </c>
      <c r="B138" s="5" t="s">
        <v>74</v>
      </c>
      <c r="C138" s="5" t="s">
        <v>210</v>
      </c>
      <c r="D138" s="5" t="s">
        <v>211</v>
      </c>
      <c r="E138" s="5" t="s">
        <v>77</v>
      </c>
      <c r="F138" s="11" t="n">
        <v>0</v>
      </c>
      <c r="G138" s="12" t="n">
        <v>66.2937</v>
      </c>
      <c r="H138" s="12" t="n">
        <v>67.4618</v>
      </c>
      <c r="J138" s="8" t="n">
        <v>1.16473</v>
      </c>
      <c r="K138" s="13" t="str">
        <f aca="false">IF(J138&gt;0,"прибыль",IF(J138&lt;0,"убыток","ноль"))</f>
        <v>прибыль</v>
      </c>
      <c r="L138" s="13" t="n">
        <f aca="false">IF(C138="",L137,IF(J138&lt;0,L137+1,0))</f>
        <v>0</v>
      </c>
      <c r="M138" s="14" t="n">
        <v>116.47</v>
      </c>
      <c r="N138" s="9" t="n">
        <v>0</v>
      </c>
      <c r="O138" s="9" t="n">
        <v>838228.26</v>
      </c>
    </row>
    <row r="139" customFormat="false" ht="15" hidden="false" customHeight="false" outlineLevel="0" collapsed="false">
      <c r="A139" s="6" t="n">
        <v>134</v>
      </c>
      <c r="B139" s="5" t="s">
        <v>74</v>
      </c>
      <c r="C139" s="5" t="s">
        <v>211</v>
      </c>
      <c r="D139" s="5" t="s">
        <v>212</v>
      </c>
      <c r="E139" s="5" t="s">
        <v>77</v>
      </c>
      <c r="F139" s="11" t="n">
        <v>10643.59</v>
      </c>
      <c r="G139" s="12" t="n">
        <v>66.2937</v>
      </c>
      <c r="H139" s="12" t="n">
        <v>66.3527</v>
      </c>
      <c r="J139" s="8" t="n">
        <v>0.05262</v>
      </c>
      <c r="K139" s="13" t="str">
        <f aca="false">IF(J139&gt;0,"прибыль",IF(J139&lt;0,"убыток","ноль"))</f>
        <v>прибыль</v>
      </c>
      <c r="L139" s="13" t="n">
        <f aca="false">IF(C139="",L138,IF(J139&lt;0,L138+1,0))</f>
        <v>0</v>
      </c>
      <c r="M139" s="14" t="n">
        <v>5.26</v>
      </c>
      <c r="N139" s="9" t="n">
        <v>560.11</v>
      </c>
      <c r="O139" s="9" t="n">
        <v>838788.37</v>
      </c>
    </row>
    <row r="140" customFormat="false" ht="15" hidden="false" customHeight="false" outlineLevel="0" collapsed="false">
      <c r="A140" s="6" t="n">
        <v>135</v>
      </c>
      <c r="B140" s="5" t="s">
        <v>74</v>
      </c>
      <c r="C140" s="5" t="s">
        <v>212</v>
      </c>
      <c r="D140" s="5" t="s">
        <v>213</v>
      </c>
      <c r="E140" s="5" t="s">
        <v>81</v>
      </c>
      <c r="F140" s="11" t="n">
        <v>12293</v>
      </c>
      <c r="G140" s="12" t="n">
        <v>66.5806</v>
      </c>
      <c r="H140" s="12" t="n">
        <v>69.7788</v>
      </c>
      <c r="I140" s="5" t="s">
        <v>78</v>
      </c>
      <c r="J140" s="8" t="n">
        <v>-4.74495</v>
      </c>
      <c r="K140" s="13" t="str">
        <f aca="false">IF(J140&gt;0,"прибыль",IF(J140&lt;0,"убыток","ноль"))</f>
        <v>убыток</v>
      </c>
      <c r="L140" s="13" t="n">
        <f aca="false">IF(C140="",L139,IF(J140&lt;0,L139+1,0))</f>
        <v>1</v>
      </c>
      <c r="M140" s="14" t="n">
        <v>-474.49</v>
      </c>
      <c r="N140" s="9" t="n">
        <v>-58329.6</v>
      </c>
      <c r="O140" s="9" t="n">
        <v>780458.77</v>
      </c>
    </row>
    <row r="141" customFormat="false" ht="15" hidden="false" customHeight="false" outlineLevel="0" collapsed="false">
      <c r="A141" s="6" t="n">
        <v>136</v>
      </c>
      <c r="B141" s="5" t="s">
        <v>74</v>
      </c>
      <c r="C141" s="5" t="s">
        <v>213</v>
      </c>
      <c r="D141" s="5" t="s">
        <v>214</v>
      </c>
      <c r="E141" s="5" t="s">
        <v>77</v>
      </c>
      <c r="F141" s="11" t="n">
        <v>9729.01</v>
      </c>
      <c r="G141" s="12" t="n">
        <v>69.7788</v>
      </c>
      <c r="H141" s="12" t="n">
        <v>68.7508</v>
      </c>
      <c r="J141" s="8" t="n">
        <v>-1.0348</v>
      </c>
      <c r="K141" s="13" t="str">
        <f aca="false">IF(J141&gt;0,"прибыль",IF(J141&lt;0,"убыток","ноль"))</f>
        <v>убыток</v>
      </c>
      <c r="L141" s="13" t="n">
        <f aca="false">IF(C141="",L140,IF(J141&lt;0,L140+1,0))</f>
        <v>2</v>
      </c>
      <c r="M141" s="14" t="n">
        <v>-103.48</v>
      </c>
      <c r="N141" s="9" t="n">
        <v>-10067.55</v>
      </c>
      <c r="O141" s="9" t="n">
        <v>770391.22</v>
      </c>
    </row>
    <row r="142" customFormat="false" ht="15" hidden="false" customHeight="false" outlineLevel="0" collapsed="false">
      <c r="A142" s="6" t="n">
        <v>137</v>
      </c>
      <c r="B142" s="5" t="s">
        <v>74</v>
      </c>
      <c r="C142" s="5" t="s">
        <v>214</v>
      </c>
      <c r="D142" s="5" t="s">
        <v>215</v>
      </c>
      <c r="E142" s="5" t="s">
        <v>81</v>
      </c>
      <c r="F142" s="11" t="n">
        <v>9613.39</v>
      </c>
      <c r="G142" s="12" t="n">
        <v>68.7508</v>
      </c>
      <c r="H142" s="12" t="n">
        <v>70.523</v>
      </c>
      <c r="J142" s="8" t="n">
        <v>-1.77894</v>
      </c>
      <c r="K142" s="13" t="str">
        <f aca="false">IF(J142&gt;0,"прибыль",IF(J142&lt;0,"убыток","ноль"))</f>
        <v>убыток</v>
      </c>
      <c r="L142" s="13" t="n">
        <f aca="false">IF(C142="",L141,IF(J142&lt;0,L141+1,0))</f>
        <v>3</v>
      </c>
      <c r="M142" s="14" t="n">
        <v>-177.89</v>
      </c>
      <c r="N142" s="9" t="n">
        <v>-17101.68</v>
      </c>
      <c r="O142" s="9" t="n">
        <v>753289.54</v>
      </c>
    </row>
    <row r="143" customFormat="false" ht="15" hidden="false" customHeight="false" outlineLevel="0" collapsed="false">
      <c r="A143" s="6" t="n">
        <v>138</v>
      </c>
      <c r="B143" s="5" t="s">
        <v>74</v>
      </c>
      <c r="C143" s="5" t="s">
        <v>215</v>
      </c>
      <c r="D143" s="5" t="s">
        <v>216</v>
      </c>
      <c r="E143" s="5" t="s">
        <v>77</v>
      </c>
      <c r="F143" s="11" t="n">
        <v>0</v>
      </c>
      <c r="G143" s="12" t="n">
        <v>70.523</v>
      </c>
      <c r="H143" s="12" t="n">
        <v>69.988</v>
      </c>
      <c r="J143" s="8" t="n">
        <v>-0.53849</v>
      </c>
      <c r="K143" s="13" t="str">
        <f aca="false">IF(J143&gt;0,"прибыль",IF(J143&lt;0,"убыток","ноль"))</f>
        <v>убыток</v>
      </c>
      <c r="L143" s="13" t="n">
        <f aca="false">IF(C143="",L142,IF(J143&lt;0,L142+1,0))</f>
        <v>4</v>
      </c>
      <c r="M143" s="14" t="n">
        <v>-53.85</v>
      </c>
      <c r="N143" s="9" t="n">
        <v>0</v>
      </c>
      <c r="O143" s="9" t="n">
        <v>753289.54</v>
      </c>
    </row>
    <row r="144" customFormat="false" ht="15" hidden="false" customHeight="false" outlineLevel="0" collapsed="false">
      <c r="A144" s="6" t="n">
        <v>139</v>
      </c>
      <c r="B144" s="5" t="s">
        <v>74</v>
      </c>
      <c r="C144" s="5" t="s">
        <v>216</v>
      </c>
      <c r="D144" s="5" t="s">
        <v>217</v>
      </c>
      <c r="E144" s="5" t="s">
        <v>77</v>
      </c>
      <c r="F144" s="11" t="n">
        <v>8994.51</v>
      </c>
      <c r="G144" s="12" t="n">
        <v>70.523</v>
      </c>
      <c r="H144" s="12" t="n">
        <v>69.4897</v>
      </c>
      <c r="J144" s="8" t="n">
        <v>-1.04038</v>
      </c>
      <c r="K144" s="13" t="str">
        <f aca="false">IF(J144&gt;0,"прибыль",IF(J144&lt;0,"убыток","ноль"))</f>
        <v>убыток</v>
      </c>
      <c r="L144" s="13" t="n">
        <f aca="false">IF(C144="",L143,IF(J144&lt;0,L143+1,0))</f>
        <v>5</v>
      </c>
      <c r="M144" s="14" t="n">
        <v>-104.04</v>
      </c>
      <c r="N144" s="9" t="n">
        <v>-9357.71</v>
      </c>
      <c r="O144" s="9" t="n">
        <v>743931.83</v>
      </c>
    </row>
    <row r="145" customFormat="false" ht="15" hidden="false" customHeight="false" outlineLevel="0" collapsed="false">
      <c r="A145" s="6" t="n">
        <v>140</v>
      </c>
      <c r="B145" s="5" t="s">
        <v>74</v>
      </c>
      <c r="C145" s="5" t="s">
        <v>217</v>
      </c>
      <c r="D145" s="5" t="s">
        <v>218</v>
      </c>
      <c r="E145" s="5" t="s">
        <v>81</v>
      </c>
      <c r="F145" s="11" t="n">
        <v>9432.5</v>
      </c>
      <c r="G145" s="12" t="n">
        <v>69.4897</v>
      </c>
      <c r="H145" s="12" t="n">
        <v>69.9081</v>
      </c>
      <c r="J145" s="8" t="n">
        <v>-0.42553</v>
      </c>
      <c r="K145" s="13" t="str">
        <f aca="false">IF(J145&gt;0,"прибыль",IF(J145&lt;0,"убыток","ноль"))</f>
        <v>убыток</v>
      </c>
      <c r="L145" s="13" t="n">
        <f aca="false">IF(C145="",L144,IF(J145&lt;0,L144+1,0))</f>
        <v>6</v>
      </c>
      <c r="M145" s="14" t="n">
        <v>-42.55</v>
      </c>
      <c r="N145" s="9" t="n">
        <v>-4013.82</v>
      </c>
      <c r="O145" s="9" t="n">
        <v>739918.01</v>
      </c>
    </row>
    <row r="146" customFormat="false" ht="15" hidden="false" customHeight="false" outlineLevel="0" collapsed="false">
      <c r="A146" s="6" t="n">
        <v>141</v>
      </c>
      <c r="B146" s="5" t="s">
        <v>74</v>
      </c>
      <c r="C146" s="5" t="s">
        <v>218</v>
      </c>
      <c r="D146" s="5" t="s">
        <v>219</v>
      </c>
      <c r="E146" s="5" t="s">
        <v>77</v>
      </c>
      <c r="F146" s="11" t="n">
        <v>2111.44</v>
      </c>
      <c r="G146" s="12" t="n">
        <v>69.9081</v>
      </c>
      <c r="H146" s="12" t="n">
        <v>79.4204</v>
      </c>
      <c r="I146" s="5" t="s">
        <v>78</v>
      </c>
      <c r="J146" s="8" t="n">
        <v>13.78024</v>
      </c>
      <c r="K146" s="13" t="str">
        <f aca="false">IF(J146&gt;0,"прибыль",IF(J146&lt;0,"убыток","ноль"))</f>
        <v>прибыль</v>
      </c>
      <c r="L146" s="13" t="n">
        <f aca="false">IF(C146="",L145,IF(J146&lt;0,L145+1,0))</f>
        <v>0</v>
      </c>
      <c r="M146" s="14" t="n">
        <v>1378.02</v>
      </c>
      <c r="N146" s="9" t="n">
        <v>29096.15</v>
      </c>
      <c r="O146" s="9" t="n">
        <v>769014.16</v>
      </c>
    </row>
    <row r="147" customFormat="false" ht="15" hidden="false" customHeight="false" outlineLevel="0" collapsed="false">
      <c r="A147" s="6" t="n">
        <v>142</v>
      </c>
      <c r="B147" s="5" t="s">
        <v>74</v>
      </c>
      <c r="C147" s="5" t="s">
        <v>219</v>
      </c>
      <c r="D147" s="5" t="s">
        <v>220</v>
      </c>
      <c r="E147" s="5" t="s">
        <v>77</v>
      </c>
      <c r="F147" s="11" t="n">
        <v>1723.44</v>
      </c>
      <c r="G147" s="12" t="n">
        <v>65.6362</v>
      </c>
      <c r="H147" s="12" t="n">
        <v>77.3172</v>
      </c>
      <c r="J147" s="8" t="n">
        <v>11.67709</v>
      </c>
      <c r="K147" s="13" t="str">
        <f aca="false">IF(J147&gt;0,"прибыль",IF(J147&lt;0,"убыток","ноль"))</f>
        <v>прибыль</v>
      </c>
      <c r="L147" s="13" t="n">
        <f aca="false">IF(C147="",L146,IF(J147&lt;0,L146+1,0))</f>
        <v>0</v>
      </c>
      <c r="M147" s="14" t="n">
        <v>1167.71</v>
      </c>
      <c r="N147" s="9" t="n">
        <v>20124.74</v>
      </c>
      <c r="O147" s="9" t="n">
        <v>789138.9</v>
      </c>
    </row>
    <row r="148" customFormat="false" ht="15" hidden="false" customHeight="false" outlineLevel="0" collapsed="false">
      <c r="A148" s="6" t="n">
        <v>143</v>
      </c>
      <c r="B148" s="5" t="s">
        <v>74</v>
      </c>
      <c r="C148" s="5" t="s">
        <v>220</v>
      </c>
      <c r="D148" s="5" t="s">
        <v>221</v>
      </c>
      <c r="E148" s="5" t="s">
        <v>77</v>
      </c>
      <c r="F148" s="11" t="n">
        <v>6970.72</v>
      </c>
      <c r="G148" s="12" t="n">
        <v>65.6362</v>
      </c>
      <c r="H148" s="12" t="n">
        <v>73.9556</v>
      </c>
      <c r="I148" s="5" t="s">
        <v>78</v>
      </c>
      <c r="J148" s="8" t="n">
        <v>10.7734</v>
      </c>
      <c r="K148" s="13" t="str">
        <f aca="false">IF(J148&gt;0,"прибыль",IF(J148&lt;0,"убыток","ноль"))</f>
        <v>прибыль</v>
      </c>
      <c r="L148" s="13" t="n">
        <f aca="false">IF(C148="",L147,IF(J148&lt;0,L147+1,0))</f>
        <v>0</v>
      </c>
      <c r="M148" s="14" t="n">
        <v>1077.34</v>
      </c>
      <c r="N148" s="9" t="n">
        <v>75098.32</v>
      </c>
      <c r="O148" s="9" t="n">
        <v>864237.22</v>
      </c>
    </row>
    <row r="149" customFormat="false" ht="15" hidden="false" customHeight="false" outlineLevel="0" collapsed="false">
      <c r="A149" s="6" t="n">
        <v>144</v>
      </c>
      <c r="B149" s="5" t="s">
        <v>74</v>
      </c>
      <c r="C149" s="5" t="s">
        <v>221</v>
      </c>
      <c r="D149" s="5" t="s">
        <v>222</v>
      </c>
      <c r="E149" s="5" t="s">
        <v>81</v>
      </c>
      <c r="F149" s="11" t="n">
        <v>5675.32</v>
      </c>
      <c r="G149" s="12" t="n">
        <v>73.9556</v>
      </c>
      <c r="H149" s="12" t="n">
        <v>73.0856</v>
      </c>
      <c r="J149" s="8" t="n">
        <v>0.86231</v>
      </c>
      <c r="K149" s="13" t="str">
        <f aca="false">IF(J149&gt;0,"прибыль",IF(J149&lt;0,"убыток","ноль"))</f>
        <v>прибыль</v>
      </c>
      <c r="L149" s="13" t="n">
        <f aca="false">IF(C149="",L148,IF(J149&lt;0,L148+1,0))</f>
        <v>0</v>
      </c>
      <c r="M149" s="14" t="n">
        <v>86.23</v>
      </c>
      <c r="N149" s="9" t="n">
        <v>4893.89</v>
      </c>
      <c r="O149" s="9" t="n">
        <v>869131.11</v>
      </c>
    </row>
    <row r="150" customFormat="false" ht="15" hidden="false" customHeight="false" outlineLevel="0" collapsed="false">
      <c r="A150" s="6" t="n">
        <v>145</v>
      </c>
      <c r="B150" s="5" t="s">
        <v>74</v>
      </c>
      <c r="C150" s="5" t="s">
        <v>222</v>
      </c>
      <c r="D150" s="5" t="s">
        <v>223</v>
      </c>
      <c r="E150" s="5" t="s">
        <v>77</v>
      </c>
      <c r="F150" s="11" t="n">
        <v>6330.74</v>
      </c>
      <c r="G150" s="12" t="n">
        <v>73.0856</v>
      </c>
      <c r="H150" s="12" t="n">
        <v>73.9655</v>
      </c>
      <c r="J150" s="8" t="n">
        <v>0.87246</v>
      </c>
      <c r="K150" s="13" t="str">
        <f aca="false">IF(J150&gt;0,"прибыль",IF(J150&lt;0,"убыток","ноль"))</f>
        <v>прибыль</v>
      </c>
      <c r="L150" s="13" t="n">
        <f aca="false">IF(C150="",L149,IF(J150&lt;0,L149+1,0))</f>
        <v>0</v>
      </c>
      <c r="M150" s="14" t="n">
        <v>87.25</v>
      </c>
      <c r="N150" s="9" t="n">
        <v>5523.33</v>
      </c>
      <c r="O150" s="9" t="n">
        <v>874654.45</v>
      </c>
    </row>
    <row r="151" customFormat="false" ht="15" hidden="false" customHeight="false" outlineLevel="0" collapsed="false">
      <c r="A151" s="6" t="n">
        <v>146</v>
      </c>
      <c r="B151" s="5" t="s">
        <v>74</v>
      </c>
      <c r="C151" s="5" t="s">
        <v>223</v>
      </c>
      <c r="D151" s="5" t="s">
        <v>224</v>
      </c>
      <c r="E151" s="5" t="s">
        <v>81</v>
      </c>
      <c r="F151" s="11" t="n">
        <v>6453.7</v>
      </c>
      <c r="G151" s="12" t="n">
        <v>73.9655</v>
      </c>
      <c r="H151" s="12" t="n">
        <v>74.8628</v>
      </c>
      <c r="J151" s="8" t="n">
        <v>-0.90482</v>
      </c>
      <c r="K151" s="13" t="str">
        <f aca="false">IF(J151&gt;0,"прибыль",IF(J151&lt;0,"убыток","ноль"))</f>
        <v>убыток</v>
      </c>
      <c r="L151" s="13" t="n">
        <f aca="false">IF(C151="",L150,IF(J151&lt;0,L150+1,0))</f>
        <v>1</v>
      </c>
      <c r="M151" s="14" t="n">
        <v>-90.48</v>
      </c>
      <c r="N151" s="9" t="n">
        <v>-5839.45</v>
      </c>
      <c r="O151" s="9" t="n">
        <v>868814.99</v>
      </c>
    </row>
    <row r="152" customFormat="false" ht="15" hidden="false" customHeight="false" outlineLevel="0" collapsed="false">
      <c r="A152" s="6" t="n">
        <v>147</v>
      </c>
      <c r="B152" s="5" t="s">
        <v>74</v>
      </c>
      <c r="C152" s="5" t="s">
        <v>224</v>
      </c>
      <c r="D152" s="5" t="s">
        <v>225</v>
      </c>
      <c r="E152" s="5" t="s">
        <v>77</v>
      </c>
      <c r="F152" s="11" t="n">
        <v>6785.63</v>
      </c>
      <c r="G152" s="12" t="n">
        <v>74.8628</v>
      </c>
      <c r="H152" s="12" t="n">
        <v>72.168</v>
      </c>
      <c r="I152" s="5" t="s">
        <v>78</v>
      </c>
      <c r="J152" s="8" t="n">
        <v>-0.91869</v>
      </c>
      <c r="K152" s="13" t="str">
        <f aca="false">IF(J152&gt;0,"прибыль",IF(J152&lt;0,"убыток","ноль"))</f>
        <v>убыток</v>
      </c>
      <c r="L152" s="13" t="n">
        <f aca="false">IF(C152="",L151,IF(J152&lt;0,L151+1,0))</f>
        <v>2</v>
      </c>
      <c r="M152" s="14" t="n">
        <v>-91.87</v>
      </c>
      <c r="N152" s="9" t="n">
        <v>-6233.89</v>
      </c>
      <c r="O152" s="9" t="n">
        <v>862581.1</v>
      </c>
    </row>
    <row r="153" customFormat="false" ht="15" hidden="false" customHeight="false" outlineLevel="0" collapsed="false">
      <c r="A153" s="6" t="n">
        <v>148</v>
      </c>
      <c r="B153" s="5" t="s">
        <v>74</v>
      </c>
      <c r="C153" s="5" t="s">
        <v>225</v>
      </c>
      <c r="D153" s="5" t="s">
        <v>226</v>
      </c>
      <c r="E153" s="5" t="s">
        <v>81</v>
      </c>
      <c r="F153" s="11" t="n">
        <v>9268.41</v>
      </c>
      <c r="G153" s="12" t="n">
        <v>72.168</v>
      </c>
      <c r="H153" s="12" t="n">
        <v>72.9834</v>
      </c>
      <c r="J153" s="8" t="n">
        <v>-0.82259</v>
      </c>
      <c r="K153" s="13" t="str">
        <f aca="false">IF(J153&gt;0,"прибыль",IF(J153&lt;0,"убыток","ноль"))</f>
        <v>убыток</v>
      </c>
      <c r="L153" s="13" t="n">
        <f aca="false">IF(C153="",L152,IF(J153&lt;0,L152+1,0))</f>
        <v>3</v>
      </c>
      <c r="M153" s="14" t="n">
        <v>-82.26</v>
      </c>
      <c r="N153" s="9" t="n">
        <v>-7624.12</v>
      </c>
      <c r="O153" s="9" t="n">
        <v>854956.98</v>
      </c>
    </row>
    <row r="154" customFormat="false" ht="15" hidden="false" customHeight="false" outlineLevel="0" collapsed="false">
      <c r="A154" s="6" t="n">
        <v>149</v>
      </c>
      <c r="B154" s="5" t="s">
        <v>74</v>
      </c>
      <c r="C154" s="5" t="s">
        <v>226</v>
      </c>
      <c r="D154" s="5" t="s">
        <v>227</v>
      </c>
      <c r="E154" s="5" t="s">
        <v>77</v>
      </c>
      <c r="F154" s="11" t="n">
        <v>11898.27</v>
      </c>
      <c r="G154" s="12" t="n">
        <v>72.9589</v>
      </c>
      <c r="H154" s="12" t="n">
        <v>71.7487</v>
      </c>
      <c r="J154" s="8" t="n">
        <v>-1.21822</v>
      </c>
      <c r="K154" s="13" t="str">
        <f aca="false">IF(J154&gt;0,"прибыль",IF(J154&lt;0,"убыток","ноль"))</f>
        <v>убыток</v>
      </c>
      <c r="L154" s="13" t="n">
        <f aca="false">IF(C154="",L153,IF(J154&lt;0,L153+1,0))</f>
        <v>4</v>
      </c>
      <c r="M154" s="14" t="n">
        <v>-121.82</v>
      </c>
      <c r="N154" s="9" t="n">
        <v>-14494.7</v>
      </c>
      <c r="O154" s="9" t="n">
        <v>840462.28</v>
      </c>
    </row>
    <row r="155" customFormat="false" ht="15" hidden="false" customHeight="false" outlineLevel="0" collapsed="false">
      <c r="A155" s="6" t="n">
        <v>150</v>
      </c>
      <c r="B155" s="5" t="s">
        <v>74</v>
      </c>
      <c r="C155" s="5" t="s">
        <v>227</v>
      </c>
      <c r="D155" s="5" t="s">
        <v>228</v>
      </c>
      <c r="E155" s="5" t="s">
        <v>81</v>
      </c>
      <c r="F155" s="11" t="n">
        <v>11705.19</v>
      </c>
      <c r="G155" s="12" t="n">
        <v>71.7487</v>
      </c>
      <c r="H155" s="12" t="n">
        <v>72.2618</v>
      </c>
      <c r="J155" s="8" t="n">
        <v>-0.52033</v>
      </c>
      <c r="K155" s="13" t="str">
        <f aca="false">IF(J155&gt;0,"прибыль",IF(J155&lt;0,"убыток","ноль"))</f>
        <v>убыток</v>
      </c>
      <c r="L155" s="13" t="n">
        <f aca="false">IF(C155="",L154,IF(J155&lt;0,L154+1,0))</f>
        <v>5</v>
      </c>
      <c r="M155" s="14" t="n">
        <v>-52.03</v>
      </c>
      <c r="N155" s="9" t="n">
        <v>-6090.6</v>
      </c>
      <c r="O155" s="9" t="n">
        <v>834371.68</v>
      </c>
    </row>
    <row r="156" customFormat="false" ht="15" hidden="false" customHeight="false" outlineLevel="0" collapsed="false">
      <c r="A156" s="6" t="n">
        <v>151</v>
      </c>
      <c r="B156" s="5" t="s">
        <v>74</v>
      </c>
      <c r="C156" s="5" t="s">
        <v>228</v>
      </c>
      <c r="D156" s="5" t="s">
        <v>229</v>
      </c>
      <c r="E156" s="5" t="s">
        <v>77</v>
      </c>
      <c r="F156" s="11" t="n">
        <v>11610.96</v>
      </c>
      <c r="G156" s="12" t="n">
        <v>72.2618</v>
      </c>
      <c r="H156" s="12" t="n">
        <v>72.738</v>
      </c>
      <c r="J156" s="8" t="n">
        <v>0.46896</v>
      </c>
      <c r="K156" s="13" t="str">
        <f aca="false">IF(J156&gt;0,"прибыль",IF(J156&lt;0,"убыток","ноль"))</f>
        <v>прибыль</v>
      </c>
      <c r="L156" s="13" t="n">
        <f aca="false">IF(C156="",L155,IF(J156&lt;0,L155+1,0))</f>
        <v>0</v>
      </c>
      <c r="M156" s="14" t="n">
        <v>46.9</v>
      </c>
      <c r="N156" s="9" t="n">
        <v>5445.02</v>
      </c>
      <c r="O156" s="9" t="n">
        <v>839816.71</v>
      </c>
    </row>
    <row r="157" customFormat="false" ht="15" hidden="false" customHeight="false" outlineLevel="0" collapsed="false">
      <c r="A157" s="6" t="n">
        <v>152</v>
      </c>
      <c r="B157" s="5" t="s">
        <v>74</v>
      </c>
      <c r="C157" s="5" t="s">
        <v>229</v>
      </c>
      <c r="D157" s="5" t="s">
        <v>230</v>
      </c>
      <c r="E157" s="5" t="s">
        <v>81</v>
      </c>
      <c r="F157" s="11" t="n">
        <v>11625.77</v>
      </c>
      <c r="G157" s="12" t="n">
        <v>72.738</v>
      </c>
      <c r="H157" s="12" t="n">
        <v>74.8498</v>
      </c>
      <c r="J157" s="8" t="n">
        <v>-2.11863</v>
      </c>
      <c r="K157" s="13" t="str">
        <f aca="false">IF(J157&gt;0,"прибыль",IF(J157&lt;0,"убыток","ноль"))</f>
        <v>убыток</v>
      </c>
      <c r="L157" s="13" t="n">
        <f aca="false">IF(C157="",L156,IF(J157&lt;0,L156+1,0))</f>
        <v>1</v>
      </c>
      <c r="M157" s="14" t="n">
        <v>-211.86</v>
      </c>
      <c r="N157" s="9" t="n">
        <v>-24630.72</v>
      </c>
      <c r="O157" s="9" t="n">
        <v>815185.99</v>
      </c>
    </row>
    <row r="158" customFormat="false" ht="15" hidden="false" customHeight="false" outlineLevel="0" collapsed="false">
      <c r="A158" s="6" t="n">
        <v>153</v>
      </c>
      <c r="B158" s="5" t="s">
        <v>74</v>
      </c>
      <c r="C158" s="5" t="s">
        <v>230</v>
      </c>
      <c r="D158" s="5" t="s">
        <v>231</v>
      </c>
      <c r="E158" s="5" t="s">
        <v>77</v>
      </c>
      <c r="F158" s="11" t="n">
        <v>9763.77</v>
      </c>
      <c r="G158" s="12" t="n">
        <v>74.8498</v>
      </c>
      <c r="H158" s="12" t="n">
        <v>77.6266</v>
      </c>
      <c r="I158" s="5" t="s">
        <v>78</v>
      </c>
      <c r="J158" s="8" t="n">
        <v>2.14106</v>
      </c>
      <c r="K158" s="13" t="str">
        <f aca="false">IF(J158&gt;0,"прибыль",IF(J158&lt;0,"убыток","ноль"))</f>
        <v>прибыль</v>
      </c>
      <c r="L158" s="13" t="n">
        <f aca="false">IF(C158="",L157,IF(J158&lt;0,L157+1,0))</f>
        <v>0</v>
      </c>
      <c r="M158" s="14" t="n">
        <v>214.11</v>
      </c>
      <c r="N158" s="9" t="n">
        <v>20904.78</v>
      </c>
      <c r="O158" s="9" t="n">
        <v>836090.77</v>
      </c>
    </row>
    <row r="159" customFormat="false" ht="15" hidden="false" customHeight="false" outlineLevel="0" collapsed="false">
      <c r="A159" s="6" t="n">
        <v>154</v>
      </c>
      <c r="B159" s="5" t="s">
        <v>74</v>
      </c>
      <c r="C159" s="5" t="s">
        <v>231</v>
      </c>
      <c r="D159" s="5" t="s">
        <v>232</v>
      </c>
      <c r="E159" s="5" t="s">
        <v>81</v>
      </c>
      <c r="F159" s="11" t="n">
        <v>9308.76</v>
      </c>
      <c r="G159" s="12" t="n">
        <v>77.6266</v>
      </c>
      <c r="H159" s="12" t="n">
        <v>77.1644</v>
      </c>
      <c r="J159" s="8" t="n">
        <v>0.4537</v>
      </c>
      <c r="K159" s="13" t="str">
        <f aca="false">IF(J159&gt;0,"прибыль",IF(J159&lt;0,"убыток","ноль"))</f>
        <v>прибыль</v>
      </c>
      <c r="L159" s="13" t="n">
        <f aca="false">IF(C159="",L158,IF(J159&lt;0,L158+1,0))</f>
        <v>0</v>
      </c>
      <c r="M159" s="14" t="n">
        <v>45.37</v>
      </c>
      <c r="N159" s="9" t="n">
        <v>4223.38</v>
      </c>
      <c r="O159" s="9" t="n">
        <v>840314.15</v>
      </c>
    </row>
    <row r="160" customFormat="false" ht="15" hidden="false" customHeight="false" outlineLevel="0" collapsed="false">
      <c r="A160" s="6" t="n">
        <v>155</v>
      </c>
      <c r="B160" s="5" t="s">
        <v>74</v>
      </c>
      <c r="C160" s="5" t="s">
        <v>232</v>
      </c>
      <c r="D160" s="5" t="s">
        <v>233</v>
      </c>
      <c r="E160" s="5" t="s">
        <v>77</v>
      </c>
      <c r="F160" s="11" t="n">
        <v>2425.79</v>
      </c>
      <c r="G160" s="12" t="n">
        <v>77.1644</v>
      </c>
      <c r="H160" s="12" t="n">
        <v>82.3708</v>
      </c>
      <c r="I160" s="5" t="s">
        <v>78</v>
      </c>
      <c r="J160" s="8" t="n">
        <v>2.92504</v>
      </c>
      <c r="K160" s="13" t="str">
        <f aca="false">IF(J160&gt;0,"прибыль",IF(J160&lt;0,"убыток","ноль"))</f>
        <v>прибыль</v>
      </c>
      <c r="L160" s="13" t="n">
        <f aca="false">IF(C160="",L159,IF(J160&lt;0,L159+1,0))</f>
        <v>0</v>
      </c>
      <c r="M160" s="14" t="n">
        <v>292.5</v>
      </c>
      <c r="N160" s="9" t="n">
        <v>7095.51</v>
      </c>
      <c r="O160" s="9" t="n">
        <v>847409.66</v>
      </c>
    </row>
    <row r="161" customFormat="false" ht="15" hidden="false" customHeight="false" outlineLevel="0" collapsed="false">
      <c r="A161" s="6" t="n">
        <v>156</v>
      </c>
      <c r="B161" s="5" t="s">
        <v>74</v>
      </c>
      <c r="C161" s="5" t="s">
        <v>233</v>
      </c>
      <c r="D161" s="5" t="s">
        <v>234</v>
      </c>
      <c r="E161" s="5" t="s">
        <v>77</v>
      </c>
      <c r="F161" s="11" t="n">
        <v>8555.34</v>
      </c>
      <c r="G161" s="12" t="n">
        <v>79.4416</v>
      </c>
      <c r="H161" s="12" t="n">
        <v>76.1043</v>
      </c>
      <c r="J161" s="8" t="n">
        <v>-3.34447</v>
      </c>
      <c r="K161" s="13" t="str">
        <f aca="false">IF(J161&gt;0,"прибыль",IF(J161&lt;0,"убыток","ноль"))</f>
        <v>убыток</v>
      </c>
      <c r="L161" s="13" t="n">
        <f aca="false">IF(C161="",L160,IF(J161&lt;0,L160+1,0))</f>
        <v>1</v>
      </c>
      <c r="M161" s="14" t="n">
        <v>-334.45</v>
      </c>
      <c r="N161" s="9" t="n">
        <v>-28613.06</v>
      </c>
      <c r="O161" s="9" t="n">
        <v>818796.6</v>
      </c>
    </row>
    <row r="162" customFormat="false" ht="15" hidden="false" customHeight="false" outlineLevel="0" collapsed="false">
      <c r="A162" s="6" t="n">
        <v>157</v>
      </c>
      <c r="B162" s="5" t="s">
        <v>74</v>
      </c>
      <c r="C162" s="5" t="s">
        <v>234</v>
      </c>
      <c r="D162" s="5" t="s">
        <v>235</v>
      </c>
      <c r="E162" s="5" t="s">
        <v>81</v>
      </c>
      <c r="F162" s="11" t="n">
        <v>2154.43</v>
      </c>
      <c r="G162" s="12" t="n">
        <v>75.3301</v>
      </c>
      <c r="H162" s="12" t="n">
        <v>66.3547</v>
      </c>
      <c r="I162" s="5" t="s">
        <v>78</v>
      </c>
      <c r="J162" s="8" t="n">
        <v>6.32541</v>
      </c>
      <c r="K162" s="13" t="str">
        <f aca="false">IF(J162&gt;0,"прибыль",IF(J162&lt;0,"убыток","ноль"))</f>
        <v>прибыль</v>
      </c>
      <c r="L162" s="13" t="n">
        <f aca="false">IF(C162="",L161,IF(J162&lt;0,L161+1,0))</f>
        <v>0</v>
      </c>
      <c r="M162" s="14" t="n">
        <v>632.54</v>
      </c>
      <c r="N162" s="9" t="n">
        <v>13627.63</v>
      </c>
      <c r="O162" s="9" t="n">
        <v>832424.23</v>
      </c>
    </row>
    <row r="163" customFormat="false" ht="15" hidden="false" customHeight="false" outlineLevel="0" collapsed="false">
      <c r="A163" s="6" t="n">
        <v>158</v>
      </c>
      <c r="B163" s="5" t="s">
        <v>74</v>
      </c>
      <c r="C163" s="5" t="s">
        <v>235</v>
      </c>
      <c r="D163" s="5" t="s">
        <v>236</v>
      </c>
      <c r="E163" s="5" t="s">
        <v>81</v>
      </c>
      <c r="F163" s="11" t="n">
        <v>4216.34</v>
      </c>
      <c r="G163" s="12" t="n">
        <v>67.0797</v>
      </c>
      <c r="H163" s="12" t="n">
        <v>55.0112</v>
      </c>
      <c r="I163" s="5" t="s">
        <v>78</v>
      </c>
      <c r="J163" s="8" t="n">
        <v>15.88241</v>
      </c>
      <c r="K163" s="13" t="str">
        <f aca="false">IF(J163&gt;0,"прибыль",IF(J163&lt;0,"убыток","ноль"))</f>
        <v>прибыль</v>
      </c>
      <c r="L163" s="13" t="n">
        <f aca="false">IF(C163="",L162,IF(J163&lt;0,L162+1,0))</f>
        <v>0</v>
      </c>
      <c r="M163" s="14" t="n">
        <v>1588.24</v>
      </c>
      <c r="N163" s="9" t="n">
        <v>66965.63</v>
      </c>
      <c r="O163" s="9" t="n">
        <v>899389.86</v>
      </c>
    </row>
    <row r="164" customFormat="false" ht="15" hidden="false" customHeight="false" outlineLevel="0" collapsed="false">
      <c r="A164" s="6" t="n">
        <v>159</v>
      </c>
      <c r="B164" s="5" t="s">
        <v>74</v>
      </c>
      <c r="C164" s="5" t="s">
        <v>236</v>
      </c>
      <c r="D164" s="5" t="s">
        <v>237</v>
      </c>
      <c r="E164" s="5" t="s">
        <v>81</v>
      </c>
      <c r="F164" s="11" t="n">
        <v>10109.88</v>
      </c>
      <c r="G164" s="12" t="n">
        <v>63.0838</v>
      </c>
      <c r="H164" s="12" t="n">
        <v>64.8133</v>
      </c>
      <c r="I164" s="5" t="s">
        <v>78</v>
      </c>
      <c r="J164" s="8" t="n">
        <v>3.8528</v>
      </c>
      <c r="K164" s="13" t="str">
        <f aca="false">IF(J164&gt;0,"прибыль",IF(J164&lt;0,"убыток","ноль"))</f>
        <v>прибыль</v>
      </c>
      <c r="L164" s="13" t="n">
        <f aca="false">IF(C164="",L163,IF(J164&lt;0,L163+1,0))</f>
        <v>0</v>
      </c>
      <c r="M164" s="14" t="n">
        <v>385.28</v>
      </c>
      <c r="N164" s="9" t="n">
        <v>38951.38</v>
      </c>
      <c r="O164" s="9" t="n">
        <v>938341.24</v>
      </c>
    </row>
    <row r="165" customFormat="false" ht="15" hidden="false" customHeight="false" outlineLevel="0" collapsed="false">
      <c r="A165" s="6" t="n">
        <v>160</v>
      </c>
      <c r="B165" s="5" t="s">
        <v>74</v>
      </c>
      <c r="C165" s="5" t="s">
        <v>237</v>
      </c>
      <c r="D165" s="5" t="s">
        <v>238</v>
      </c>
      <c r="E165" s="5" t="s">
        <v>77</v>
      </c>
      <c r="F165" s="11" t="n">
        <v>3826.54</v>
      </c>
      <c r="G165" s="12" t="n">
        <v>66.2518</v>
      </c>
      <c r="H165" s="12" t="n">
        <v>74.1151</v>
      </c>
      <c r="I165" s="5" t="s">
        <v>78</v>
      </c>
      <c r="J165" s="8" t="n">
        <v>8.09354</v>
      </c>
      <c r="K165" s="13" t="str">
        <f aca="false">IF(J165&gt;0,"прибыль",IF(J165&lt;0,"убыток","ноль"))</f>
        <v>прибыль</v>
      </c>
      <c r="L165" s="13" t="n">
        <f aca="false">IF(C165="",L164,IF(J165&lt;0,L164+1,0))</f>
        <v>0</v>
      </c>
      <c r="M165" s="14" t="n">
        <v>809.35</v>
      </c>
      <c r="N165" s="9" t="n">
        <v>30970.22</v>
      </c>
      <c r="O165" s="9" t="n">
        <v>969311.47</v>
      </c>
    </row>
    <row r="166" customFormat="false" ht="15" hidden="false" customHeight="false" outlineLevel="0" collapsed="false">
      <c r="A166" s="6" t="n">
        <v>161</v>
      </c>
      <c r="B166" s="5" t="s">
        <v>74</v>
      </c>
      <c r="C166" s="5" t="s">
        <v>238</v>
      </c>
      <c r="D166" s="5" t="s">
        <v>239</v>
      </c>
      <c r="E166" s="5" t="s">
        <v>77</v>
      </c>
      <c r="F166" s="11" t="n">
        <v>3795.52</v>
      </c>
      <c r="G166" s="12" t="n">
        <v>66.0112</v>
      </c>
      <c r="H166" s="12" t="n">
        <v>71.534</v>
      </c>
      <c r="J166" s="8" t="n">
        <v>5.51921</v>
      </c>
      <c r="K166" s="13" t="str">
        <f aca="false">IF(J166&gt;0,"прибыль",IF(J166&lt;0,"убыток","ноль"))</f>
        <v>прибыль</v>
      </c>
      <c r="L166" s="13" t="n">
        <f aca="false">IF(C166="",L165,IF(J166&lt;0,L165+1,0))</f>
        <v>0</v>
      </c>
      <c r="M166" s="14" t="n">
        <v>551.92</v>
      </c>
      <c r="N166" s="9" t="n">
        <v>20948.25</v>
      </c>
      <c r="O166" s="9" t="n">
        <v>990259.72</v>
      </c>
    </row>
    <row r="167" customFormat="false" ht="15" hidden="false" customHeight="false" outlineLevel="0" collapsed="false">
      <c r="A167" s="6" t="n">
        <v>162</v>
      </c>
      <c r="B167" s="5" t="s">
        <v>74</v>
      </c>
      <c r="C167" s="5" t="s">
        <v>239</v>
      </c>
      <c r="D167" s="5" t="s">
        <v>240</v>
      </c>
      <c r="E167" s="5" t="s">
        <v>77</v>
      </c>
      <c r="F167" s="11" t="n">
        <v>2473.12</v>
      </c>
      <c r="G167" s="12" t="n">
        <v>66.0112</v>
      </c>
      <c r="H167" s="12" t="n">
        <v>67.8937</v>
      </c>
      <c r="I167" s="5" t="s">
        <v>78</v>
      </c>
      <c r="J167" s="8" t="n">
        <v>3.97366</v>
      </c>
      <c r="K167" s="13" t="str">
        <f aca="false">IF(J167&gt;0,"прибыль",IF(J167&lt;0,"убыток","ноль"))</f>
        <v>прибыль</v>
      </c>
      <c r="L167" s="13" t="n">
        <f aca="false">IF(C167="",L166,IF(J167&lt;0,L166+1,0))</f>
        <v>0</v>
      </c>
      <c r="M167" s="14" t="n">
        <v>397.37</v>
      </c>
      <c r="N167" s="9" t="n">
        <v>9827.35</v>
      </c>
      <c r="O167" s="9" t="n">
        <v>1000087.06</v>
      </c>
    </row>
    <row r="168" customFormat="false" ht="15" hidden="false" customHeight="false" outlineLevel="0" collapsed="false">
      <c r="A168" s="6" t="n">
        <v>163</v>
      </c>
      <c r="B168" s="5" t="s">
        <v>74</v>
      </c>
      <c r="C168" s="5" t="s">
        <v>240</v>
      </c>
      <c r="D168" s="5" t="s">
        <v>241</v>
      </c>
      <c r="E168" s="5" t="s">
        <v>77</v>
      </c>
      <c r="F168" s="11" t="n">
        <v>8341.97</v>
      </c>
      <c r="G168" s="12" t="n">
        <v>63.9166</v>
      </c>
      <c r="H168" s="12" t="n">
        <v>66.3692</v>
      </c>
      <c r="J168" s="8" t="n">
        <v>2.44626</v>
      </c>
      <c r="K168" s="13" t="str">
        <f aca="false">IF(J168&gt;0,"прибыль",IF(J168&lt;0,"убыток","ноль"))</f>
        <v>прибыль</v>
      </c>
      <c r="L168" s="13" t="n">
        <f aca="false">IF(C168="",L167,IF(J168&lt;0,L167+1,0))</f>
        <v>0</v>
      </c>
      <c r="M168" s="14" t="n">
        <v>244.63</v>
      </c>
      <c r="N168" s="9" t="n">
        <v>20406.65</v>
      </c>
      <c r="O168" s="9" t="n">
        <v>1020493.71</v>
      </c>
    </row>
    <row r="169" customFormat="false" ht="15" hidden="false" customHeight="false" outlineLevel="0" collapsed="false">
      <c r="A169" s="6" t="n">
        <v>164</v>
      </c>
      <c r="B169" s="5" t="s">
        <v>74</v>
      </c>
      <c r="C169" s="5" t="s">
        <v>241</v>
      </c>
      <c r="D169" s="5" t="s">
        <v>242</v>
      </c>
      <c r="E169" s="5" t="s">
        <v>81</v>
      </c>
      <c r="F169" s="11" t="n">
        <v>8119.97</v>
      </c>
      <c r="G169" s="12" t="n">
        <v>66.3692</v>
      </c>
      <c r="H169" s="12" t="n">
        <v>66.2767</v>
      </c>
      <c r="I169" s="5" t="s">
        <v>78</v>
      </c>
      <c r="J169" s="8" t="n">
        <v>-3.63166</v>
      </c>
      <c r="K169" s="13" t="str">
        <f aca="false">IF(J169&gt;0,"прибыль",IF(J169&lt;0,"убыток","ноль"))</f>
        <v>убыток</v>
      </c>
      <c r="L169" s="13" t="n">
        <f aca="false">IF(C169="",L168,IF(J169&lt;0,L168+1,0))</f>
        <v>1</v>
      </c>
      <c r="M169" s="14" t="n">
        <v>-363.17</v>
      </c>
      <c r="N169" s="9" t="n">
        <v>-29488.93</v>
      </c>
      <c r="O169" s="9" t="n">
        <v>991004.78</v>
      </c>
    </row>
    <row r="170" customFormat="false" ht="15" hidden="false" customHeight="false" outlineLevel="0" collapsed="false">
      <c r="A170" s="6" t="n">
        <v>165</v>
      </c>
      <c r="B170" s="5" t="s">
        <v>74</v>
      </c>
      <c r="C170" s="5" t="s">
        <v>242</v>
      </c>
      <c r="D170" s="5" t="s">
        <v>243</v>
      </c>
      <c r="E170" s="5" t="s">
        <v>77</v>
      </c>
      <c r="F170" s="11" t="n">
        <v>6973.76</v>
      </c>
      <c r="G170" s="12" t="n">
        <v>66.2767</v>
      </c>
      <c r="H170" s="12" t="n">
        <v>66.4442</v>
      </c>
      <c r="J170" s="8" t="n">
        <v>0.16024</v>
      </c>
      <c r="K170" s="13" t="str">
        <f aca="false">IF(J170&gt;0,"прибыль",IF(J170&lt;0,"убыток","ноль"))</f>
        <v>прибыль</v>
      </c>
      <c r="L170" s="13" t="n">
        <f aca="false">IF(C170="",L169,IF(J170&lt;0,L169+1,0))</f>
        <v>0</v>
      </c>
      <c r="M170" s="14" t="n">
        <v>16.02</v>
      </c>
      <c r="N170" s="9" t="n">
        <v>1117.48</v>
      </c>
      <c r="O170" s="9" t="n">
        <v>992122.26</v>
      </c>
    </row>
    <row r="171" customFormat="false" ht="15" hidden="false" customHeight="false" outlineLevel="0" collapsed="false">
      <c r="A171" s="6" t="n">
        <v>166</v>
      </c>
      <c r="B171" s="5" t="s">
        <v>74</v>
      </c>
      <c r="C171" s="5" t="s">
        <v>243</v>
      </c>
      <c r="D171" s="5" t="s">
        <v>244</v>
      </c>
      <c r="E171" s="5" t="s">
        <v>81</v>
      </c>
      <c r="F171" s="11" t="n">
        <v>8528.21</v>
      </c>
      <c r="G171" s="12" t="n">
        <v>66.4442</v>
      </c>
      <c r="H171" s="12" t="n">
        <v>66.7792</v>
      </c>
      <c r="I171" s="5" t="s">
        <v>78</v>
      </c>
      <c r="J171" s="8" t="n">
        <v>-1.72026</v>
      </c>
      <c r="K171" s="13" t="str">
        <f aca="false">IF(J171&gt;0,"прибыль",IF(J171&lt;0,"убыток","ноль"))</f>
        <v>убыток</v>
      </c>
      <c r="L171" s="13" t="n">
        <f aca="false">IF(C171="",L170,IF(J171&lt;0,L170+1,0))</f>
        <v>1</v>
      </c>
      <c r="M171" s="14" t="n">
        <v>-172.03</v>
      </c>
      <c r="N171" s="9" t="n">
        <v>-14670.72</v>
      </c>
      <c r="O171" s="9" t="n">
        <v>977451.54</v>
      </c>
    </row>
    <row r="172" customFormat="false" ht="15" hidden="false" customHeight="false" outlineLevel="0" collapsed="false">
      <c r="A172" s="6" t="n">
        <v>167</v>
      </c>
      <c r="B172" s="5" t="s">
        <v>74</v>
      </c>
      <c r="C172" s="5" t="s">
        <v>244</v>
      </c>
      <c r="D172" s="5" t="s">
        <v>245</v>
      </c>
      <c r="E172" s="5" t="s">
        <v>77</v>
      </c>
      <c r="F172" s="11" t="n">
        <v>7878.58</v>
      </c>
      <c r="G172" s="12" t="n">
        <v>66.7792</v>
      </c>
      <c r="H172" s="12" t="n">
        <v>66.7523</v>
      </c>
      <c r="J172" s="8" t="n">
        <v>-0.03369</v>
      </c>
      <c r="K172" s="13" t="str">
        <f aca="false">IF(J172&gt;0,"прибыль",IF(J172&lt;0,"убыток","ноль"))</f>
        <v>убыток</v>
      </c>
      <c r="L172" s="13" t="n">
        <f aca="false">IF(C172="",L171,IF(J172&lt;0,L171+1,0))</f>
        <v>2</v>
      </c>
      <c r="M172" s="14" t="n">
        <v>-3.37</v>
      </c>
      <c r="N172" s="9" t="n">
        <v>-265.4</v>
      </c>
      <c r="O172" s="9" t="n">
        <v>977186.14</v>
      </c>
    </row>
    <row r="173" customFormat="false" ht="15" hidden="false" customHeight="false" outlineLevel="0" collapsed="false">
      <c r="A173" s="6" t="n">
        <v>168</v>
      </c>
      <c r="B173" s="5" t="s">
        <v>74</v>
      </c>
      <c r="C173" s="5" t="s">
        <v>245</v>
      </c>
      <c r="D173" s="5" t="s">
        <v>246</v>
      </c>
      <c r="E173" s="5" t="s">
        <v>81</v>
      </c>
      <c r="F173" s="11" t="n">
        <v>8077.38</v>
      </c>
      <c r="G173" s="12" t="n">
        <v>66.7523</v>
      </c>
      <c r="H173" s="12" t="n">
        <v>63.1003</v>
      </c>
      <c r="J173" s="8" t="n">
        <v>3.64527</v>
      </c>
      <c r="K173" s="13" t="str">
        <f aca="false">IF(J173&gt;0,"прибыль",IF(J173&lt;0,"убыток","ноль"))</f>
        <v>прибыль</v>
      </c>
      <c r="L173" s="13" t="n">
        <f aca="false">IF(C173="",L172,IF(J173&lt;0,L172+1,0))</f>
        <v>0</v>
      </c>
      <c r="M173" s="14" t="n">
        <v>364.53</v>
      </c>
      <c r="N173" s="9" t="n">
        <v>29444.22</v>
      </c>
      <c r="O173" s="9" t="n">
        <v>1006630.36</v>
      </c>
    </row>
    <row r="174" customFormat="false" ht="15" hidden="false" customHeight="false" outlineLevel="0" collapsed="false">
      <c r="A174" s="6" t="n">
        <v>169</v>
      </c>
      <c r="B174" s="5" t="s">
        <v>74</v>
      </c>
      <c r="C174" s="5" t="s">
        <v>246</v>
      </c>
      <c r="D174" s="5" t="s">
        <v>247</v>
      </c>
      <c r="E174" s="5" t="s">
        <v>77</v>
      </c>
      <c r="F174" s="11" t="n">
        <v>9078.27</v>
      </c>
      <c r="G174" s="12" t="n">
        <v>63.1003</v>
      </c>
      <c r="H174" s="12" t="n">
        <v>63.3494</v>
      </c>
      <c r="J174" s="8" t="n">
        <v>0.24277</v>
      </c>
      <c r="K174" s="13" t="str">
        <f aca="false">IF(J174&gt;0,"прибыль",IF(J174&lt;0,"убыток","ноль"))</f>
        <v>прибыль</v>
      </c>
      <c r="L174" s="13" t="n">
        <f aca="false">IF(C174="",L173,IF(J174&lt;0,L173+1,0))</f>
        <v>0</v>
      </c>
      <c r="M174" s="14" t="n">
        <v>24.28</v>
      </c>
      <c r="N174" s="9" t="n">
        <v>2203.93</v>
      </c>
      <c r="O174" s="9" t="n">
        <v>1008834.29</v>
      </c>
    </row>
    <row r="175" customFormat="false" ht="15" hidden="false" customHeight="false" outlineLevel="0" collapsed="false">
      <c r="A175" s="6" t="n">
        <v>170</v>
      </c>
      <c r="B175" s="5" t="s">
        <v>74</v>
      </c>
      <c r="C175" s="5" t="s">
        <v>247</v>
      </c>
      <c r="D175" s="5" t="s">
        <v>248</v>
      </c>
      <c r="E175" s="5" t="s">
        <v>81</v>
      </c>
      <c r="F175" s="11" t="n">
        <v>0</v>
      </c>
      <c r="G175" s="12" t="n">
        <v>63.3494</v>
      </c>
      <c r="H175" s="12" t="n">
        <v>64.2909</v>
      </c>
      <c r="J175" s="8" t="n">
        <v>-0.94475</v>
      </c>
      <c r="K175" s="13" t="str">
        <f aca="false">IF(J175&gt;0,"прибыль",IF(J175&lt;0,"убыток","ноль"))</f>
        <v>убыток</v>
      </c>
      <c r="L175" s="13" t="n">
        <f aca="false">IF(C175="",L174,IF(J175&lt;0,L174+1,0))</f>
        <v>1</v>
      </c>
      <c r="M175" s="14" t="n">
        <v>-94.48</v>
      </c>
      <c r="N175" s="9" t="n">
        <v>0</v>
      </c>
      <c r="O175" s="9" t="n">
        <v>1008834.29</v>
      </c>
    </row>
    <row r="176" customFormat="false" ht="15" hidden="false" customHeight="false" outlineLevel="0" collapsed="false">
      <c r="A176" s="6" t="n">
        <v>171</v>
      </c>
      <c r="B176" s="5" t="s">
        <v>74</v>
      </c>
      <c r="C176" s="5" t="s">
        <v>248</v>
      </c>
      <c r="D176" s="5" t="s">
        <v>249</v>
      </c>
      <c r="E176" s="5" t="s">
        <v>81</v>
      </c>
      <c r="F176" s="11" t="n">
        <v>9044.96</v>
      </c>
      <c r="G176" s="12" t="n">
        <v>63.3494</v>
      </c>
      <c r="H176" s="12" t="n">
        <v>63.3813</v>
      </c>
      <c r="J176" s="8" t="n">
        <v>-0.0382</v>
      </c>
      <c r="K176" s="13" t="str">
        <f aca="false">IF(J176&gt;0,"прибыль",IF(J176&lt;0,"убыток","ноль"))</f>
        <v>убыток</v>
      </c>
      <c r="L176" s="13" t="n">
        <f aca="false">IF(C176="",L175,IF(J176&lt;0,L175+1,0))</f>
        <v>2</v>
      </c>
      <c r="M176" s="14" t="n">
        <v>-3.82</v>
      </c>
      <c r="N176" s="9" t="n">
        <v>-345.56</v>
      </c>
      <c r="O176" s="9" t="n">
        <v>1008488.73</v>
      </c>
    </row>
    <row r="177" customFormat="false" ht="15" hidden="false" customHeight="false" outlineLevel="0" collapsed="false">
      <c r="A177" s="6" t="n">
        <v>172</v>
      </c>
      <c r="B177" s="5" t="s">
        <v>74</v>
      </c>
      <c r="C177" s="5" t="s">
        <v>249</v>
      </c>
      <c r="D177" s="5" t="s">
        <v>250</v>
      </c>
      <c r="E177" s="5" t="s">
        <v>77</v>
      </c>
      <c r="F177" s="11" t="n">
        <v>0</v>
      </c>
      <c r="G177" s="12" t="n">
        <v>63.3813</v>
      </c>
      <c r="H177" s="12" t="n">
        <v>63.8476</v>
      </c>
      <c r="J177" s="8" t="n">
        <v>0.4631</v>
      </c>
      <c r="K177" s="13" t="str">
        <f aca="false">IF(J177&gt;0,"прибыль",IF(J177&lt;0,"убыток","ноль"))</f>
        <v>прибыль</v>
      </c>
      <c r="L177" s="13" t="n">
        <f aca="false">IF(C177="",L176,IF(J177&lt;0,L176+1,0))</f>
        <v>0</v>
      </c>
      <c r="M177" s="14" t="n">
        <v>46.31</v>
      </c>
      <c r="N177" s="9" t="n">
        <v>0</v>
      </c>
      <c r="O177" s="9" t="n">
        <v>1008488.73</v>
      </c>
    </row>
    <row r="178" customFormat="false" ht="15" hidden="false" customHeight="false" outlineLevel="0" collapsed="false">
      <c r="A178" s="6" t="n">
        <v>173</v>
      </c>
      <c r="B178" s="5" t="s">
        <v>74</v>
      </c>
      <c r="C178" s="5" t="s">
        <v>250</v>
      </c>
      <c r="D178" s="5" t="s">
        <v>251</v>
      </c>
      <c r="E178" s="5" t="s">
        <v>77</v>
      </c>
      <c r="F178" s="11" t="n">
        <v>2652.86</v>
      </c>
      <c r="G178" s="12" t="n">
        <v>62.9106</v>
      </c>
      <c r="H178" s="12" t="n">
        <v>60.8841</v>
      </c>
      <c r="I178" s="5" t="s">
        <v>78</v>
      </c>
      <c r="J178" s="8" t="n">
        <v>1.86534</v>
      </c>
      <c r="K178" s="13" t="str">
        <f aca="false">IF(J178&gt;0,"прибыль",IF(J178&lt;0,"убыток","ноль"))</f>
        <v>прибыль</v>
      </c>
      <c r="L178" s="13" t="n">
        <f aca="false">IF(C178="",L177,IF(J178&lt;0,L177+1,0))</f>
        <v>0</v>
      </c>
      <c r="M178" s="14" t="n">
        <v>186.53</v>
      </c>
      <c r="N178" s="9" t="n">
        <v>4948.48</v>
      </c>
      <c r="O178" s="9" t="n">
        <v>1013437.21</v>
      </c>
    </row>
    <row r="179" customFormat="false" ht="15" hidden="false" customHeight="false" outlineLevel="0" collapsed="false">
      <c r="A179" s="6" t="n">
        <v>174</v>
      </c>
      <c r="B179" s="5" t="s">
        <v>74</v>
      </c>
      <c r="C179" s="5" t="s">
        <v>251</v>
      </c>
      <c r="D179" s="5" t="s">
        <v>252</v>
      </c>
      <c r="E179" s="5" t="s">
        <v>77</v>
      </c>
      <c r="F179" s="11" t="n">
        <v>9767.97</v>
      </c>
      <c r="G179" s="12" t="n">
        <v>59.0125</v>
      </c>
      <c r="H179" s="12" t="n">
        <v>58.3132</v>
      </c>
      <c r="J179" s="8" t="n">
        <v>-0.70503</v>
      </c>
      <c r="K179" s="13" t="str">
        <f aca="false">IF(J179&gt;0,"прибыль",IF(J179&lt;0,"убыток","ноль"))</f>
        <v>убыток</v>
      </c>
      <c r="L179" s="13" t="n">
        <f aca="false">IF(C179="",L178,IF(J179&lt;0,L178+1,0))</f>
        <v>1</v>
      </c>
      <c r="M179" s="14" t="n">
        <v>-70.5</v>
      </c>
      <c r="N179" s="9" t="n">
        <v>-6886.75</v>
      </c>
      <c r="O179" s="9" t="n">
        <v>1006550.46</v>
      </c>
    </row>
    <row r="180" customFormat="false" ht="15" hidden="false" customHeight="false" outlineLevel="0" collapsed="false">
      <c r="A180" s="6" t="n">
        <v>175</v>
      </c>
      <c r="B180" s="5" t="s">
        <v>74</v>
      </c>
      <c r="C180" s="5" t="s">
        <v>252</v>
      </c>
      <c r="D180" s="5" t="s">
        <v>253</v>
      </c>
      <c r="E180" s="5" t="s">
        <v>81</v>
      </c>
      <c r="F180" s="11" t="n">
        <v>9466.53</v>
      </c>
      <c r="G180" s="12" t="n">
        <v>58.3132</v>
      </c>
      <c r="H180" s="12" t="n">
        <v>59.8799</v>
      </c>
      <c r="J180" s="8" t="n">
        <v>-1.57249</v>
      </c>
      <c r="K180" s="13" t="str">
        <f aca="false">IF(J180&gt;0,"прибыль",IF(J180&lt;0,"убыток","ноль"))</f>
        <v>убыток</v>
      </c>
      <c r="L180" s="13" t="n">
        <f aca="false">IF(C180="",L179,IF(J180&lt;0,L179+1,0))</f>
        <v>2</v>
      </c>
      <c r="M180" s="14" t="n">
        <v>-157.25</v>
      </c>
      <c r="N180" s="9" t="n">
        <v>-14886.02</v>
      </c>
      <c r="O180" s="9" t="n">
        <v>991664.44</v>
      </c>
    </row>
    <row r="181" customFormat="false" ht="15" hidden="false" customHeight="false" outlineLevel="0" collapsed="false">
      <c r="A181" s="6" t="n">
        <v>176</v>
      </c>
      <c r="B181" s="5" t="s">
        <v>74</v>
      </c>
      <c r="C181" s="5" t="s">
        <v>253</v>
      </c>
      <c r="D181" s="5" t="s">
        <v>254</v>
      </c>
      <c r="E181" s="5" t="s">
        <v>77</v>
      </c>
      <c r="F181" s="11" t="n">
        <v>8981.41</v>
      </c>
      <c r="G181" s="12" t="n">
        <v>59.8799</v>
      </c>
      <c r="H181" s="12" t="n">
        <v>60.0804</v>
      </c>
      <c r="J181" s="8" t="n">
        <v>0.19455</v>
      </c>
      <c r="K181" s="13" t="str">
        <f aca="false">IF(J181&gt;0,"прибыль",IF(J181&lt;0,"убыток","ноль"))</f>
        <v>прибыль</v>
      </c>
      <c r="L181" s="13" t="n">
        <f aca="false">IF(C181="",L180,IF(J181&lt;0,L180+1,0))</f>
        <v>0</v>
      </c>
      <c r="M181" s="14" t="n">
        <v>19.46</v>
      </c>
      <c r="N181" s="9" t="n">
        <v>1747.33</v>
      </c>
      <c r="O181" s="9" t="n">
        <v>993411.78</v>
      </c>
    </row>
    <row r="182" customFormat="false" ht="15" hidden="false" customHeight="false" outlineLevel="0" collapsed="false">
      <c r="A182" s="6" t="n">
        <v>177</v>
      </c>
      <c r="B182" s="5" t="s">
        <v>74</v>
      </c>
      <c r="C182" s="5" t="s">
        <v>254</v>
      </c>
      <c r="D182" s="5" t="s">
        <v>255</v>
      </c>
      <c r="E182" s="5" t="s">
        <v>81</v>
      </c>
      <c r="F182" s="11" t="n">
        <v>0</v>
      </c>
      <c r="G182" s="12" t="n">
        <v>60.0804</v>
      </c>
      <c r="H182" s="12" t="n">
        <v>60.4584</v>
      </c>
      <c r="J182" s="8" t="n">
        <v>-0.38096</v>
      </c>
      <c r="K182" s="13" t="str">
        <f aca="false">IF(J182&gt;0,"прибыль",IF(J182&lt;0,"убыток","ноль"))</f>
        <v>убыток</v>
      </c>
      <c r="L182" s="13" t="n">
        <f aca="false">IF(C182="",L181,IF(J182&lt;0,L181+1,0))</f>
        <v>1</v>
      </c>
      <c r="M182" s="14" t="n">
        <v>-38.1</v>
      </c>
      <c r="N182" s="9" t="n">
        <v>0</v>
      </c>
      <c r="O182" s="9" t="n">
        <v>993411.78</v>
      </c>
    </row>
    <row r="183" customFormat="false" ht="15" hidden="false" customHeight="false" outlineLevel="0" collapsed="false">
      <c r="A183" s="6" t="n">
        <v>178</v>
      </c>
      <c r="B183" s="5" t="s">
        <v>74</v>
      </c>
      <c r="C183" s="5" t="s">
        <v>255</v>
      </c>
      <c r="D183" s="5" t="s">
        <v>256</v>
      </c>
      <c r="E183" s="5" t="s">
        <v>81</v>
      </c>
      <c r="F183" s="11" t="n">
        <v>9056.64</v>
      </c>
      <c r="G183" s="12" t="n">
        <v>60.0804</v>
      </c>
      <c r="H183" s="12" t="n">
        <v>60.049</v>
      </c>
      <c r="J183" s="8" t="n">
        <v>0.02542</v>
      </c>
      <c r="K183" s="13" t="str">
        <f aca="false">IF(J183&gt;0,"прибыль",IF(J183&lt;0,"убыток","ноль"))</f>
        <v>прибыль</v>
      </c>
      <c r="L183" s="13" t="n">
        <f aca="false">IF(C183="",L182,IF(J183&lt;0,L182+1,0))</f>
        <v>0</v>
      </c>
      <c r="M183" s="14" t="n">
        <v>2.54</v>
      </c>
      <c r="N183" s="9" t="n">
        <v>230.2</v>
      </c>
      <c r="O183" s="9" t="n">
        <v>993641.98</v>
      </c>
    </row>
    <row r="184" customFormat="false" ht="15" hidden="false" customHeight="false" outlineLevel="0" collapsed="false">
      <c r="A184" s="6" t="n">
        <v>179</v>
      </c>
      <c r="B184" s="5" t="s">
        <v>74</v>
      </c>
      <c r="C184" s="5" t="s">
        <v>256</v>
      </c>
      <c r="D184" s="5" t="s">
        <v>257</v>
      </c>
      <c r="E184" s="5" t="s">
        <v>77</v>
      </c>
      <c r="F184" s="11" t="n">
        <v>9144.96</v>
      </c>
      <c r="G184" s="12" t="n">
        <v>60.049</v>
      </c>
      <c r="H184" s="12" t="n">
        <v>60.3594</v>
      </c>
      <c r="J184" s="8" t="n">
        <v>0.30449</v>
      </c>
      <c r="K184" s="13" t="str">
        <f aca="false">IF(J184&gt;0,"прибыль",IF(J184&lt;0,"убыток","ноль"))</f>
        <v>прибыль</v>
      </c>
      <c r="L184" s="13" t="n">
        <f aca="false">IF(C184="",L183,IF(J184&lt;0,L183+1,0))</f>
        <v>0</v>
      </c>
      <c r="M184" s="14" t="n">
        <v>30.45</v>
      </c>
      <c r="N184" s="9" t="n">
        <v>2784.56</v>
      </c>
      <c r="O184" s="9" t="n">
        <v>996426.54</v>
      </c>
    </row>
    <row r="185" customFormat="false" ht="15" hidden="false" customHeight="false" outlineLevel="0" collapsed="false">
      <c r="A185" s="6" t="n">
        <v>180</v>
      </c>
      <c r="B185" s="5" t="s">
        <v>74</v>
      </c>
      <c r="C185" s="5" t="s">
        <v>257</v>
      </c>
      <c r="D185" s="5" t="s">
        <v>258</v>
      </c>
      <c r="E185" s="5" t="s">
        <v>81</v>
      </c>
      <c r="F185" s="11" t="n">
        <v>9156.16</v>
      </c>
      <c r="G185" s="12" t="n">
        <v>60.3594</v>
      </c>
      <c r="H185" s="12" t="n">
        <v>58.7064</v>
      </c>
      <c r="I185" s="5" t="s">
        <v>78</v>
      </c>
      <c r="J185" s="8" t="n">
        <v>-0.11174</v>
      </c>
      <c r="K185" s="13" t="str">
        <f aca="false">IF(J185&gt;0,"прибыль",IF(J185&lt;0,"убыток","ноль"))</f>
        <v>убыток</v>
      </c>
      <c r="L185" s="13" t="n">
        <f aca="false">IF(C185="",L184,IF(J185&lt;0,L184+1,0))</f>
        <v>1</v>
      </c>
      <c r="M185" s="14" t="n">
        <v>-11.17</v>
      </c>
      <c r="N185" s="9" t="n">
        <v>-1023.12</v>
      </c>
      <c r="O185" s="9" t="n">
        <v>995403.41</v>
      </c>
    </row>
    <row r="186" customFormat="false" ht="15" hidden="false" customHeight="false" outlineLevel="0" collapsed="false">
      <c r="A186" s="6" t="n">
        <v>181</v>
      </c>
      <c r="B186" s="5" t="s">
        <v>74</v>
      </c>
      <c r="C186" s="5" t="s">
        <v>258</v>
      </c>
      <c r="D186" s="5" t="s">
        <v>259</v>
      </c>
      <c r="E186" s="5" t="s">
        <v>77</v>
      </c>
      <c r="F186" s="11" t="n">
        <v>9562.13</v>
      </c>
      <c r="G186" s="12" t="n">
        <v>58.7064</v>
      </c>
      <c r="H186" s="12" t="n">
        <v>58.2758</v>
      </c>
      <c r="J186" s="8" t="n">
        <v>-0.43654</v>
      </c>
      <c r="K186" s="13" t="str">
        <f aca="false">IF(J186&gt;0,"прибыль",IF(J186&lt;0,"убыток","ноль"))</f>
        <v>убыток</v>
      </c>
      <c r="L186" s="13" t="n">
        <f aca="false">IF(C186="",L185,IF(J186&lt;0,L185+1,0))</f>
        <v>2</v>
      </c>
      <c r="M186" s="14" t="n">
        <v>-43.65</v>
      </c>
      <c r="N186" s="9" t="n">
        <v>-4174.23</v>
      </c>
      <c r="O186" s="9" t="n">
        <v>991229.19</v>
      </c>
    </row>
    <row r="187" customFormat="false" ht="15" hidden="false" customHeight="false" outlineLevel="0" collapsed="false">
      <c r="A187" s="6" t="n">
        <v>182</v>
      </c>
      <c r="B187" s="5" t="s">
        <v>74</v>
      </c>
      <c r="C187" s="5" t="s">
        <v>259</v>
      </c>
      <c r="D187" s="5" t="s">
        <v>260</v>
      </c>
      <c r="E187" s="5" t="s">
        <v>81</v>
      </c>
      <c r="F187" s="11" t="n">
        <v>9977.73</v>
      </c>
      <c r="G187" s="12" t="n">
        <v>58.2758</v>
      </c>
      <c r="H187" s="12" t="n">
        <v>60.8396</v>
      </c>
      <c r="J187" s="8" t="n">
        <v>-2.56968</v>
      </c>
      <c r="K187" s="13" t="str">
        <f aca="false">IF(J187&gt;0,"прибыль",IF(J187&lt;0,"убыток","ноль"))</f>
        <v>убыток</v>
      </c>
      <c r="L187" s="13" t="n">
        <f aca="false">IF(C187="",L186,IF(J187&lt;0,L186+1,0))</f>
        <v>3</v>
      </c>
      <c r="M187" s="14" t="n">
        <v>-256.97</v>
      </c>
      <c r="N187" s="9" t="n">
        <v>-25639.58</v>
      </c>
      <c r="O187" s="9" t="n">
        <v>965589.61</v>
      </c>
    </row>
    <row r="188" customFormat="false" ht="15" hidden="false" customHeight="false" outlineLevel="0" collapsed="false">
      <c r="A188" s="6" t="n">
        <v>183</v>
      </c>
      <c r="B188" s="5" t="s">
        <v>74</v>
      </c>
      <c r="C188" s="5" t="s">
        <v>260</v>
      </c>
      <c r="D188" s="5" t="s">
        <v>261</v>
      </c>
      <c r="E188" s="5" t="s">
        <v>77</v>
      </c>
      <c r="F188" s="11" t="n">
        <v>4717.78</v>
      </c>
      <c r="G188" s="12" t="n">
        <v>60.8396</v>
      </c>
      <c r="H188" s="12" t="n">
        <v>67.8224</v>
      </c>
      <c r="J188" s="8" t="n">
        <v>6.97938</v>
      </c>
      <c r="K188" s="13" t="str">
        <f aca="false">IF(J188&gt;0,"прибыль",IF(J188&lt;0,"убыток","ноль"))</f>
        <v>прибыль</v>
      </c>
      <c r="L188" s="13" t="n">
        <f aca="false">IF(C188="",L187,IF(J188&lt;0,L187+1,0))</f>
        <v>0</v>
      </c>
      <c r="M188" s="14" t="n">
        <v>697.94</v>
      </c>
      <c r="N188" s="9" t="n">
        <v>32927.2</v>
      </c>
      <c r="O188" s="9" t="n">
        <v>998516.81</v>
      </c>
    </row>
    <row r="189" customFormat="false" ht="15" hidden="false" customHeight="false" outlineLevel="0" collapsed="false">
      <c r="A189" s="6" t="n">
        <v>184</v>
      </c>
      <c r="B189" s="5" t="s">
        <v>74</v>
      </c>
      <c r="C189" s="5" t="s">
        <v>261</v>
      </c>
      <c r="D189" s="5" t="s">
        <v>262</v>
      </c>
      <c r="E189" s="5" t="s">
        <v>77</v>
      </c>
      <c r="F189" s="11" t="n">
        <v>10360.62</v>
      </c>
      <c r="G189" s="12" t="n">
        <v>60.706</v>
      </c>
      <c r="H189" s="12" t="n">
        <v>61.8798</v>
      </c>
      <c r="I189" s="5" t="s">
        <v>78</v>
      </c>
      <c r="J189" s="8" t="n">
        <v>1.18804</v>
      </c>
      <c r="K189" s="13" t="str">
        <f aca="false">IF(J189&gt;0,"прибыль",IF(J189&lt;0,"убыток","ноль"))</f>
        <v>прибыль</v>
      </c>
      <c r="L189" s="13" t="n">
        <f aca="false">IF(C189="",L188,IF(J189&lt;0,L188+1,0))</f>
        <v>0</v>
      </c>
      <c r="M189" s="14" t="n">
        <v>118.8</v>
      </c>
      <c r="N189" s="9" t="n">
        <v>12308.86</v>
      </c>
      <c r="O189" s="9" t="n">
        <v>1010825.67</v>
      </c>
    </row>
    <row r="190" customFormat="false" ht="15" hidden="false" customHeight="false" outlineLevel="0" collapsed="false">
      <c r="A190" s="6" t="n">
        <v>185</v>
      </c>
      <c r="B190" s="5" t="s">
        <v>74</v>
      </c>
      <c r="C190" s="5" t="s">
        <v>262</v>
      </c>
      <c r="D190" s="5" t="s">
        <v>263</v>
      </c>
      <c r="E190" s="5" t="s">
        <v>81</v>
      </c>
      <c r="F190" s="11" t="n">
        <v>11208.74</v>
      </c>
      <c r="G190" s="12" t="n">
        <v>61.8798</v>
      </c>
      <c r="H190" s="12" t="n">
        <v>62.1804</v>
      </c>
      <c r="J190" s="8" t="n">
        <v>-0.30674</v>
      </c>
      <c r="K190" s="13" t="str">
        <f aca="false">IF(J190&gt;0,"прибыль",IF(J190&lt;0,"убыток","ноль"))</f>
        <v>убыток</v>
      </c>
      <c r="L190" s="13" t="n">
        <f aca="false">IF(C190="",L189,IF(J190&lt;0,L189+1,0))</f>
        <v>1</v>
      </c>
      <c r="M190" s="14" t="n">
        <v>-30.67</v>
      </c>
      <c r="N190" s="9" t="n">
        <v>-3438.19</v>
      </c>
      <c r="O190" s="9" t="n">
        <v>1007387.48</v>
      </c>
    </row>
    <row r="191" customFormat="false" ht="15" hidden="false" customHeight="false" outlineLevel="0" collapsed="false">
      <c r="A191" s="6" t="n">
        <v>186</v>
      </c>
      <c r="B191" s="5" t="s">
        <v>74</v>
      </c>
      <c r="C191" s="5" t="s">
        <v>263</v>
      </c>
      <c r="D191" s="5" t="s">
        <v>264</v>
      </c>
      <c r="E191" s="5" t="s">
        <v>77</v>
      </c>
      <c r="F191" s="11" t="n">
        <v>11168.53</v>
      </c>
      <c r="G191" s="12" t="n">
        <v>62.1804</v>
      </c>
      <c r="H191" s="12" t="n">
        <v>61.9976</v>
      </c>
      <c r="J191" s="8" t="n">
        <v>-0.18965</v>
      </c>
      <c r="K191" s="13" t="str">
        <f aca="false">IF(J191&gt;0,"прибыль",IF(J191&lt;0,"убыток","ноль"))</f>
        <v>убыток</v>
      </c>
      <c r="L191" s="13" t="n">
        <f aca="false">IF(C191="",L190,IF(J191&lt;0,L190+1,0))</f>
        <v>2</v>
      </c>
      <c r="M191" s="14" t="n">
        <v>-18.97</v>
      </c>
      <c r="N191" s="9" t="n">
        <v>-2118.12</v>
      </c>
      <c r="O191" s="9" t="n">
        <v>1005269.36</v>
      </c>
    </row>
    <row r="192" customFormat="false" ht="15" hidden="false" customHeight="false" outlineLevel="0" collapsed="false">
      <c r="A192" s="6" t="n">
        <v>187</v>
      </c>
      <c r="B192" s="5" t="s">
        <v>74</v>
      </c>
      <c r="C192" s="5" t="s">
        <v>264</v>
      </c>
      <c r="D192" s="5" t="s">
        <v>265</v>
      </c>
      <c r="E192" s="5" t="s">
        <v>81</v>
      </c>
      <c r="F192" s="11" t="n">
        <v>13811.64</v>
      </c>
      <c r="G192" s="12" t="n">
        <v>61.9976</v>
      </c>
      <c r="H192" s="12" t="n">
        <v>62.511</v>
      </c>
      <c r="J192" s="8" t="n">
        <v>-0.51901</v>
      </c>
      <c r="K192" s="13" t="str">
        <f aca="false">IF(J192&gt;0,"прибыль",IF(J192&lt;0,"убыток","ноль"))</f>
        <v>убыток</v>
      </c>
      <c r="L192" s="13" t="n">
        <f aca="false">IF(C192="",L191,IF(J192&lt;0,L191+1,0))</f>
        <v>3</v>
      </c>
      <c r="M192" s="14" t="n">
        <v>-51.9</v>
      </c>
      <c r="N192" s="9" t="n">
        <v>-7168.41</v>
      </c>
      <c r="O192" s="9" t="n">
        <v>998100.94</v>
      </c>
    </row>
    <row r="193" customFormat="false" ht="15" hidden="false" customHeight="false" outlineLevel="0" collapsed="false">
      <c r="A193" s="6" t="n">
        <v>188</v>
      </c>
      <c r="B193" s="5" t="s">
        <v>74</v>
      </c>
      <c r="C193" s="5" t="s">
        <v>265</v>
      </c>
      <c r="D193" s="5" t="s">
        <v>266</v>
      </c>
      <c r="E193" s="5" t="s">
        <v>77</v>
      </c>
      <c r="F193" s="11" t="n">
        <v>4118.55</v>
      </c>
      <c r="G193" s="12" t="n">
        <v>64.4793</v>
      </c>
      <c r="H193" s="12" t="n">
        <v>66.0107</v>
      </c>
      <c r="I193" s="5" t="s">
        <v>78</v>
      </c>
      <c r="J193" s="8" t="n">
        <v>4.61261</v>
      </c>
      <c r="K193" s="13" t="str">
        <f aca="false">IF(J193&gt;0,"прибыль",IF(J193&lt;0,"убыток","ноль"))</f>
        <v>прибыль</v>
      </c>
      <c r="L193" s="13" t="n">
        <f aca="false">IF(C193="",L192,IF(J193&lt;0,L192+1,0))</f>
        <v>0</v>
      </c>
      <c r="M193" s="14" t="n">
        <v>461.26</v>
      </c>
      <c r="N193" s="9" t="n">
        <v>18997.23</v>
      </c>
      <c r="O193" s="9" t="n">
        <v>1017098.17</v>
      </c>
    </row>
    <row r="194" customFormat="false" ht="15" hidden="false" customHeight="false" outlineLevel="0" collapsed="false">
      <c r="A194" s="6" t="n">
        <v>189</v>
      </c>
      <c r="B194" s="5" t="s">
        <v>74</v>
      </c>
      <c r="C194" s="5" t="s">
        <v>266</v>
      </c>
      <c r="D194" s="5" t="s">
        <v>267</v>
      </c>
      <c r="E194" s="5" t="s">
        <v>77</v>
      </c>
      <c r="F194" s="11" t="n">
        <v>11805.17</v>
      </c>
      <c r="G194" s="12" t="n">
        <v>61.3913</v>
      </c>
      <c r="H194" s="12" t="n">
        <v>58.9787</v>
      </c>
      <c r="J194" s="8" t="n">
        <v>-2.41824</v>
      </c>
      <c r="K194" s="13" t="str">
        <f aca="false">IF(J194&gt;0,"прибыль",IF(J194&lt;0,"убыток","ноль"))</f>
        <v>убыток</v>
      </c>
      <c r="L194" s="13" t="n">
        <f aca="false">IF(C194="",L193,IF(J194&lt;0,L193+1,0))</f>
        <v>1</v>
      </c>
      <c r="M194" s="14" t="n">
        <v>-241.82</v>
      </c>
      <c r="N194" s="9" t="n">
        <v>-28547.72</v>
      </c>
      <c r="O194" s="9" t="n">
        <v>988550.45</v>
      </c>
    </row>
    <row r="195" customFormat="false" ht="15" hidden="false" customHeight="false" outlineLevel="0" collapsed="false">
      <c r="A195" s="6" t="n">
        <v>190</v>
      </c>
      <c r="B195" s="5" t="s">
        <v>74</v>
      </c>
      <c r="C195" s="5" t="s">
        <v>267</v>
      </c>
      <c r="D195" s="5" t="s">
        <v>268</v>
      </c>
      <c r="E195" s="5" t="s">
        <v>81</v>
      </c>
      <c r="F195" s="11" t="n">
        <v>4501.07</v>
      </c>
      <c r="G195" s="12" t="n">
        <v>58.8142</v>
      </c>
      <c r="H195" s="12" t="n">
        <v>56.1846</v>
      </c>
      <c r="I195" s="5" t="s">
        <v>78</v>
      </c>
      <c r="J195" s="8" t="n">
        <v>-1.35719</v>
      </c>
      <c r="K195" s="13" t="str">
        <f aca="false">IF(J195&gt;0,"прибыль",IF(J195&lt;0,"убыток","ноль"))</f>
        <v>убыток</v>
      </c>
      <c r="L195" s="13" t="n">
        <f aca="false">IF(C195="",L194,IF(J195&lt;0,L194+1,0))</f>
        <v>2</v>
      </c>
      <c r="M195" s="14" t="n">
        <v>-135.72</v>
      </c>
      <c r="N195" s="9" t="n">
        <v>-6108.81</v>
      </c>
      <c r="O195" s="9" t="n">
        <v>982441.64</v>
      </c>
    </row>
    <row r="196" customFormat="false" ht="15" hidden="false" customHeight="false" outlineLevel="0" collapsed="false">
      <c r="A196" s="6" t="n">
        <v>191</v>
      </c>
      <c r="B196" s="5" t="s">
        <v>74</v>
      </c>
      <c r="C196" s="5" t="s">
        <v>268</v>
      </c>
      <c r="D196" s="5" t="s">
        <v>269</v>
      </c>
      <c r="E196" s="5" t="s">
        <v>81</v>
      </c>
      <c r="F196" s="11" t="n">
        <v>2443.1</v>
      </c>
      <c r="G196" s="12" t="n">
        <v>54.8319</v>
      </c>
      <c r="H196" s="12" t="n">
        <v>45.2808</v>
      </c>
      <c r="I196" s="5" t="s">
        <v>78</v>
      </c>
      <c r="J196" s="8" t="n">
        <v>11.79769</v>
      </c>
      <c r="K196" s="13" t="str">
        <f aca="false">IF(J196&gt;0,"прибыль",IF(J196&lt;0,"убыток","ноль"))</f>
        <v>прибыль</v>
      </c>
      <c r="L196" s="13" t="n">
        <f aca="false">IF(C196="",L195,IF(J196&lt;0,L195+1,0))</f>
        <v>0</v>
      </c>
      <c r="M196" s="14" t="n">
        <v>1179.77</v>
      </c>
      <c r="N196" s="9" t="n">
        <v>28822.92</v>
      </c>
      <c r="O196" s="9" t="n">
        <v>1011264.56</v>
      </c>
    </row>
    <row r="197" customFormat="false" ht="15" hidden="false" customHeight="false" outlineLevel="0" collapsed="false">
      <c r="A197" s="6" t="n">
        <v>192</v>
      </c>
      <c r="B197" s="5" t="s">
        <v>74</v>
      </c>
      <c r="C197" s="5" t="s">
        <v>269</v>
      </c>
      <c r="D197" s="5" t="s">
        <v>270</v>
      </c>
      <c r="E197" s="5" t="s">
        <v>81</v>
      </c>
      <c r="F197" s="11" t="n">
        <v>1502.08</v>
      </c>
      <c r="G197" s="12" t="n">
        <v>57.0808</v>
      </c>
      <c r="H197" s="12" t="n">
        <v>37.8975</v>
      </c>
      <c r="J197" s="8" t="n">
        <v>19.18145</v>
      </c>
      <c r="K197" s="13" t="str">
        <f aca="false">IF(J197&gt;0,"прибыль",IF(J197&lt;0,"убыток","ноль"))</f>
        <v>прибыль</v>
      </c>
      <c r="L197" s="13" t="n">
        <f aca="false">IF(C197="",L196,IF(J197&lt;0,L196+1,0))</f>
        <v>0</v>
      </c>
      <c r="M197" s="14" t="n">
        <v>1918.14</v>
      </c>
      <c r="N197" s="9" t="n">
        <v>28812.11</v>
      </c>
      <c r="O197" s="9" t="n">
        <v>1040076.67</v>
      </c>
    </row>
    <row r="198" customFormat="false" ht="15" hidden="false" customHeight="false" outlineLevel="0" collapsed="false">
      <c r="A198" s="6" t="n">
        <v>193</v>
      </c>
      <c r="B198" s="5" t="s">
        <v>74</v>
      </c>
      <c r="C198" s="5" t="s">
        <v>270</v>
      </c>
      <c r="D198" s="5" t="s">
        <v>271</v>
      </c>
      <c r="E198" s="5" t="s">
        <v>81</v>
      </c>
      <c r="F198" s="11" t="n">
        <v>1680.47</v>
      </c>
      <c r="G198" s="12" t="n">
        <v>50.4801</v>
      </c>
      <c r="H198" s="12" t="n">
        <v>29.8391</v>
      </c>
      <c r="I198" s="5" t="s">
        <v>78</v>
      </c>
      <c r="J198" s="8" t="n">
        <v>27.40624</v>
      </c>
      <c r="K198" s="13" t="str">
        <f aca="false">IF(J198&gt;0,"прибыль",IF(J198&lt;0,"убыток","ноль"))</f>
        <v>прибыль</v>
      </c>
      <c r="L198" s="13" t="n">
        <f aca="false">IF(C198="",L197,IF(J198&lt;0,L197+1,0))</f>
        <v>0</v>
      </c>
      <c r="M198" s="14" t="n">
        <v>2740.62</v>
      </c>
      <c r="N198" s="9" t="n">
        <v>46055.38</v>
      </c>
      <c r="O198" s="9" t="n">
        <v>1086132.06</v>
      </c>
    </row>
    <row r="199" customFormat="false" ht="15" hidden="false" customHeight="false" outlineLevel="0" collapsed="false">
      <c r="A199" s="6" t="n">
        <v>194</v>
      </c>
      <c r="B199" s="5" t="s">
        <v>74</v>
      </c>
      <c r="C199" s="5" t="s">
        <v>271</v>
      </c>
      <c r="D199" s="5" t="s">
        <v>272</v>
      </c>
      <c r="E199" s="5" t="s">
        <v>81</v>
      </c>
      <c r="F199" s="11" t="n">
        <v>1289.19</v>
      </c>
      <c r="G199" s="12" t="n">
        <v>57.2477</v>
      </c>
      <c r="H199" s="12" t="n">
        <v>35.2874</v>
      </c>
      <c r="J199" s="8" t="n">
        <v>21.95851</v>
      </c>
      <c r="K199" s="13" t="str">
        <f aca="false">IF(J199&gt;0,"прибыль",IF(J199&lt;0,"убыток","ноль"))</f>
        <v>прибыль</v>
      </c>
      <c r="L199" s="13" t="n">
        <f aca="false">IF(C199="",L198,IF(J199&lt;0,L198+1,0))</f>
        <v>0</v>
      </c>
      <c r="M199" s="14" t="n">
        <v>2195.85</v>
      </c>
      <c r="N199" s="9" t="n">
        <v>28308.68</v>
      </c>
      <c r="O199" s="9" t="n">
        <v>1114440.74</v>
      </c>
    </row>
    <row r="200" customFormat="false" ht="15" hidden="false" customHeight="false" outlineLevel="0" collapsed="false">
      <c r="A200" s="6" t="n">
        <v>195</v>
      </c>
      <c r="B200" s="5" t="s">
        <v>74</v>
      </c>
      <c r="C200" s="5" t="s">
        <v>272</v>
      </c>
      <c r="D200" s="5" t="s">
        <v>273</v>
      </c>
      <c r="E200" s="5" t="s">
        <v>81</v>
      </c>
      <c r="F200" s="11" t="n">
        <v>1101.06</v>
      </c>
      <c r="G200" s="12" t="n">
        <v>46.9533</v>
      </c>
      <c r="H200" s="12" t="n">
        <v>35.61</v>
      </c>
      <c r="I200" s="5" t="s">
        <v>78</v>
      </c>
      <c r="J200" s="8" t="n">
        <v>16.5583</v>
      </c>
      <c r="K200" s="13" t="str">
        <f aca="false">IF(J200&gt;0,"прибыль",IF(J200&lt;0,"убыток","ноль"))</f>
        <v>прибыль</v>
      </c>
      <c r="L200" s="13" t="n">
        <f aca="false">IF(C200="",L199,IF(J200&lt;0,L199+1,0))</f>
        <v>0</v>
      </c>
      <c r="M200" s="14" t="n">
        <v>1655.83</v>
      </c>
      <c r="N200" s="9" t="n">
        <v>18231.76</v>
      </c>
      <c r="O200" s="9" t="n">
        <v>1132672.5</v>
      </c>
    </row>
    <row r="201" customFormat="false" ht="15" hidden="false" customHeight="false" outlineLevel="0" collapsed="false">
      <c r="A201" s="6" t="n">
        <v>196</v>
      </c>
      <c r="B201" s="5" t="s">
        <v>74</v>
      </c>
      <c r="C201" s="5" t="s">
        <v>273</v>
      </c>
      <c r="D201" s="5" t="s">
        <v>274</v>
      </c>
      <c r="E201" s="5" t="s">
        <v>81</v>
      </c>
      <c r="F201" s="11" t="n">
        <v>3121.52</v>
      </c>
      <c r="G201" s="12" t="n">
        <v>52.1724</v>
      </c>
      <c r="H201" s="12" t="n">
        <v>34.837</v>
      </c>
      <c r="J201" s="8" t="n">
        <v>17.33187</v>
      </c>
      <c r="K201" s="13" t="str">
        <f aca="false">IF(J201&gt;0,"прибыль",IF(J201&lt;0,"убыток","ноль"))</f>
        <v>прибыль</v>
      </c>
      <c r="L201" s="13" t="n">
        <f aca="false">IF(C201="",L200,IF(J201&lt;0,L200+1,0))</f>
        <v>0</v>
      </c>
      <c r="M201" s="14" t="n">
        <v>1733.19</v>
      </c>
      <c r="N201" s="9" t="n">
        <v>54101.85</v>
      </c>
      <c r="O201" s="9" t="n">
        <v>1186774.35</v>
      </c>
    </row>
    <row r="202" customFormat="false" ht="15" hidden="false" customHeight="false" outlineLevel="0" collapsed="false">
      <c r="A202" s="6" t="n">
        <v>197</v>
      </c>
      <c r="B202" s="5" t="s">
        <v>74</v>
      </c>
      <c r="C202" s="5" t="s">
        <v>274</v>
      </c>
      <c r="D202" s="5" t="s">
        <v>275</v>
      </c>
      <c r="E202" s="5" t="s">
        <v>77</v>
      </c>
      <c r="F202" s="11" t="n">
        <v>5235.91</v>
      </c>
      <c r="G202" s="12" t="n">
        <v>35.3059</v>
      </c>
      <c r="H202" s="12" t="n">
        <v>39.6066</v>
      </c>
      <c r="I202" s="5" t="s">
        <v>78</v>
      </c>
      <c r="J202" s="8" t="n">
        <v>0.98726</v>
      </c>
      <c r="K202" s="13" t="str">
        <f aca="false">IF(J202&gt;0,"прибыль",IF(J202&lt;0,"убыток","ноль"))</f>
        <v>прибыль</v>
      </c>
      <c r="L202" s="13" t="n">
        <f aca="false">IF(C202="",L201,IF(J202&lt;0,L201+1,0))</f>
        <v>0</v>
      </c>
      <c r="M202" s="14" t="n">
        <v>98.73</v>
      </c>
      <c r="N202" s="9" t="n">
        <v>5169.21</v>
      </c>
      <c r="O202" s="9" t="n">
        <v>1191943.55</v>
      </c>
    </row>
    <row r="203" customFormat="false" ht="15" hidden="false" customHeight="false" outlineLevel="0" collapsed="false">
      <c r="A203" s="6" t="n">
        <v>198</v>
      </c>
      <c r="B203" s="5" t="s">
        <v>74</v>
      </c>
      <c r="C203" s="5" t="s">
        <v>275</v>
      </c>
      <c r="D203" s="5" t="s">
        <v>276</v>
      </c>
      <c r="E203" s="5" t="s">
        <v>81</v>
      </c>
      <c r="F203" s="11" t="n">
        <v>5102.37</v>
      </c>
      <c r="G203" s="12" t="n">
        <v>39.6066</v>
      </c>
      <c r="H203" s="12" t="n">
        <v>40.1654</v>
      </c>
      <c r="J203" s="8" t="n">
        <v>-0.56332</v>
      </c>
      <c r="K203" s="13" t="str">
        <f aca="false">IF(J203&gt;0,"прибыль",IF(J203&lt;0,"убыток","ноль"))</f>
        <v>убыток</v>
      </c>
      <c r="L203" s="13" t="n">
        <f aca="false">IF(C203="",L202,IF(J203&lt;0,L202+1,0))</f>
        <v>1</v>
      </c>
      <c r="M203" s="14" t="n">
        <v>-56.33</v>
      </c>
      <c r="N203" s="9" t="n">
        <v>-2874.26</v>
      </c>
      <c r="O203" s="9" t="n">
        <v>1189069.29</v>
      </c>
    </row>
    <row r="204" customFormat="false" ht="15" hidden="false" customHeight="false" outlineLevel="0" collapsed="false">
      <c r="A204" s="6" t="n">
        <v>199</v>
      </c>
      <c r="B204" s="5" t="s">
        <v>74</v>
      </c>
      <c r="C204" s="5" t="s">
        <v>276</v>
      </c>
      <c r="D204" s="5" t="s">
        <v>277</v>
      </c>
      <c r="E204" s="5" t="s">
        <v>77</v>
      </c>
      <c r="F204" s="11" t="n">
        <v>0</v>
      </c>
      <c r="G204" s="12" t="n">
        <v>40.1654</v>
      </c>
      <c r="H204" s="12" t="n">
        <v>41.9098</v>
      </c>
      <c r="J204" s="8" t="n">
        <v>1.74229</v>
      </c>
      <c r="K204" s="13" t="str">
        <f aca="false">IF(J204&gt;0,"прибыль",IF(J204&lt;0,"убыток","ноль"))</f>
        <v>прибыль</v>
      </c>
      <c r="L204" s="13" t="n">
        <f aca="false">IF(C204="",L203,IF(J204&lt;0,L203+1,0))</f>
        <v>0</v>
      </c>
      <c r="M204" s="14" t="n">
        <v>174.23</v>
      </c>
      <c r="N204" s="9" t="n">
        <v>0</v>
      </c>
      <c r="O204" s="9" t="n">
        <v>1189069.29</v>
      </c>
    </row>
    <row r="205" customFormat="false" ht="15" hidden="false" customHeight="false" outlineLevel="0" collapsed="false">
      <c r="A205" s="6" t="n">
        <v>200</v>
      </c>
      <c r="B205" s="5" t="s">
        <v>74</v>
      </c>
      <c r="C205" s="5" t="s">
        <v>277</v>
      </c>
      <c r="D205" s="5" t="s">
        <v>278</v>
      </c>
      <c r="E205" s="5" t="s">
        <v>77</v>
      </c>
      <c r="F205" s="11" t="n">
        <v>19614.89</v>
      </c>
      <c r="G205" s="12" t="n">
        <v>42.0867</v>
      </c>
      <c r="H205" s="12" t="n">
        <v>44.3097</v>
      </c>
      <c r="I205" s="5" t="s">
        <v>78</v>
      </c>
      <c r="J205" s="8" t="n">
        <v>0.53278</v>
      </c>
      <c r="K205" s="13" t="str">
        <f aca="false">IF(J205&gt;0,"прибыль",IF(J205&lt;0,"убыток","ноль"))</f>
        <v>прибыль</v>
      </c>
      <c r="L205" s="13" t="n">
        <f aca="false">IF(C205="",L204,IF(J205&lt;0,L204+1,0))</f>
        <v>0</v>
      </c>
      <c r="M205" s="14" t="n">
        <v>53.28</v>
      </c>
      <c r="N205" s="9" t="n">
        <v>10450.37</v>
      </c>
      <c r="O205" s="9" t="n">
        <v>1199519.66</v>
      </c>
    </row>
    <row r="206" customFormat="false" ht="15" hidden="false" customHeight="false" outlineLevel="0" collapsed="false">
      <c r="A206" s="6" t="n">
        <v>201</v>
      </c>
      <c r="B206" s="5" t="s">
        <v>74</v>
      </c>
      <c r="C206" s="5" t="s">
        <v>278</v>
      </c>
      <c r="D206" s="5" t="s">
        <v>279</v>
      </c>
      <c r="E206" s="5" t="s">
        <v>81</v>
      </c>
      <c r="F206" s="11" t="n">
        <v>17226.67</v>
      </c>
      <c r="G206" s="12" t="n">
        <v>44.3097</v>
      </c>
      <c r="H206" s="12" t="n">
        <v>44.0703</v>
      </c>
      <c r="J206" s="8" t="n">
        <v>0.23498</v>
      </c>
      <c r="K206" s="13" t="str">
        <f aca="false">IF(J206&gt;0,"прибыль",IF(J206&lt;0,"убыток","ноль"))</f>
        <v>прибыль</v>
      </c>
      <c r="L206" s="13" t="n">
        <f aca="false">IF(C206="",L205,IF(J206&lt;0,L205+1,0))</f>
        <v>0</v>
      </c>
      <c r="M206" s="14" t="n">
        <v>23.5</v>
      </c>
      <c r="N206" s="9" t="n">
        <v>4048</v>
      </c>
      <c r="O206" s="9" t="n">
        <v>1203567.66</v>
      </c>
    </row>
    <row r="207" customFormat="false" ht="15" hidden="false" customHeight="false" outlineLevel="0" collapsed="false">
      <c r="A207" s="6" t="n">
        <v>202</v>
      </c>
      <c r="B207" s="5" t="s">
        <v>74</v>
      </c>
      <c r="C207" s="5" t="s">
        <v>279</v>
      </c>
      <c r="D207" s="5" t="s">
        <v>280</v>
      </c>
      <c r="E207" s="5" t="s">
        <v>77</v>
      </c>
      <c r="F207" s="11" t="n">
        <v>17184.82</v>
      </c>
      <c r="G207" s="12" t="n">
        <v>44.0703</v>
      </c>
      <c r="H207" s="12" t="n">
        <v>42.2961</v>
      </c>
      <c r="J207" s="8" t="n">
        <v>-1.77822</v>
      </c>
      <c r="K207" s="13" t="str">
        <f aca="false">IF(J207&gt;0,"прибыль",IF(J207&lt;0,"убыток","ноль"))</f>
        <v>убыток</v>
      </c>
      <c r="L207" s="13" t="n">
        <f aca="false">IF(C207="",L206,IF(J207&lt;0,L206+1,0))</f>
        <v>1</v>
      </c>
      <c r="M207" s="14" t="n">
        <v>-177.82</v>
      </c>
      <c r="N207" s="9" t="n">
        <v>-30558.32</v>
      </c>
      <c r="O207" s="9" t="n">
        <v>1173009.34</v>
      </c>
    </row>
    <row r="208" customFormat="false" ht="15" hidden="false" customHeight="false" outlineLevel="0" collapsed="false">
      <c r="A208" s="6" t="n">
        <v>203</v>
      </c>
      <c r="B208" s="5" t="s">
        <v>74</v>
      </c>
      <c r="C208" s="5" t="s">
        <v>280</v>
      </c>
      <c r="D208" s="5" t="s">
        <v>281</v>
      </c>
      <c r="E208" s="5" t="s">
        <v>81</v>
      </c>
      <c r="F208" s="11" t="n">
        <v>3416.11</v>
      </c>
      <c r="G208" s="12" t="n">
        <v>42.2961</v>
      </c>
      <c r="H208" s="12" t="n">
        <v>40.8128</v>
      </c>
      <c r="J208" s="8" t="n">
        <v>1.48124</v>
      </c>
      <c r="K208" s="13" t="str">
        <f aca="false">IF(J208&gt;0,"прибыль",IF(J208&lt;0,"убыток","ноль"))</f>
        <v>прибыль</v>
      </c>
      <c r="L208" s="13" t="n">
        <f aca="false">IF(C208="",L207,IF(J208&lt;0,L207+1,0))</f>
        <v>0</v>
      </c>
      <c r="M208" s="14" t="n">
        <v>148.12</v>
      </c>
      <c r="N208" s="9" t="n">
        <v>5060.08</v>
      </c>
      <c r="O208" s="9" t="n">
        <v>1178069.42</v>
      </c>
    </row>
    <row r="209" customFormat="false" ht="15" hidden="false" customHeight="false" outlineLevel="0" collapsed="false">
      <c r="A209" s="6" t="n">
        <v>204</v>
      </c>
      <c r="B209" s="5" t="s">
        <v>74</v>
      </c>
      <c r="C209" s="5" t="s">
        <v>281</v>
      </c>
      <c r="D209" s="5" t="s">
        <v>282</v>
      </c>
      <c r="E209" s="5" t="s">
        <v>81</v>
      </c>
      <c r="F209" s="11" t="n">
        <v>3481.55</v>
      </c>
      <c r="G209" s="12" t="n">
        <v>42.2961</v>
      </c>
      <c r="H209" s="12" t="n">
        <v>41.6703</v>
      </c>
      <c r="I209" s="5" t="s">
        <v>78</v>
      </c>
      <c r="J209" s="8" t="n">
        <v>0.47915</v>
      </c>
      <c r="K209" s="13" t="str">
        <f aca="false">IF(J209&gt;0,"прибыль",IF(J209&lt;0,"убыток","ноль"))</f>
        <v>прибыль</v>
      </c>
      <c r="L209" s="13" t="n">
        <f aca="false">IF(C209="",L208,IF(J209&lt;0,L208+1,0))</f>
        <v>0</v>
      </c>
      <c r="M209" s="14" t="n">
        <v>47.92</v>
      </c>
      <c r="N209" s="9" t="n">
        <v>1668.2</v>
      </c>
      <c r="O209" s="9" t="n">
        <v>1179737.62</v>
      </c>
    </row>
    <row r="210" customFormat="false" ht="15" hidden="false" customHeight="false" outlineLevel="0" collapsed="false">
      <c r="A210" s="6" t="n">
        <v>205</v>
      </c>
      <c r="B210" s="5" t="s">
        <v>74</v>
      </c>
      <c r="C210" s="5" t="s">
        <v>282</v>
      </c>
      <c r="D210" s="5" t="s">
        <v>283</v>
      </c>
      <c r="E210" s="5" t="s">
        <v>81</v>
      </c>
      <c r="F210" s="11" t="n">
        <v>11749.84</v>
      </c>
      <c r="G210" s="12" t="n">
        <v>40.981</v>
      </c>
      <c r="H210" s="12" t="n">
        <v>42.3565</v>
      </c>
      <c r="I210" s="5" t="s">
        <v>78</v>
      </c>
      <c r="J210" s="8" t="n">
        <v>0.64452</v>
      </c>
      <c r="K210" s="13" t="str">
        <f aca="false">IF(J210&gt;0,"прибыль",IF(J210&lt;0,"убыток","ноль"))</f>
        <v>прибыль</v>
      </c>
      <c r="L210" s="13" t="n">
        <f aca="false">IF(C210="",L209,IF(J210&lt;0,L209+1,0))</f>
        <v>0</v>
      </c>
      <c r="M210" s="14" t="n">
        <v>64.45</v>
      </c>
      <c r="N210" s="9" t="n">
        <v>7573.03</v>
      </c>
      <c r="O210" s="9" t="n">
        <v>1187310.65</v>
      </c>
    </row>
    <row r="211" customFormat="false" ht="15" hidden="false" customHeight="false" outlineLevel="0" collapsed="false">
      <c r="A211" s="6" t="n">
        <v>206</v>
      </c>
      <c r="B211" s="5" t="s">
        <v>74</v>
      </c>
      <c r="C211" s="5" t="s">
        <v>283</v>
      </c>
      <c r="D211" s="5" t="s">
        <v>284</v>
      </c>
      <c r="E211" s="5" t="s">
        <v>77</v>
      </c>
      <c r="F211" s="11" t="n">
        <v>0</v>
      </c>
      <c r="G211" s="12" t="n">
        <v>42.3565</v>
      </c>
      <c r="H211" s="12" t="n">
        <v>43.5803</v>
      </c>
      <c r="J211" s="8" t="n">
        <v>1.22168</v>
      </c>
      <c r="K211" s="13" t="str">
        <f aca="false">IF(J211&gt;0,"прибыль",IF(J211&lt;0,"убыток","ноль"))</f>
        <v>прибыль</v>
      </c>
      <c r="L211" s="13" t="n">
        <f aca="false">IF(C211="",L210,IF(J211&lt;0,L210+1,0))</f>
        <v>0</v>
      </c>
      <c r="M211" s="14" t="n">
        <v>122.17</v>
      </c>
      <c r="N211" s="9" t="n">
        <v>0</v>
      </c>
      <c r="O211" s="9" t="n">
        <v>1187310.65</v>
      </c>
    </row>
    <row r="212" customFormat="false" ht="15" hidden="false" customHeight="false" outlineLevel="0" collapsed="false">
      <c r="A212" s="6" t="n">
        <v>207</v>
      </c>
      <c r="B212" s="5" t="s">
        <v>74</v>
      </c>
      <c r="C212" s="5" t="s">
        <v>284</v>
      </c>
      <c r="D212" s="5" t="s">
        <v>285</v>
      </c>
      <c r="E212" s="5" t="s">
        <v>77</v>
      </c>
      <c r="F212" s="11" t="n">
        <v>8661.03</v>
      </c>
      <c r="G212" s="12" t="n">
        <v>42.3565</v>
      </c>
      <c r="H212" s="12" t="n">
        <v>43.2825</v>
      </c>
      <c r="J212" s="8" t="n">
        <v>0.92172</v>
      </c>
      <c r="K212" s="13" t="str">
        <f aca="false">IF(J212&gt;0,"прибыль",IF(J212&lt;0,"убыток","ноль"))</f>
        <v>прибыль</v>
      </c>
      <c r="L212" s="13" t="n">
        <f aca="false">IF(C212="",L211,IF(J212&lt;0,L211+1,0))</f>
        <v>0</v>
      </c>
      <c r="M212" s="14" t="n">
        <v>92.17</v>
      </c>
      <c r="N212" s="9" t="n">
        <v>7983.05</v>
      </c>
      <c r="O212" s="9" t="n">
        <v>1195293.69</v>
      </c>
    </row>
    <row r="213" customFormat="false" ht="15" hidden="false" customHeight="false" outlineLevel="0" collapsed="false">
      <c r="A213" s="6" t="n">
        <v>208</v>
      </c>
      <c r="B213" s="5" t="s">
        <v>74</v>
      </c>
      <c r="C213" s="5" t="s">
        <v>285</v>
      </c>
      <c r="D213" s="5" t="s">
        <v>286</v>
      </c>
      <c r="E213" s="5" t="s">
        <v>81</v>
      </c>
      <c r="F213" s="11" t="n">
        <v>8548.34</v>
      </c>
      <c r="G213" s="12" t="n">
        <v>43.2825</v>
      </c>
      <c r="H213" s="12" t="n">
        <v>43.8503</v>
      </c>
      <c r="J213" s="8" t="n">
        <v>-0.57206</v>
      </c>
      <c r="K213" s="13" t="str">
        <f aca="false">IF(J213&gt;0,"прибыль",IF(J213&lt;0,"убыток","ноль"))</f>
        <v>убыток</v>
      </c>
      <c r="L213" s="13" t="n">
        <f aca="false">IF(C213="",L212,IF(J213&lt;0,L212+1,0))</f>
        <v>1</v>
      </c>
      <c r="M213" s="14" t="n">
        <v>-57.21</v>
      </c>
      <c r="N213" s="9" t="n">
        <v>-4890.19</v>
      </c>
      <c r="O213" s="9" t="n">
        <v>1190403.51</v>
      </c>
    </row>
    <row r="214" customFormat="false" ht="15" hidden="false" customHeight="false" outlineLevel="0" collapsed="false">
      <c r="A214" s="6" t="n">
        <v>209</v>
      </c>
      <c r="B214" s="5" t="s">
        <v>74</v>
      </c>
      <c r="C214" s="5" t="s">
        <v>286</v>
      </c>
      <c r="D214" s="5" t="s">
        <v>287</v>
      </c>
      <c r="E214" s="5" t="s">
        <v>77</v>
      </c>
      <c r="F214" s="11" t="n">
        <v>4698.91</v>
      </c>
      <c r="G214" s="12" t="n">
        <v>46.6319</v>
      </c>
      <c r="H214" s="12" t="n">
        <v>53.5854</v>
      </c>
      <c r="I214" s="5" t="s">
        <v>78</v>
      </c>
      <c r="J214" s="8" t="n">
        <v>7.03737</v>
      </c>
      <c r="K214" s="13" t="str">
        <f aca="false">IF(J214&gt;0,"прибыль",IF(J214&lt;0,"убыток","ноль"))</f>
        <v>прибыль</v>
      </c>
      <c r="L214" s="13" t="n">
        <f aca="false">IF(C214="",L213,IF(J214&lt;0,L213+1,0))</f>
        <v>0</v>
      </c>
      <c r="M214" s="14" t="n">
        <v>703.74</v>
      </c>
      <c r="N214" s="9" t="n">
        <v>33068</v>
      </c>
      <c r="O214" s="9" t="n">
        <v>1223471.51</v>
      </c>
    </row>
    <row r="215" customFormat="false" ht="15" hidden="false" customHeight="false" outlineLevel="0" collapsed="false">
      <c r="A215" s="6" t="n">
        <v>210</v>
      </c>
      <c r="B215" s="5" t="s">
        <v>288</v>
      </c>
      <c r="C215" s="5" t="s">
        <v>287</v>
      </c>
      <c r="D215" s="5" t="s">
        <v>289</v>
      </c>
      <c r="E215" s="5" t="s">
        <v>77</v>
      </c>
      <c r="F215" s="11" t="n">
        <v>2600.1</v>
      </c>
      <c r="G215" s="12" t="n">
        <v>49.3857</v>
      </c>
      <c r="H215" s="12" t="n">
        <v>67.022</v>
      </c>
      <c r="I215" s="5" t="s">
        <v>78</v>
      </c>
      <c r="J215" s="8" t="n">
        <v>17.1525</v>
      </c>
      <c r="K215" s="13" t="str">
        <f aca="false">IF(J215&gt;0,"прибыль",IF(J215&lt;0,"убыток","ноль"))</f>
        <v>прибыль</v>
      </c>
      <c r="L215" s="13" t="n">
        <f aca="false">IF(C215="",L214,IF(J215&lt;0,L214+1,0))</f>
        <v>0</v>
      </c>
      <c r="M215" s="14" t="n">
        <v>1715.25</v>
      </c>
      <c r="N215" s="9" t="n">
        <v>44598.17</v>
      </c>
      <c r="O215" s="9" t="n">
        <v>1268069.68</v>
      </c>
    </row>
    <row r="216" customFormat="false" ht="15" hidden="false" customHeight="false" outlineLevel="0" collapsed="false">
      <c r="A216" s="6" t="n">
        <v>211</v>
      </c>
      <c r="B216" s="5" t="s">
        <v>288</v>
      </c>
      <c r="C216" s="5" t="s">
        <v>289</v>
      </c>
      <c r="D216" s="5" t="s">
        <v>290</v>
      </c>
      <c r="E216" s="5" t="s">
        <v>77</v>
      </c>
      <c r="F216" s="11" t="n">
        <v>2582.33</v>
      </c>
      <c r="G216" s="12" t="n">
        <v>49.8629</v>
      </c>
      <c r="H216" s="12" t="n">
        <v>67.1081</v>
      </c>
      <c r="I216" s="5" t="s">
        <v>78</v>
      </c>
      <c r="J216" s="8" t="n">
        <v>19.23761</v>
      </c>
      <c r="K216" s="13" t="str">
        <f aca="false">IF(J216&gt;0,"прибыль",IF(J216&lt;0,"убыток","ноль"))</f>
        <v>прибыль</v>
      </c>
      <c r="L216" s="13" t="n">
        <f aca="false">IF(C216="",L215,IF(J216&lt;0,L215+1,0))</f>
        <v>0</v>
      </c>
      <c r="M216" s="14" t="n">
        <v>1923.76</v>
      </c>
      <c r="N216" s="9" t="n">
        <v>49677.91</v>
      </c>
      <c r="O216" s="9" t="n">
        <v>1317747.59</v>
      </c>
    </row>
    <row r="217" customFormat="false" ht="15" hidden="false" customHeight="false" outlineLevel="0" collapsed="false">
      <c r="A217" s="6" t="n">
        <v>212</v>
      </c>
      <c r="B217" s="5" t="s">
        <v>288</v>
      </c>
      <c r="C217" s="5" t="s">
        <v>290</v>
      </c>
      <c r="D217" s="5" t="s">
        <v>291</v>
      </c>
      <c r="E217" s="5" t="s">
        <v>77</v>
      </c>
      <c r="F217" s="11" t="n">
        <v>2266.31</v>
      </c>
      <c r="G217" s="12" t="n">
        <v>47.8672</v>
      </c>
      <c r="H217" s="12" t="n">
        <v>62.7629</v>
      </c>
      <c r="J217" s="8" t="n">
        <v>14.8926</v>
      </c>
      <c r="K217" s="13" t="str">
        <f aca="false">IF(J217&gt;0,"прибыль",IF(J217&lt;0,"убыток","ноль"))</f>
        <v>прибыль</v>
      </c>
      <c r="L217" s="13" t="n">
        <f aca="false">IF(C217="",L216,IF(J217&lt;0,L216+1,0))</f>
        <v>0</v>
      </c>
      <c r="M217" s="14" t="n">
        <v>1489.26</v>
      </c>
      <c r="N217" s="9" t="n">
        <v>33751.26</v>
      </c>
      <c r="O217" s="9" t="n">
        <v>1351498.85</v>
      </c>
    </row>
    <row r="218" customFormat="false" ht="15" hidden="false" customHeight="false" outlineLevel="0" collapsed="false">
      <c r="A218" s="6" t="n">
        <v>213</v>
      </c>
      <c r="B218" s="5" t="s">
        <v>288</v>
      </c>
      <c r="C218" s="5" t="s">
        <v>291</v>
      </c>
      <c r="D218" s="5" t="s">
        <v>292</v>
      </c>
      <c r="E218" s="5" t="s">
        <v>77</v>
      </c>
      <c r="F218" s="11" t="n">
        <v>1239.21</v>
      </c>
      <c r="G218" s="12" t="n">
        <v>47.8672</v>
      </c>
      <c r="H218" s="12" t="n">
        <v>64.2656</v>
      </c>
      <c r="J218" s="8" t="n">
        <v>16.39521</v>
      </c>
      <c r="K218" s="13" t="str">
        <f aca="false">IF(J218&gt;0,"прибыль",IF(J218&lt;0,"убыток","ноль"))</f>
        <v>прибыль</v>
      </c>
      <c r="L218" s="13" t="n">
        <f aca="false">IF(C218="",L217,IF(J218&lt;0,L217+1,0))</f>
        <v>0</v>
      </c>
      <c r="M218" s="14" t="n">
        <v>1639.52</v>
      </c>
      <c r="N218" s="9" t="n">
        <v>20317.18</v>
      </c>
      <c r="O218" s="9" t="n">
        <v>1371816.03</v>
      </c>
    </row>
    <row r="219" customFormat="false" ht="15" hidden="false" customHeight="false" outlineLevel="0" collapsed="false">
      <c r="A219" s="6" t="n">
        <v>214</v>
      </c>
      <c r="B219" s="5" t="s">
        <v>288</v>
      </c>
      <c r="C219" s="5" t="s">
        <v>292</v>
      </c>
      <c r="D219" s="5" t="s">
        <v>293</v>
      </c>
      <c r="E219" s="5" t="s">
        <v>77</v>
      </c>
      <c r="F219" s="11" t="n">
        <v>9476.4</v>
      </c>
      <c r="G219" s="12" t="n">
        <v>57.6855</v>
      </c>
      <c r="H219" s="12" t="n">
        <v>66.6263</v>
      </c>
      <c r="I219" s="5" t="s">
        <v>78</v>
      </c>
      <c r="J219" s="8" t="n">
        <v>8.44049</v>
      </c>
      <c r="K219" s="13" t="str">
        <f aca="false">IF(J219&gt;0,"прибыль",IF(J219&lt;0,"убыток","ноль"))</f>
        <v>прибыль</v>
      </c>
      <c r="L219" s="13" t="n">
        <f aca="false">IF(C219="",L218,IF(J219&lt;0,L218+1,0))</f>
        <v>0</v>
      </c>
      <c r="M219" s="14" t="n">
        <v>844.05</v>
      </c>
      <c r="N219" s="9" t="n">
        <v>79985.43</v>
      </c>
      <c r="O219" s="9" t="n">
        <v>1451801.46</v>
      </c>
    </row>
    <row r="220" customFormat="false" ht="15" hidden="false" customHeight="false" outlineLevel="0" collapsed="false">
      <c r="A220" s="6" t="n">
        <v>215</v>
      </c>
      <c r="B220" s="5" t="s">
        <v>288</v>
      </c>
      <c r="C220" s="5" t="s">
        <v>293</v>
      </c>
      <c r="D220" s="5" t="s">
        <v>294</v>
      </c>
      <c r="E220" s="5" t="s">
        <v>81</v>
      </c>
      <c r="F220" s="11" t="n">
        <v>8677.83</v>
      </c>
      <c r="G220" s="12" t="n">
        <v>66.6263</v>
      </c>
      <c r="H220" s="12" t="n">
        <v>68.7845</v>
      </c>
      <c r="J220" s="8" t="n">
        <v>-2.1651</v>
      </c>
      <c r="K220" s="13" t="str">
        <f aca="false">IF(J220&gt;0,"прибыль",IF(J220&lt;0,"убыток","ноль"))</f>
        <v>убыток</v>
      </c>
      <c r="L220" s="13" t="n">
        <f aca="false">IF(C220="",L219,IF(J220&lt;0,L219+1,0))</f>
        <v>1</v>
      </c>
      <c r="M220" s="14" t="n">
        <v>-216.51</v>
      </c>
      <c r="N220" s="9" t="n">
        <v>-18788.33</v>
      </c>
      <c r="O220" s="9" t="n">
        <v>1433013.13</v>
      </c>
    </row>
    <row r="221" customFormat="false" ht="15" hidden="false" customHeight="false" outlineLevel="0" collapsed="false">
      <c r="A221" s="6" t="n">
        <v>216</v>
      </c>
      <c r="B221" s="5" t="s">
        <v>288</v>
      </c>
      <c r="C221" s="5" t="s">
        <v>294</v>
      </c>
      <c r="D221" s="5" t="s">
        <v>295</v>
      </c>
      <c r="E221" s="5" t="s">
        <v>77</v>
      </c>
      <c r="F221" s="11" t="n">
        <v>8663.83</v>
      </c>
      <c r="G221" s="12" t="n">
        <v>68.7845</v>
      </c>
      <c r="H221" s="12" t="n">
        <v>68.2653</v>
      </c>
      <c r="J221" s="8" t="n">
        <v>-0.52595</v>
      </c>
      <c r="K221" s="13" t="str">
        <f aca="false">IF(J221&gt;0,"прибыль",IF(J221&lt;0,"убыток","ноль"))</f>
        <v>убыток</v>
      </c>
      <c r="L221" s="13" t="n">
        <f aca="false">IF(C221="",L220,IF(J221&lt;0,L220+1,0))</f>
        <v>2</v>
      </c>
      <c r="M221" s="14" t="n">
        <v>-52.59</v>
      </c>
      <c r="N221" s="9" t="n">
        <v>-4556.73</v>
      </c>
      <c r="O221" s="9" t="n">
        <v>1428456.4</v>
      </c>
    </row>
    <row r="222" customFormat="false" ht="15" hidden="false" customHeight="false" outlineLevel="0" collapsed="false">
      <c r="A222" s="6" t="n">
        <v>217</v>
      </c>
      <c r="B222" s="5" t="s">
        <v>288</v>
      </c>
      <c r="C222" s="5" t="s">
        <v>295</v>
      </c>
      <c r="D222" s="5" t="s">
        <v>296</v>
      </c>
      <c r="E222" s="5" t="s">
        <v>81</v>
      </c>
      <c r="F222" s="11" t="n">
        <v>8618.38</v>
      </c>
      <c r="G222" s="12" t="n">
        <v>68.2653</v>
      </c>
      <c r="H222" s="12" t="n">
        <v>68.8878</v>
      </c>
      <c r="J222" s="8" t="n">
        <v>-0.62918</v>
      </c>
      <c r="K222" s="13" t="str">
        <f aca="false">IF(J222&gt;0,"прибыль",IF(J222&lt;0,"убыток","ноль"))</f>
        <v>убыток</v>
      </c>
      <c r="L222" s="13" t="n">
        <f aca="false">IF(C222="",L221,IF(J222&lt;0,L221+1,0))</f>
        <v>3</v>
      </c>
      <c r="M222" s="14" t="n">
        <v>-62.92</v>
      </c>
      <c r="N222" s="9" t="n">
        <v>-5422.55</v>
      </c>
      <c r="O222" s="9" t="n">
        <v>1423033.84</v>
      </c>
    </row>
    <row r="223" customFormat="false" ht="15" hidden="false" customHeight="false" outlineLevel="0" collapsed="false">
      <c r="A223" s="6" t="n">
        <v>218</v>
      </c>
      <c r="B223" s="5" t="s">
        <v>288</v>
      </c>
      <c r="C223" s="5" t="s">
        <v>296</v>
      </c>
      <c r="D223" s="5" t="s">
        <v>297</v>
      </c>
      <c r="E223" s="5" t="s">
        <v>77</v>
      </c>
      <c r="F223" s="11" t="n">
        <v>4484.96</v>
      </c>
      <c r="G223" s="12" t="n">
        <v>71.1622</v>
      </c>
      <c r="H223" s="12" t="n">
        <v>74.7837</v>
      </c>
      <c r="I223" s="5" t="s">
        <v>78</v>
      </c>
      <c r="J223" s="8" t="n">
        <v>3.32961</v>
      </c>
      <c r="K223" s="13" t="str">
        <f aca="false">IF(J223&gt;0,"прибыль",IF(J223&lt;0,"убыток","ноль"))</f>
        <v>прибыль</v>
      </c>
      <c r="L223" s="13" t="n">
        <f aca="false">IF(C223="",L222,IF(J223&lt;0,L222+1,0))</f>
        <v>0</v>
      </c>
      <c r="M223" s="14" t="n">
        <v>332.96</v>
      </c>
      <c r="N223" s="9" t="n">
        <v>14933.19</v>
      </c>
      <c r="O223" s="9" t="n">
        <v>1437967.04</v>
      </c>
    </row>
    <row r="224" customFormat="false" ht="15" hidden="false" customHeight="false" outlineLevel="0" collapsed="false">
      <c r="A224" s="6" t="n">
        <v>219</v>
      </c>
      <c r="B224" s="5" t="s">
        <v>288</v>
      </c>
      <c r="C224" s="5" t="s">
        <v>297</v>
      </c>
      <c r="D224" s="5" t="s">
        <v>298</v>
      </c>
      <c r="E224" s="5" t="s">
        <v>77</v>
      </c>
      <c r="F224" s="11" t="n">
        <v>10639.43</v>
      </c>
      <c r="G224" s="12" t="n">
        <v>71.4446</v>
      </c>
      <c r="H224" s="12" t="n">
        <v>68.6246</v>
      </c>
      <c r="J224" s="8" t="n">
        <v>-2.82574</v>
      </c>
      <c r="K224" s="13" t="str">
        <f aca="false">IF(J224&gt;0,"прибыль",IF(J224&lt;0,"убыток","ноль"))</f>
        <v>убыток</v>
      </c>
      <c r="L224" s="13" t="n">
        <f aca="false">IF(C224="",L223,IF(J224&lt;0,L223+1,0))</f>
        <v>1</v>
      </c>
      <c r="M224" s="14" t="n">
        <v>-282.57</v>
      </c>
      <c r="N224" s="9" t="n">
        <v>-30064.24</v>
      </c>
      <c r="O224" s="9" t="n">
        <v>1407902.8</v>
      </c>
    </row>
    <row r="225" customFormat="false" ht="15" hidden="false" customHeight="false" outlineLevel="0" collapsed="false">
      <c r="A225" s="6" t="n">
        <v>220</v>
      </c>
      <c r="B225" s="5" t="s">
        <v>288</v>
      </c>
      <c r="C225" s="5" t="s">
        <v>298</v>
      </c>
      <c r="D225" s="5" t="s">
        <v>299</v>
      </c>
      <c r="E225" s="5" t="s">
        <v>81</v>
      </c>
      <c r="F225" s="11" t="n">
        <v>7192.52</v>
      </c>
      <c r="G225" s="12" t="n">
        <v>68.6246</v>
      </c>
      <c r="H225" s="12" t="n">
        <v>72.2818</v>
      </c>
      <c r="J225" s="8" t="n">
        <v>-3.6637</v>
      </c>
      <c r="K225" s="13" t="str">
        <f aca="false">IF(J225&gt;0,"прибыль",IF(J225&lt;0,"убыток","ноль"))</f>
        <v>убыток</v>
      </c>
      <c r="L225" s="13" t="n">
        <f aca="false">IF(C225="",L224,IF(J225&lt;0,L224+1,0))</f>
        <v>2</v>
      </c>
      <c r="M225" s="14" t="n">
        <v>-366.37</v>
      </c>
      <c r="N225" s="9" t="n">
        <v>-26351.23</v>
      </c>
      <c r="O225" s="9" t="n">
        <v>1381551.56</v>
      </c>
    </row>
    <row r="226" customFormat="false" ht="15" hidden="false" customHeight="false" outlineLevel="0" collapsed="false">
      <c r="A226" s="6" t="n">
        <v>221</v>
      </c>
      <c r="B226" s="5" t="s">
        <v>288</v>
      </c>
      <c r="C226" s="5" t="s">
        <v>299</v>
      </c>
      <c r="D226" s="5" t="s">
        <v>300</v>
      </c>
      <c r="E226" s="5" t="s">
        <v>77</v>
      </c>
      <c r="F226" s="11" t="n">
        <v>6076.04</v>
      </c>
      <c r="G226" s="12" t="n">
        <v>72.2818</v>
      </c>
      <c r="H226" s="12" t="n">
        <v>69.1723</v>
      </c>
      <c r="I226" s="5" t="s">
        <v>78</v>
      </c>
      <c r="J226" s="8" t="n">
        <v>-0.06596</v>
      </c>
      <c r="K226" s="13" t="str">
        <f aca="false">IF(J226&gt;0,"прибыль",IF(J226&lt;0,"убыток","ноль"))</f>
        <v>убыток</v>
      </c>
      <c r="L226" s="13" t="n">
        <f aca="false">IF(C226="",L225,IF(J226&lt;0,L225+1,0))</f>
        <v>3</v>
      </c>
      <c r="M226" s="14" t="n">
        <v>-6.6</v>
      </c>
      <c r="N226" s="9" t="n">
        <v>-400.78</v>
      </c>
      <c r="O226" s="9" t="n">
        <v>1381150.78</v>
      </c>
    </row>
    <row r="227" customFormat="false" ht="15" hidden="false" customHeight="false" outlineLevel="0" collapsed="false">
      <c r="A227" s="6" t="n">
        <v>222</v>
      </c>
      <c r="B227" s="5" t="s">
        <v>288</v>
      </c>
      <c r="C227" s="5" t="s">
        <v>300</v>
      </c>
      <c r="D227" s="5" t="s">
        <v>301</v>
      </c>
      <c r="E227" s="5" t="s">
        <v>81</v>
      </c>
      <c r="F227" s="11" t="n">
        <v>6060.29</v>
      </c>
      <c r="G227" s="12" t="n">
        <v>69.1723</v>
      </c>
      <c r="H227" s="12" t="n">
        <v>71.7001</v>
      </c>
      <c r="J227" s="8" t="n">
        <v>-2.53486</v>
      </c>
      <c r="K227" s="13" t="str">
        <f aca="false">IF(J227&gt;0,"прибыль",IF(J227&lt;0,"убыток","ноль"))</f>
        <v>убыток</v>
      </c>
      <c r="L227" s="13" t="n">
        <f aca="false">IF(C227="",L226,IF(J227&lt;0,L226+1,0))</f>
        <v>4</v>
      </c>
      <c r="M227" s="14" t="n">
        <v>-253.49</v>
      </c>
      <c r="N227" s="9" t="n">
        <v>-15362.01</v>
      </c>
      <c r="O227" s="9" t="n">
        <v>1365788.77</v>
      </c>
    </row>
    <row r="228" customFormat="false" ht="15" hidden="false" customHeight="false" outlineLevel="0" collapsed="false">
      <c r="A228" s="6" t="n">
        <v>223</v>
      </c>
      <c r="B228" s="5" t="s">
        <v>288</v>
      </c>
      <c r="C228" s="5" t="s">
        <v>301</v>
      </c>
      <c r="D228" s="5" t="s">
        <v>302</v>
      </c>
      <c r="E228" s="5" t="s">
        <v>77</v>
      </c>
      <c r="F228" s="11" t="n">
        <v>5934.08</v>
      </c>
      <c r="G228" s="12" t="n">
        <v>71.7001</v>
      </c>
      <c r="H228" s="12" t="n">
        <v>70.022</v>
      </c>
      <c r="J228" s="8" t="n">
        <v>-1.68511</v>
      </c>
      <c r="K228" s="13" t="str">
        <f aca="false">IF(J228&gt;0,"прибыль",IF(J228&lt;0,"убыток","ноль"))</f>
        <v>убыток</v>
      </c>
      <c r="L228" s="13" t="n">
        <f aca="false">IF(C228="",L227,IF(J228&lt;0,L227+1,0))</f>
        <v>5</v>
      </c>
      <c r="M228" s="14" t="n">
        <v>-168.51</v>
      </c>
      <c r="N228" s="9" t="n">
        <v>-9999.56</v>
      </c>
      <c r="O228" s="9" t="n">
        <v>1355789.21</v>
      </c>
    </row>
    <row r="229" customFormat="false" ht="15" hidden="false" customHeight="false" outlineLevel="0" collapsed="false">
      <c r="A229" s="6" t="n">
        <v>224</v>
      </c>
      <c r="B229" s="5" t="s">
        <v>288</v>
      </c>
      <c r="C229" s="5" t="s">
        <v>302</v>
      </c>
      <c r="D229" s="5" t="s">
        <v>303</v>
      </c>
      <c r="E229" s="5" t="s">
        <v>81</v>
      </c>
      <c r="F229" s="11" t="n">
        <v>2611.59</v>
      </c>
      <c r="G229" s="12" t="n">
        <v>69.4546</v>
      </c>
      <c r="H229" s="12" t="n">
        <v>68.8676</v>
      </c>
      <c r="J229" s="8" t="n">
        <v>0.57897</v>
      </c>
      <c r="K229" s="13" t="str">
        <f aca="false">IF(J229&gt;0,"прибыль",IF(J229&lt;0,"убыток","ноль"))</f>
        <v>прибыль</v>
      </c>
      <c r="L229" s="13" t="n">
        <f aca="false">IF(C229="",L228,IF(J229&lt;0,L228+1,0))</f>
        <v>0</v>
      </c>
      <c r="M229" s="14" t="n">
        <v>57.9</v>
      </c>
      <c r="N229" s="9" t="n">
        <v>1512.04</v>
      </c>
      <c r="O229" s="9" t="n">
        <v>1357301.25</v>
      </c>
    </row>
    <row r="230" customFormat="false" ht="15" hidden="false" customHeight="false" outlineLevel="0" collapsed="false">
      <c r="A230" s="6" t="n">
        <v>225</v>
      </c>
      <c r="B230" s="5" t="s">
        <v>288</v>
      </c>
      <c r="C230" s="5" t="s">
        <v>303</v>
      </c>
      <c r="D230" s="5" t="s">
        <v>304</v>
      </c>
      <c r="E230" s="5" t="s">
        <v>81</v>
      </c>
      <c r="F230" s="11" t="n">
        <v>6961.45</v>
      </c>
      <c r="G230" s="12" t="n">
        <v>69.4546</v>
      </c>
      <c r="H230" s="12" t="n">
        <v>73.0697</v>
      </c>
      <c r="J230" s="8" t="n">
        <v>-3.62185</v>
      </c>
      <c r="K230" s="13" t="str">
        <f aca="false">IF(J230&gt;0,"прибыль",IF(J230&lt;0,"убыток","ноль"))</f>
        <v>убыток</v>
      </c>
      <c r="L230" s="13" t="n">
        <f aca="false">IF(C230="",L229,IF(J230&lt;0,L229+1,0))</f>
        <v>1</v>
      </c>
      <c r="M230" s="14" t="n">
        <v>-362.18</v>
      </c>
      <c r="N230" s="9" t="n">
        <v>-25213.32</v>
      </c>
      <c r="O230" s="9" t="n">
        <v>1332087.94</v>
      </c>
    </row>
    <row r="231" customFormat="false" ht="15" hidden="false" customHeight="false" outlineLevel="0" collapsed="false">
      <c r="A231" s="6" t="n">
        <v>226</v>
      </c>
      <c r="B231" s="5" t="s">
        <v>288</v>
      </c>
      <c r="C231" s="5" t="s">
        <v>304</v>
      </c>
      <c r="D231" s="5" t="s">
        <v>305</v>
      </c>
      <c r="E231" s="5" t="s">
        <v>77</v>
      </c>
      <c r="F231" s="11" t="n">
        <v>0</v>
      </c>
      <c r="G231" s="12" t="n">
        <v>73.0697</v>
      </c>
      <c r="H231" s="12" t="n">
        <v>71.2066</v>
      </c>
      <c r="I231" s="5" t="s">
        <v>78</v>
      </c>
      <c r="J231" s="8" t="n">
        <v>-0.21391</v>
      </c>
      <c r="K231" s="13" t="str">
        <f aca="false">IF(J231&gt;0,"прибыль",IF(J231&lt;0,"убыток","ноль"))</f>
        <v>убыток</v>
      </c>
      <c r="L231" s="13" t="n">
        <f aca="false">IF(C231="",L230,IF(J231&lt;0,L230+1,0))</f>
        <v>2</v>
      </c>
      <c r="M231" s="14" t="n">
        <v>-21.39</v>
      </c>
      <c r="N231" s="9" t="n">
        <v>0</v>
      </c>
      <c r="O231" s="9" t="n">
        <v>1332087.94</v>
      </c>
    </row>
    <row r="232" customFormat="false" ht="15" hidden="false" customHeight="false" outlineLevel="0" collapsed="false">
      <c r="A232" s="6" t="n">
        <v>227</v>
      </c>
      <c r="B232" s="5" t="s">
        <v>288</v>
      </c>
      <c r="C232" s="5" t="s">
        <v>305</v>
      </c>
      <c r="D232" s="5" t="s">
        <v>306</v>
      </c>
      <c r="E232" s="5" t="s">
        <v>77</v>
      </c>
      <c r="F232" s="11" t="n">
        <v>2574.19</v>
      </c>
      <c r="G232" s="12" t="n">
        <v>72.2693</v>
      </c>
      <c r="H232" s="12" t="n">
        <v>82.3871</v>
      </c>
      <c r="I232" s="5" t="s">
        <v>78</v>
      </c>
      <c r="J232" s="8" t="n">
        <v>9.25593</v>
      </c>
      <c r="K232" s="13" t="str">
        <f aca="false">IF(J232&gt;0,"прибыль",IF(J232&lt;0,"убыток","ноль"))</f>
        <v>прибыль</v>
      </c>
      <c r="L232" s="13" t="n">
        <f aca="false">IF(C232="",L231,IF(J232&lt;0,L231+1,0))</f>
        <v>0</v>
      </c>
      <c r="M232" s="14" t="n">
        <v>925.59</v>
      </c>
      <c r="N232" s="9" t="n">
        <v>23826.48</v>
      </c>
      <c r="O232" s="9" t="n">
        <v>1355914.41</v>
      </c>
    </row>
    <row r="233" customFormat="false" ht="15" hidden="false" customHeight="false" outlineLevel="0" collapsed="false">
      <c r="A233" s="6" t="n">
        <v>228</v>
      </c>
      <c r="B233" s="5" t="s">
        <v>288</v>
      </c>
      <c r="C233" s="5" t="s">
        <v>306</v>
      </c>
      <c r="D233" s="5" t="s">
        <v>307</v>
      </c>
      <c r="E233" s="5" t="s">
        <v>77</v>
      </c>
      <c r="F233" s="11" t="n">
        <v>5960.2</v>
      </c>
      <c r="G233" s="12" t="n">
        <v>73.1234</v>
      </c>
      <c r="H233" s="12" t="n">
        <v>72.3915</v>
      </c>
      <c r="J233" s="8" t="n">
        <v>-0.73802</v>
      </c>
      <c r="K233" s="13" t="str">
        <f aca="false">IF(J233&gt;0,"прибыль",IF(J233&lt;0,"убыток","ноль"))</f>
        <v>убыток</v>
      </c>
      <c r="L233" s="13" t="n">
        <f aca="false">IF(C233="",L232,IF(J233&lt;0,L232+1,0))</f>
        <v>1</v>
      </c>
      <c r="M233" s="14" t="n">
        <v>-73.8</v>
      </c>
      <c r="N233" s="9" t="n">
        <v>-4398.74</v>
      </c>
      <c r="O233" s="9" t="n">
        <v>1351515.67</v>
      </c>
    </row>
    <row r="234" customFormat="false" ht="15" hidden="false" customHeight="false" outlineLevel="0" collapsed="false">
      <c r="A234" s="6" t="n">
        <v>229</v>
      </c>
      <c r="B234" s="5" t="s">
        <v>288</v>
      </c>
      <c r="C234" s="5" t="s">
        <v>307</v>
      </c>
      <c r="D234" s="5" t="s">
        <v>308</v>
      </c>
      <c r="E234" s="5" t="s">
        <v>81</v>
      </c>
      <c r="F234" s="11" t="n">
        <v>5654.4</v>
      </c>
      <c r="G234" s="12" t="n">
        <v>73.8263</v>
      </c>
      <c r="H234" s="12" t="n">
        <v>79.3969</v>
      </c>
      <c r="I234" s="5" t="s">
        <v>78</v>
      </c>
      <c r="J234" s="8" t="n">
        <v>-7.37971</v>
      </c>
      <c r="K234" s="13" t="str">
        <f aca="false">IF(J234&gt;0,"прибыль",IF(J234&lt;0,"убыток","ноль"))</f>
        <v>убыток</v>
      </c>
      <c r="L234" s="13" t="n">
        <f aca="false">IF(C234="",L233,IF(J234&lt;0,L233+1,0))</f>
        <v>2</v>
      </c>
      <c r="M234" s="14" t="n">
        <v>-737.97</v>
      </c>
      <c r="N234" s="9" t="n">
        <v>-41727.79</v>
      </c>
      <c r="O234" s="9" t="n">
        <v>1309787.88</v>
      </c>
    </row>
    <row r="235" customFormat="false" ht="15" hidden="false" customHeight="false" outlineLevel="0" collapsed="false">
      <c r="A235" s="6" t="n">
        <v>230</v>
      </c>
      <c r="B235" s="5" t="s">
        <v>288</v>
      </c>
      <c r="C235" s="5" t="s">
        <v>308</v>
      </c>
      <c r="D235" s="5" t="s">
        <v>309</v>
      </c>
      <c r="E235" s="5" t="s">
        <v>77</v>
      </c>
      <c r="F235" s="11" t="n">
        <v>5621.55</v>
      </c>
      <c r="G235" s="12" t="n">
        <v>79.3969</v>
      </c>
      <c r="H235" s="12" t="n">
        <v>78.8944</v>
      </c>
      <c r="I235" s="5" t="s">
        <v>78</v>
      </c>
      <c r="J235" s="8" t="n">
        <v>-0.29996</v>
      </c>
      <c r="K235" s="13" t="str">
        <f aca="false">IF(J235&gt;0,"прибыль",IF(J235&lt;0,"убыток","ноль"))</f>
        <v>убыток</v>
      </c>
      <c r="L235" s="13" t="n">
        <f aca="false">IF(C235="",L234,IF(J235&lt;0,L234+1,0))</f>
        <v>3</v>
      </c>
      <c r="M235" s="14" t="n">
        <v>-30</v>
      </c>
      <c r="N235" s="9" t="n">
        <v>-1686.27</v>
      </c>
      <c r="O235" s="9" t="n">
        <v>1308101.62</v>
      </c>
    </row>
    <row r="236" customFormat="false" ht="15" hidden="false" customHeight="false" outlineLevel="0" collapsed="false">
      <c r="A236" s="6" t="n">
        <v>231</v>
      </c>
      <c r="B236" s="5" t="s">
        <v>288</v>
      </c>
      <c r="C236" s="5" t="s">
        <v>309</v>
      </c>
      <c r="D236" s="5" t="s">
        <v>310</v>
      </c>
      <c r="E236" s="5" t="s">
        <v>81</v>
      </c>
      <c r="F236" s="11" t="n">
        <v>6835.78</v>
      </c>
      <c r="G236" s="12" t="n">
        <v>79.0804</v>
      </c>
      <c r="H236" s="12" t="n">
        <v>82.0862</v>
      </c>
      <c r="J236" s="8" t="n">
        <v>-3.01449</v>
      </c>
      <c r="K236" s="13" t="str">
        <f aca="false">IF(J236&gt;0,"прибыль",IF(J236&lt;0,"убыток","ноль"))</f>
        <v>убыток</v>
      </c>
      <c r="L236" s="13" t="n">
        <f aca="false">IF(C236="",L235,IF(J236&lt;0,L235+1,0))</f>
        <v>4</v>
      </c>
      <c r="M236" s="14" t="n">
        <v>-301.45</v>
      </c>
      <c r="N236" s="9" t="n">
        <v>-20606.43</v>
      </c>
      <c r="O236" s="9" t="n">
        <v>1287495.19</v>
      </c>
    </row>
    <row r="237" customFormat="false" ht="15" hidden="false" customHeight="false" outlineLevel="0" collapsed="false">
      <c r="A237" s="6" t="n">
        <v>232</v>
      </c>
      <c r="B237" s="5" t="s">
        <v>288</v>
      </c>
      <c r="C237" s="5" t="s">
        <v>310</v>
      </c>
      <c r="D237" s="5" t="s">
        <v>311</v>
      </c>
      <c r="E237" s="5" t="s">
        <v>77</v>
      </c>
      <c r="F237" s="11" t="n">
        <v>0</v>
      </c>
      <c r="G237" s="12" t="n">
        <v>82.0862</v>
      </c>
      <c r="H237" s="12" t="n">
        <v>81.8992</v>
      </c>
      <c r="J237" s="8" t="n">
        <v>-0.19108</v>
      </c>
      <c r="K237" s="13" t="str">
        <f aca="false">IF(J237&gt;0,"прибыль",IF(J237&lt;0,"убыток","ноль"))</f>
        <v>убыток</v>
      </c>
      <c r="L237" s="13" t="n">
        <f aca="false">IF(C237="",L236,IF(J237&lt;0,L236+1,0))</f>
        <v>5</v>
      </c>
      <c r="M237" s="14" t="n">
        <v>-19.11</v>
      </c>
      <c r="N237" s="9" t="n">
        <v>0</v>
      </c>
      <c r="O237" s="9" t="n">
        <v>1287495.19</v>
      </c>
    </row>
    <row r="238" customFormat="false" ht="15" hidden="false" customHeight="false" outlineLevel="0" collapsed="false">
      <c r="A238" s="6" t="n">
        <v>233</v>
      </c>
      <c r="B238" s="5" t="s">
        <v>288</v>
      </c>
      <c r="C238" s="5" t="s">
        <v>311</v>
      </c>
      <c r="D238" s="5" t="s">
        <v>312</v>
      </c>
      <c r="E238" s="5" t="s">
        <v>77</v>
      </c>
      <c r="F238" s="11" t="n">
        <v>2003.99</v>
      </c>
      <c r="G238" s="12" t="n">
        <v>83.3752</v>
      </c>
      <c r="H238" s="12" t="n">
        <v>93.0201</v>
      </c>
      <c r="I238" s="5" t="s">
        <v>78</v>
      </c>
      <c r="J238" s="8" t="n">
        <v>11.43537</v>
      </c>
      <c r="K238" s="13" t="str">
        <f aca="false">IF(J238&gt;0,"прибыль",IF(J238&lt;0,"убыток","ноль"))</f>
        <v>прибыль</v>
      </c>
      <c r="L238" s="13" t="n">
        <f aca="false">IF(C238="",L237,IF(J238&lt;0,L237+1,0))</f>
        <v>0</v>
      </c>
      <c r="M238" s="14" t="n">
        <v>1143.54</v>
      </c>
      <c r="N238" s="9" t="n">
        <v>22916.42</v>
      </c>
      <c r="O238" s="9" t="n">
        <v>1310411.61</v>
      </c>
    </row>
    <row r="239" customFormat="false" ht="15" hidden="false" customHeight="false" outlineLevel="0" collapsed="false">
      <c r="A239" s="6" t="n">
        <v>234</v>
      </c>
      <c r="B239" s="5" t="s">
        <v>288</v>
      </c>
      <c r="C239" s="5" t="s">
        <v>312</v>
      </c>
      <c r="D239" s="5" t="s">
        <v>313</v>
      </c>
      <c r="E239" s="5" t="s">
        <v>77</v>
      </c>
      <c r="F239" s="11" t="n">
        <v>4450.23</v>
      </c>
      <c r="G239" s="12" t="n">
        <v>81.5762</v>
      </c>
      <c r="H239" s="12" t="n">
        <v>114.2133</v>
      </c>
      <c r="I239" s="5" t="s">
        <v>78</v>
      </c>
      <c r="J239" s="8" t="n">
        <v>36.29405</v>
      </c>
      <c r="K239" s="13" t="str">
        <f aca="false">IF(J239&gt;0,"прибыль",IF(J239&lt;0,"убыток","ноль"))</f>
        <v>прибыль</v>
      </c>
      <c r="L239" s="13" t="n">
        <f aca="false">IF(C239="",L238,IF(J239&lt;0,L238+1,0))</f>
        <v>0</v>
      </c>
      <c r="M239" s="14" t="n">
        <v>3629.41</v>
      </c>
      <c r="N239" s="9" t="n">
        <v>161516.81</v>
      </c>
      <c r="O239" s="9" t="n">
        <v>1471928.42</v>
      </c>
    </row>
    <row r="240" customFormat="false" ht="15" hidden="false" customHeight="false" outlineLevel="0" collapsed="false">
      <c r="A240" s="6" t="n">
        <v>235</v>
      </c>
      <c r="B240" s="5" t="s">
        <v>288</v>
      </c>
      <c r="C240" s="5" t="s">
        <v>313</v>
      </c>
      <c r="D240" s="5" t="s">
        <v>314</v>
      </c>
      <c r="E240" s="5" t="s">
        <v>77</v>
      </c>
      <c r="F240" s="11" t="n">
        <v>531.45</v>
      </c>
      <c r="G240" s="12" t="n">
        <v>77.9136</v>
      </c>
      <c r="H240" s="12" t="n">
        <v>119.7061</v>
      </c>
      <c r="J240" s="8" t="n">
        <v>41.78655</v>
      </c>
      <c r="K240" s="13" t="str">
        <f aca="false">IF(J240&gt;0,"прибыль",IF(J240&lt;0,"убыток","ноль"))</f>
        <v>прибыль</v>
      </c>
      <c r="L240" s="13" t="n">
        <f aca="false">IF(C240="",L239,IF(J240&lt;0,L239+1,0))</f>
        <v>0</v>
      </c>
      <c r="M240" s="14" t="n">
        <v>4178.65</v>
      </c>
      <c r="N240" s="9" t="n">
        <v>22207.38</v>
      </c>
      <c r="O240" s="9" t="n">
        <v>1494135.8</v>
      </c>
    </row>
    <row r="241" customFormat="false" ht="15" hidden="false" customHeight="false" outlineLevel="0" collapsed="false">
      <c r="A241" s="6" t="n">
        <v>236</v>
      </c>
      <c r="B241" s="5" t="s">
        <v>288</v>
      </c>
      <c r="C241" s="5" t="s">
        <v>314</v>
      </c>
      <c r="D241" s="5" t="s">
        <v>315</v>
      </c>
      <c r="E241" s="5" t="s">
        <v>77</v>
      </c>
      <c r="F241" s="11" t="n">
        <v>397.34</v>
      </c>
      <c r="G241" s="12" t="n">
        <v>77.9136</v>
      </c>
      <c r="H241" s="12" t="n">
        <v>121.0817</v>
      </c>
      <c r="J241" s="8" t="n">
        <v>43.16203</v>
      </c>
      <c r="K241" s="13" t="str">
        <f aca="false">IF(J241&gt;0,"прибыль",IF(J241&lt;0,"убыток","ноль"))</f>
        <v>прибыль</v>
      </c>
      <c r="L241" s="13" t="n">
        <f aca="false">IF(C241="",L240,IF(J241&lt;0,L240+1,0))</f>
        <v>0</v>
      </c>
      <c r="M241" s="14" t="n">
        <v>4316.2</v>
      </c>
      <c r="N241" s="9" t="n">
        <v>17150.11</v>
      </c>
      <c r="O241" s="9" t="n">
        <v>1511285.91</v>
      </c>
    </row>
    <row r="242" customFormat="false" ht="15" hidden="false" customHeight="false" outlineLevel="0" collapsed="false">
      <c r="A242" s="6" t="n">
        <v>237</v>
      </c>
      <c r="B242" s="5" t="s">
        <v>288</v>
      </c>
      <c r="C242" s="5" t="s">
        <v>315</v>
      </c>
      <c r="D242" s="5" t="s">
        <v>316</v>
      </c>
      <c r="E242" s="5" t="s">
        <v>77</v>
      </c>
      <c r="F242" s="11" t="n">
        <v>2738.51</v>
      </c>
      <c r="G242" s="12" t="n">
        <v>90.2666</v>
      </c>
      <c r="H242" s="12" t="n">
        <v>110.6158</v>
      </c>
      <c r="I242" s="5" t="s">
        <v>78</v>
      </c>
      <c r="J242" s="8" t="n">
        <v>23.96208</v>
      </c>
      <c r="K242" s="13" t="str">
        <f aca="false">IF(J242&gt;0,"прибыль",IF(J242&lt;0,"убыток","ноль"))</f>
        <v>прибыль</v>
      </c>
      <c r="L242" s="13" t="n">
        <f aca="false">IF(C242="",L241,IF(J242&lt;0,L241+1,0))</f>
        <v>0</v>
      </c>
      <c r="M242" s="14" t="n">
        <v>2396.21</v>
      </c>
      <c r="N242" s="9" t="n">
        <v>65620.29</v>
      </c>
      <c r="O242" s="9" t="n">
        <v>1576906.2</v>
      </c>
    </row>
    <row r="243" customFormat="false" ht="15" hidden="false" customHeight="false" outlineLevel="0" collapsed="false">
      <c r="A243" s="6" t="n">
        <v>238</v>
      </c>
      <c r="B243" s="5" t="s">
        <v>288</v>
      </c>
      <c r="C243" s="5" t="s">
        <v>316</v>
      </c>
      <c r="D243" s="5" t="s">
        <v>317</v>
      </c>
      <c r="E243" s="5" t="s">
        <v>81</v>
      </c>
      <c r="F243" s="11" t="n">
        <v>2866.12</v>
      </c>
      <c r="G243" s="12" t="n">
        <v>110.6158</v>
      </c>
      <c r="H243" s="12" t="n">
        <v>106.2492</v>
      </c>
      <c r="J243" s="8" t="n">
        <v>4.35579</v>
      </c>
      <c r="K243" s="13" t="str">
        <f aca="false">IF(J243&gt;0,"прибыль",IF(J243&lt;0,"убыток","ноль"))</f>
        <v>прибыль</v>
      </c>
      <c r="L243" s="13" t="n">
        <f aca="false">IF(C243="",L242,IF(J243&lt;0,L242+1,0))</f>
        <v>0</v>
      </c>
      <c r="M243" s="14" t="n">
        <v>435.58</v>
      </c>
      <c r="N243" s="9" t="n">
        <v>12484.25</v>
      </c>
      <c r="O243" s="9" t="n">
        <v>1589390.45</v>
      </c>
    </row>
    <row r="244" customFormat="false" ht="15" hidden="false" customHeight="false" outlineLevel="0" collapsed="false">
      <c r="A244" s="6" t="n">
        <v>239</v>
      </c>
      <c r="B244" s="5" t="s">
        <v>288</v>
      </c>
      <c r="C244" s="5" t="s">
        <v>317</v>
      </c>
      <c r="D244" s="5" t="s">
        <v>318</v>
      </c>
      <c r="E244" s="5" t="s">
        <v>77</v>
      </c>
      <c r="F244" s="11" t="n">
        <v>2944.77</v>
      </c>
      <c r="G244" s="12" t="n">
        <v>106.2492</v>
      </c>
      <c r="H244" s="12" t="n">
        <v>112.3206</v>
      </c>
      <c r="J244" s="8" t="n">
        <v>6.05957</v>
      </c>
      <c r="K244" s="13" t="str">
        <f aca="false">IF(J244&gt;0,"прибыль",IF(J244&lt;0,"убыток","ноль"))</f>
        <v>прибыль</v>
      </c>
      <c r="L244" s="13" t="n">
        <f aca="false">IF(C244="",L243,IF(J244&lt;0,L243+1,0))</f>
        <v>0</v>
      </c>
      <c r="M244" s="14" t="n">
        <v>605.96</v>
      </c>
      <c r="N244" s="9" t="n">
        <v>17844.03</v>
      </c>
      <c r="O244" s="9" t="n">
        <v>1607234.48</v>
      </c>
    </row>
    <row r="245" customFormat="false" ht="15" hidden="false" customHeight="false" outlineLevel="0" collapsed="false">
      <c r="A245" s="6" t="n">
        <v>240</v>
      </c>
      <c r="B245" s="5" t="s">
        <v>288</v>
      </c>
      <c r="C245" s="5" t="s">
        <v>318</v>
      </c>
      <c r="D245" s="5" t="s">
        <v>319</v>
      </c>
      <c r="E245" s="5" t="s">
        <v>81</v>
      </c>
      <c r="F245" s="11" t="n">
        <v>3216.88</v>
      </c>
      <c r="G245" s="12" t="n">
        <v>112.3206</v>
      </c>
      <c r="H245" s="12" t="n">
        <v>117.0105</v>
      </c>
      <c r="J245" s="8" t="n">
        <v>-4.70253</v>
      </c>
      <c r="K245" s="13" t="str">
        <f aca="false">IF(J245&gt;0,"прибыль",IF(J245&lt;0,"убыток","ноль"))</f>
        <v>убыток</v>
      </c>
      <c r="L245" s="13" t="n">
        <f aca="false">IF(C245="",L244,IF(J245&lt;0,L244+1,0))</f>
        <v>1</v>
      </c>
      <c r="M245" s="14" t="n">
        <v>-470.25</v>
      </c>
      <c r="N245" s="9" t="n">
        <v>-15127.49</v>
      </c>
      <c r="O245" s="9" t="n">
        <v>1592106.99</v>
      </c>
    </row>
    <row r="246" customFormat="false" ht="15" hidden="false" customHeight="false" outlineLevel="0" collapsed="false">
      <c r="A246" s="6" t="n">
        <v>241</v>
      </c>
      <c r="B246" s="5" t="s">
        <v>288</v>
      </c>
      <c r="C246" s="5" t="s">
        <v>319</v>
      </c>
      <c r="D246" s="5" t="s">
        <v>320</v>
      </c>
      <c r="E246" s="5" t="s">
        <v>77</v>
      </c>
      <c r="F246" s="11" t="n">
        <v>1562.44</v>
      </c>
      <c r="G246" s="12" t="n">
        <v>119.9006</v>
      </c>
      <c r="H246" s="12" t="n">
        <v>105.6688</v>
      </c>
      <c r="I246" s="5" t="s">
        <v>78</v>
      </c>
      <c r="J246" s="8" t="n">
        <v>-5.73782</v>
      </c>
      <c r="K246" s="13" t="str">
        <f aca="false">IF(J246&gt;0,"прибыль",IF(J246&lt;0,"убыток","ноль"))</f>
        <v>убыток</v>
      </c>
      <c r="L246" s="13" t="n">
        <f aca="false">IF(C246="",L245,IF(J246&lt;0,L245+1,0))</f>
        <v>2</v>
      </c>
      <c r="M246" s="14" t="n">
        <v>-573.78</v>
      </c>
      <c r="N246" s="9" t="n">
        <v>-8964.99</v>
      </c>
      <c r="O246" s="9" t="n">
        <v>1583142</v>
      </c>
    </row>
    <row r="247" customFormat="false" ht="15" hidden="false" customHeight="false" outlineLevel="0" collapsed="false">
      <c r="A247" s="6" t="n">
        <v>242</v>
      </c>
      <c r="B247" s="5" t="s">
        <v>288</v>
      </c>
      <c r="C247" s="5" t="s">
        <v>320</v>
      </c>
      <c r="D247" s="5" t="s">
        <v>321</v>
      </c>
      <c r="E247" s="5" t="s">
        <v>77</v>
      </c>
      <c r="F247" s="11" t="n">
        <v>3602.94</v>
      </c>
      <c r="G247" s="12" t="n">
        <v>111.3968</v>
      </c>
      <c r="H247" s="12" t="n">
        <v>101.3408</v>
      </c>
      <c r="J247" s="8" t="n">
        <v>-10.06615</v>
      </c>
      <c r="K247" s="13" t="str">
        <f aca="false">IF(J247&gt;0,"прибыль",IF(J247&lt;0,"убыток","ноль"))</f>
        <v>убыток</v>
      </c>
      <c r="L247" s="13" t="n">
        <f aca="false">IF(C247="",L246,IF(J247&lt;0,L246+1,0))</f>
        <v>3</v>
      </c>
      <c r="M247" s="14" t="n">
        <v>-1006.62</v>
      </c>
      <c r="N247" s="9" t="n">
        <v>-36267.72</v>
      </c>
      <c r="O247" s="9" t="n">
        <v>1546874.28</v>
      </c>
    </row>
    <row r="248" customFormat="false" ht="15" hidden="false" customHeight="false" outlineLevel="0" collapsed="false">
      <c r="A248" s="6" t="n">
        <v>243</v>
      </c>
      <c r="B248" s="5" t="s">
        <v>288</v>
      </c>
      <c r="C248" s="5" t="s">
        <v>321</v>
      </c>
      <c r="D248" s="5" t="s">
        <v>322</v>
      </c>
      <c r="E248" s="5" t="s">
        <v>81</v>
      </c>
      <c r="F248" s="11" t="n">
        <v>3625.73</v>
      </c>
      <c r="G248" s="12" t="n">
        <v>101.3408</v>
      </c>
      <c r="H248" s="12" t="n">
        <v>106.1905</v>
      </c>
      <c r="J248" s="8" t="n">
        <v>-4.85951</v>
      </c>
      <c r="K248" s="13" t="str">
        <f aca="false">IF(J248&gt;0,"прибыль",IF(J248&lt;0,"убыток","ноль"))</f>
        <v>убыток</v>
      </c>
      <c r="L248" s="13" t="n">
        <f aca="false">IF(C248="",L247,IF(J248&lt;0,L247+1,0))</f>
        <v>4</v>
      </c>
      <c r="M248" s="14" t="n">
        <v>-485.95</v>
      </c>
      <c r="N248" s="9" t="n">
        <v>-17619.25</v>
      </c>
      <c r="O248" s="9" t="n">
        <v>1529255.03</v>
      </c>
    </row>
    <row r="249" customFormat="false" ht="15" hidden="false" customHeight="false" outlineLevel="0" collapsed="false">
      <c r="A249" s="6" t="n">
        <v>244</v>
      </c>
      <c r="B249" s="5" t="s">
        <v>288</v>
      </c>
      <c r="C249" s="5" t="s">
        <v>322</v>
      </c>
      <c r="D249" s="5" t="s">
        <v>323</v>
      </c>
      <c r="E249" s="5" t="s">
        <v>77</v>
      </c>
      <c r="F249" s="11" t="n">
        <v>3123.87</v>
      </c>
      <c r="G249" s="12" t="n">
        <v>106.1905</v>
      </c>
      <c r="H249" s="12" t="n">
        <v>100.0615</v>
      </c>
      <c r="J249" s="8" t="n">
        <v>-6.139</v>
      </c>
      <c r="K249" s="13" t="str">
        <f aca="false">IF(J249&gt;0,"прибыль",IF(J249&lt;0,"убыток","ноль"))</f>
        <v>убыток</v>
      </c>
      <c r="L249" s="13" t="n">
        <f aca="false">IF(C249="",L248,IF(J249&lt;0,L248+1,0))</f>
        <v>5</v>
      </c>
      <c r="M249" s="14" t="n">
        <v>-613.9</v>
      </c>
      <c r="N249" s="9" t="n">
        <v>-19177.46</v>
      </c>
      <c r="O249" s="9" t="n">
        <v>1510077.58</v>
      </c>
    </row>
    <row r="250" customFormat="false" ht="15" hidden="false" customHeight="false" outlineLevel="0" collapsed="false">
      <c r="A250" s="6" t="n">
        <v>245</v>
      </c>
      <c r="B250" s="5" t="s">
        <v>288</v>
      </c>
      <c r="C250" s="5" t="s">
        <v>323</v>
      </c>
      <c r="D250" s="5" t="s">
        <v>324</v>
      </c>
      <c r="E250" s="5" t="s">
        <v>81</v>
      </c>
      <c r="F250" s="11" t="n">
        <v>3145.87</v>
      </c>
      <c r="G250" s="12" t="n">
        <v>100.0615</v>
      </c>
      <c r="H250" s="12" t="n">
        <v>102.6321</v>
      </c>
      <c r="J250" s="8" t="n">
        <v>-2.58077</v>
      </c>
      <c r="K250" s="13" t="str">
        <f aca="false">IF(J250&gt;0,"прибыль",IF(J250&lt;0,"убыток","ноль"))</f>
        <v>убыток</v>
      </c>
      <c r="L250" s="13" t="n">
        <f aca="false">IF(C250="",L249,IF(J250&lt;0,L249+1,0))</f>
        <v>6</v>
      </c>
      <c r="M250" s="14" t="n">
        <v>-258.08</v>
      </c>
      <c r="N250" s="9" t="n">
        <v>-8118.76</v>
      </c>
      <c r="O250" s="9" t="n">
        <v>1501958.82</v>
      </c>
    </row>
    <row r="251" customFormat="false" ht="15" hidden="false" customHeight="false" outlineLevel="0" collapsed="false">
      <c r="A251" s="6" t="n">
        <v>246</v>
      </c>
      <c r="B251" s="5" t="s">
        <v>288</v>
      </c>
      <c r="C251" s="5" t="s">
        <v>324</v>
      </c>
      <c r="D251" s="5" t="s">
        <v>325</v>
      </c>
      <c r="E251" s="5" t="s">
        <v>77</v>
      </c>
      <c r="F251" s="11" t="n">
        <v>3085.8</v>
      </c>
      <c r="G251" s="12" t="n">
        <v>102.6321</v>
      </c>
      <c r="H251" s="12" t="n">
        <v>103.8157</v>
      </c>
      <c r="J251" s="8" t="n">
        <v>1.1736</v>
      </c>
      <c r="K251" s="13" t="str">
        <f aca="false">IF(J251&gt;0,"прибыль",IF(J251&lt;0,"убыток","ноль"))</f>
        <v>прибыль</v>
      </c>
      <c r="L251" s="13" t="n">
        <f aca="false">IF(C251="",L250,IF(J251&lt;0,L250+1,0))</f>
        <v>0</v>
      </c>
      <c r="M251" s="14" t="n">
        <v>117.36</v>
      </c>
      <c r="N251" s="9" t="n">
        <v>3621.5</v>
      </c>
      <c r="O251" s="9" t="n">
        <v>1505580.31</v>
      </c>
    </row>
    <row r="252" customFormat="false" ht="15" hidden="false" customHeight="false" outlineLevel="0" collapsed="false">
      <c r="A252" s="6" t="n">
        <v>247</v>
      </c>
      <c r="B252" s="5" t="s">
        <v>288</v>
      </c>
      <c r="C252" s="5" t="s">
        <v>325</v>
      </c>
      <c r="D252" s="5" t="s">
        <v>326</v>
      </c>
      <c r="E252" s="5" t="s">
        <v>81</v>
      </c>
      <c r="F252" s="11" t="n">
        <v>1115.06</v>
      </c>
      <c r="G252" s="12" t="n">
        <v>104.6685</v>
      </c>
      <c r="H252" s="12" t="n">
        <v>104.9063</v>
      </c>
      <c r="I252" s="5" t="s">
        <v>78</v>
      </c>
      <c r="J252" s="8" t="n">
        <v>-8.59605</v>
      </c>
      <c r="K252" s="13" t="str">
        <f aca="false">IF(J252&gt;0,"прибыль",IF(J252&lt;0,"убыток","ноль"))</f>
        <v>убыток</v>
      </c>
      <c r="L252" s="13" t="n">
        <f aca="false">IF(C252="",L251,IF(J252&lt;0,L251+1,0))</f>
        <v>1</v>
      </c>
      <c r="M252" s="14" t="n">
        <v>-859.61</v>
      </c>
      <c r="N252" s="9" t="n">
        <v>-9585.09</v>
      </c>
      <c r="O252" s="9" t="n">
        <v>1495995.23</v>
      </c>
    </row>
    <row r="253" customFormat="false" ht="15" hidden="false" customHeight="false" outlineLevel="0" collapsed="false">
      <c r="A253" s="6" t="n">
        <v>248</v>
      </c>
      <c r="B253" s="5" t="s">
        <v>288</v>
      </c>
      <c r="C253" s="5" t="s">
        <v>326</v>
      </c>
      <c r="D253" s="5" t="s">
        <v>327</v>
      </c>
      <c r="E253" s="5" t="s">
        <v>81</v>
      </c>
      <c r="F253" s="11" t="n">
        <v>4436.75</v>
      </c>
      <c r="G253" s="12" t="n">
        <v>96.3262</v>
      </c>
      <c r="H253" s="12" t="n">
        <v>101.0998</v>
      </c>
      <c r="J253" s="8" t="n">
        <v>-4.78349</v>
      </c>
      <c r="K253" s="13" t="str">
        <f aca="false">IF(J253&gt;0,"прибыль",IF(J253&lt;0,"убыток","ноль"))</f>
        <v>убыток</v>
      </c>
      <c r="L253" s="13" t="n">
        <f aca="false">IF(C253="",L252,IF(J253&lt;0,L252+1,0))</f>
        <v>2</v>
      </c>
      <c r="M253" s="14" t="n">
        <v>-478.35</v>
      </c>
      <c r="N253" s="9" t="n">
        <v>-21223.17</v>
      </c>
      <c r="O253" s="9" t="n">
        <v>1474772.06</v>
      </c>
    </row>
    <row r="254" customFormat="false" ht="15" hidden="false" customHeight="false" outlineLevel="0" collapsed="false">
      <c r="A254" s="6" t="n">
        <v>249</v>
      </c>
      <c r="B254" s="5" t="s">
        <v>288</v>
      </c>
      <c r="C254" s="5" t="s">
        <v>327</v>
      </c>
      <c r="D254" s="5" t="s">
        <v>328</v>
      </c>
      <c r="E254" s="5" t="s">
        <v>77</v>
      </c>
      <c r="F254" s="11" t="n">
        <v>4278.72</v>
      </c>
      <c r="G254" s="12" t="n">
        <v>101.0998</v>
      </c>
      <c r="H254" s="12" t="n">
        <v>95.7522</v>
      </c>
      <c r="I254" s="5" t="s">
        <v>78</v>
      </c>
      <c r="J254" s="8" t="n">
        <v>-4.63486</v>
      </c>
      <c r="K254" s="13" t="str">
        <f aca="false">IF(J254&gt;0,"прибыль",IF(J254&lt;0,"убыток","ноль"))</f>
        <v>убыток</v>
      </c>
      <c r="L254" s="13" t="n">
        <f aca="false">IF(C254="",L253,IF(J254&lt;0,L253+1,0))</f>
        <v>3</v>
      </c>
      <c r="M254" s="14" t="n">
        <v>-463.49</v>
      </c>
      <c r="N254" s="9" t="n">
        <v>-19831.27</v>
      </c>
      <c r="O254" s="9" t="n">
        <v>1454940.79</v>
      </c>
    </row>
    <row r="255" customFormat="false" ht="15" hidden="false" customHeight="false" outlineLevel="0" collapsed="false">
      <c r="A255" s="6" t="n">
        <v>250</v>
      </c>
      <c r="B255" s="5" t="s">
        <v>288</v>
      </c>
      <c r="C255" s="5" t="s">
        <v>328</v>
      </c>
      <c r="D255" s="5" t="s">
        <v>329</v>
      </c>
      <c r="E255" s="5" t="s">
        <v>81</v>
      </c>
      <c r="F255" s="11" t="n">
        <v>4277.73</v>
      </c>
      <c r="G255" s="12" t="n">
        <v>95.7522</v>
      </c>
      <c r="H255" s="12" t="n">
        <v>94.9887</v>
      </c>
      <c r="J255" s="8" t="n">
        <v>0.75409</v>
      </c>
      <c r="K255" s="13" t="str">
        <f aca="false">IF(J255&gt;0,"прибыль",IF(J255&lt;0,"убыток","ноль"))</f>
        <v>прибыль</v>
      </c>
      <c r="L255" s="13" t="n">
        <f aca="false">IF(C255="",L254,IF(J255&lt;0,L254+1,0))</f>
        <v>0</v>
      </c>
      <c r="M255" s="14" t="n">
        <v>75.41</v>
      </c>
      <c r="N255" s="9" t="n">
        <v>3225.8</v>
      </c>
      <c r="O255" s="9" t="n">
        <v>1458166.6</v>
      </c>
    </row>
    <row r="256" customFormat="false" ht="15" hidden="false" customHeight="false" outlineLevel="0" collapsed="false">
      <c r="A256" s="6" t="n">
        <v>251</v>
      </c>
      <c r="B256" s="5" t="s">
        <v>288</v>
      </c>
      <c r="C256" s="5" t="s">
        <v>329</v>
      </c>
      <c r="D256" s="5" t="s">
        <v>330</v>
      </c>
      <c r="E256" s="5" t="s">
        <v>77</v>
      </c>
      <c r="F256" s="11" t="n">
        <v>4222.23</v>
      </c>
      <c r="G256" s="12" t="n">
        <v>94.9887</v>
      </c>
      <c r="H256" s="12" t="n">
        <v>90.9191</v>
      </c>
      <c r="J256" s="8" t="n">
        <v>-4.07858</v>
      </c>
      <c r="K256" s="13" t="str">
        <f aca="false">IF(J256&gt;0,"прибыль",IF(J256&lt;0,"убыток","ноль"))</f>
        <v>убыток</v>
      </c>
      <c r="L256" s="13" t="n">
        <f aca="false">IF(C256="",L255,IF(J256&lt;0,L255+1,0))</f>
        <v>1</v>
      </c>
      <c r="M256" s="14" t="n">
        <v>-407.86</v>
      </c>
      <c r="N256" s="9" t="n">
        <v>-17220.72</v>
      </c>
      <c r="O256" s="9" t="n">
        <v>1440945.87</v>
      </c>
    </row>
    <row r="257" customFormat="false" ht="15" hidden="false" customHeight="false" outlineLevel="0" collapsed="false">
      <c r="A257" s="6" t="n">
        <v>252</v>
      </c>
      <c r="B257" s="5" t="s">
        <v>288</v>
      </c>
      <c r="C257" s="5" t="s">
        <v>330</v>
      </c>
      <c r="D257" s="5" t="s">
        <v>331</v>
      </c>
      <c r="E257" s="5" t="s">
        <v>81</v>
      </c>
      <c r="F257" s="11" t="n">
        <v>4104.62</v>
      </c>
      <c r="G257" s="12" t="n">
        <v>90.9191</v>
      </c>
      <c r="H257" s="12" t="n">
        <v>93.9955</v>
      </c>
      <c r="J257" s="8" t="n">
        <v>-3.08563</v>
      </c>
      <c r="K257" s="13" t="str">
        <f aca="false">IF(J257&gt;0,"прибыль",IF(J257&lt;0,"убыток","ноль"))</f>
        <v>убыток</v>
      </c>
      <c r="L257" s="13" t="n">
        <f aca="false">IF(C257="",L256,IF(J257&lt;0,L256+1,0))</f>
        <v>2</v>
      </c>
      <c r="M257" s="14" t="n">
        <v>-308.56</v>
      </c>
      <c r="N257" s="9" t="n">
        <v>-12665.32</v>
      </c>
      <c r="O257" s="9" t="n">
        <v>1428280.55</v>
      </c>
    </row>
    <row r="258" customFormat="false" ht="15" hidden="false" customHeight="false" outlineLevel="0" collapsed="false">
      <c r="A258" s="6" t="n">
        <v>253</v>
      </c>
      <c r="B258" s="5" t="s">
        <v>288</v>
      </c>
      <c r="C258" s="5" t="s">
        <v>331</v>
      </c>
      <c r="D258" s="5" t="s">
        <v>332</v>
      </c>
      <c r="E258" s="5" t="s">
        <v>77</v>
      </c>
      <c r="F258" s="11" t="n">
        <v>3971.31</v>
      </c>
      <c r="G258" s="12" t="n">
        <v>93.9955</v>
      </c>
      <c r="H258" s="12" t="n">
        <v>94.3185</v>
      </c>
      <c r="J258" s="8" t="n">
        <v>0.31346</v>
      </c>
      <c r="K258" s="13" t="str">
        <f aca="false">IF(J258&gt;0,"прибыль",IF(J258&lt;0,"убыток","ноль"))</f>
        <v>прибыль</v>
      </c>
      <c r="L258" s="13" t="n">
        <f aca="false">IF(C258="",L257,IF(J258&lt;0,L257+1,0))</f>
        <v>0</v>
      </c>
      <c r="M258" s="14" t="n">
        <v>31.35</v>
      </c>
      <c r="N258" s="9" t="n">
        <v>1244.86</v>
      </c>
      <c r="O258" s="9" t="n">
        <v>1429525.41</v>
      </c>
    </row>
    <row r="259" customFormat="false" ht="15" hidden="false" customHeight="false" outlineLevel="0" collapsed="false">
      <c r="A259" s="6" t="n">
        <v>254</v>
      </c>
      <c r="B259" s="5" t="s">
        <v>288</v>
      </c>
      <c r="C259" s="5" t="s">
        <v>332</v>
      </c>
      <c r="D259" s="5" t="s">
        <v>333</v>
      </c>
      <c r="E259" s="5" t="s">
        <v>81</v>
      </c>
      <c r="F259" s="11" t="n">
        <v>5993.92</v>
      </c>
      <c r="G259" s="12" t="n">
        <v>92.2647</v>
      </c>
      <c r="H259" s="12" t="n">
        <v>96.6754</v>
      </c>
      <c r="I259" s="5" t="s">
        <v>78</v>
      </c>
      <c r="J259" s="8" t="n">
        <v>-0.6108</v>
      </c>
      <c r="K259" s="13" t="str">
        <f aca="false">IF(J259&gt;0,"прибыль",IF(J259&lt;0,"убыток","ноль"))</f>
        <v>убыток</v>
      </c>
      <c r="L259" s="13" t="n">
        <f aca="false">IF(C259="",L258,IF(J259&lt;0,L258+1,0))</f>
        <v>1</v>
      </c>
      <c r="M259" s="14" t="n">
        <v>-61.08</v>
      </c>
      <c r="N259" s="9" t="n">
        <v>-3661.07</v>
      </c>
      <c r="O259" s="9" t="n">
        <v>1425864.34</v>
      </c>
    </row>
    <row r="260" customFormat="false" ht="15" hidden="false" customHeight="false" outlineLevel="0" collapsed="false">
      <c r="A260" s="6" t="n">
        <v>255</v>
      </c>
      <c r="B260" s="5" t="s">
        <v>288</v>
      </c>
      <c r="C260" s="5" t="s">
        <v>333</v>
      </c>
      <c r="D260" s="5" t="s">
        <v>334</v>
      </c>
      <c r="E260" s="5" t="s">
        <v>77</v>
      </c>
      <c r="F260" s="11" t="n">
        <v>6104.05</v>
      </c>
      <c r="G260" s="12" t="n">
        <v>96.6754</v>
      </c>
      <c r="H260" s="12" t="n">
        <v>95.1147</v>
      </c>
      <c r="J260" s="8" t="n">
        <v>-1.5702</v>
      </c>
      <c r="K260" s="13" t="str">
        <f aca="false">IF(J260&gt;0,"прибыль",IF(J260&lt;0,"убыток","ноль"))</f>
        <v>убыток</v>
      </c>
      <c r="L260" s="13" t="n">
        <f aca="false">IF(C260="",L259,IF(J260&lt;0,L259+1,0))</f>
        <v>2</v>
      </c>
      <c r="M260" s="14" t="n">
        <v>-157.02</v>
      </c>
      <c r="N260" s="9" t="n">
        <v>-9584.6</v>
      </c>
      <c r="O260" s="9" t="n">
        <v>1416279.74</v>
      </c>
    </row>
    <row r="261" customFormat="false" ht="15" hidden="false" customHeight="false" outlineLevel="0" collapsed="false">
      <c r="A261" s="6" t="n">
        <v>256</v>
      </c>
      <c r="B261" s="5" t="s">
        <v>288</v>
      </c>
      <c r="C261" s="5" t="s">
        <v>334</v>
      </c>
      <c r="D261" s="5" t="s">
        <v>335</v>
      </c>
      <c r="E261" s="5" t="s">
        <v>81</v>
      </c>
      <c r="F261" s="11" t="n">
        <v>6085.3</v>
      </c>
      <c r="G261" s="12" t="n">
        <v>95.1147</v>
      </c>
      <c r="H261" s="12" t="n">
        <v>98.7747</v>
      </c>
      <c r="J261" s="8" t="n">
        <v>-3.66931</v>
      </c>
      <c r="K261" s="13" t="str">
        <f aca="false">IF(J261&gt;0,"прибыль",IF(J261&lt;0,"убыток","ноль"))</f>
        <v>убыток</v>
      </c>
      <c r="L261" s="13" t="n">
        <f aca="false">IF(C261="",L260,IF(J261&lt;0,L260+1,0))</f>
        <v>3</v>
      </c>
      <c r="M261" s="14" t="n">
        <v>-366.93</v>
      </c>
      <c r="N261" s="9" t="n">
        <v>-22328.82</v>
      </c>
      <c r="O261" s="9" t="n">
        <v>1393950.92</v>
      </c>
    </row>
    <row r="262" customFormat="false" ht="15" hidden="false" customHeight="false" outlineLevel="0" collapsed="false">
      <c r="A262" s="6" t="n">
        <v>257</v>
      </c>
      <c r="B262" s="5" t="s">
        <v>288</v>
      </c>
      <c r="C262" s="5" t="s">
        <v>335</v>
      </c>
      <c r="D262" s="5" t="s">
        <v>336</v>
      </c>
      <c r="E262" s="5" t="s">
        <v>77</v>
      </c>
      <c r="F262" s="11" t="n">
        <v>5476.35</v>
      </c>
      <c r="G262" s="12" t="n">
        <v>98.7747</v>
      </c>
      <c r="H262" s="12" t="n">
        <v>96.4278</v>
      </c>
      <c r="J262" s="8" t="n">
        <v>-2.3566</v>
      </c>
      <c r="K262" s="13" t="str">
        <f aca="false">IF(J262&gt;0,"прибыль",IF(J262&lt;0,"убыток","ноль"))</f>
        <v>убыток</v>
      </c>
      <c r="L262" s="13" t="n">
        <f aca="false">IF(C262="",L261,IF(J262&lt;0,L261+1,0))</f>
        <v>4</v>
      </c>
      <c r="M262" s="14" t="n">
        <v>-235.66</v>
      </c>
      <c r="N262" s="9" t="n">
        <v>-12905.56</v>
      </c>
      <c r="O262" s="9" t="n">
        <v>1381045.36</v>
      </c>
    </row>
    <row r="263" customFormat="false" ht="15" hidden="false" customHeight="false" outlineLevel="0" collapsed="false">
      <c r="A263" s="6" t="n">
        <v>258</v>
      </c>
      <c r="B263" s="5" t="s">
        <v>288</v>
      </c>
      <c r="C263" s="5" t="s">
        <v>336</v>
      </c>
      <c r="D263" s="5" t="s">
        <v>337</v>
      </c>
      <c r="E263" s="5" t="s">
        <v>81</v>
      </c>
      <c r="F263" s="11" t="n">
        <v>5601.18</v>
      </c>
      <c r="G263" s="12" t="n">
        <v>96.4278</v>
      </c>
      <c r="H263" s="12" t="n">
        <v>96.8765</v>
      </c>
      <c r="J263" s="8" t="n">
        <v>-0.45814</v>
      </c>
      <c r="K263" s="13" t="str">
        <f aca="false">IF(J263&gt;0,"прибыль",IF(J263&lt;0,"убыток","ноль"))</f>
        <v>убыток</v>
      </c>
      <c r="L263" s="13" t="n">
        <f aca="false">IF(C263="",L262,IF(J263&lt;0,L262+1,0))</f>
        <v>5</v>
      </c>
      <c r="M263" s="14" t="n">
        <v>-45.81</v>
      </c>
      <c r="N263" s="9" t="n">
        <v>-2566.14</v>
      </c>
      <c r="O263" s="9" t="n">
        <v>1378479.22</v>
      </c>
    </row>
    <row r="264" customFormat="false" ht="15" hidden="false" customHeight="false" outlineLevel="0" collapsed="false">
      <c r="A264" s="6" t="n">
        <v>259</v>
      </c>
      <c r="B264" s="5" t="s">
        <v>288</v>
      </c>
      <c r="C264" s="5" t="s">
        <v>337</v>
      </c>
      <c r="D264" s="5" t="s">
        <v>338</v>
      </c>
      <c r="E264" s="5" t="s">
        <v>77</v>
      </c>
      <c r="F264" s="11" t="n">
        <v>5321.33</v>
      </c>
      <c r="G264" s="12" t="n">
        <v>96.8765</v>
      </c>
      <c r="H264" s="12" t="n">
        <v>93.5556</v>
      </c>
      <c r="J264" s="8" t="n">
        <v>-3.33035</v>
      </c>
      <c r="K264" s="13" t="str">
        <f aca="false">IF(J264&gt;0,"прибыль",IF(J264&lt;0,"убыток","ноль"))</f>
        <v>убыток</v>
      </c>
      <c r="L264" s="13" t="n">
        <f aca="false">IF(C264="",L263,IF(J264&lt;0,L263+1,0))</f>
        <v>6</v>
      </c>
      <c r="M264" s="14" t="n">
        <v>-333.03</v>
      </c>
      <c r="N264" s="9" t="n">
        <v>-17721.89</v>
      </c>
      <c r="O264" s="9" t="n">
        <v>1360757.33</v>
      </c>
    </row>
    <row r="265" customFormat="false" ht="15" hidden="false" customHeight="false" outlineLevel="0" collapsed="false">
      <c r="A265" s="6" t="n">
        <v>260</v>
      </c>
      <c r="B265" s="5" t="s">
        <v>288</v>
      </c>
      <c r="C265" s="5" t="s">
        <v>338</v>
      </c>
      <c r="D265" s="5" t="s">
        <v>339</v>
      </c>
      <c r="E265" s="5" t="s">
        <v>81</v>
      </c>
      <c r="F265" s="11" t="n">
        <v>5403.9</v>
      </c>
      <c r="G265" s="12" t="n">
        <v>93.5556</v>
      </c>
      <c r="H265" s="12" t="n">
        <v>88.9729</v>
      </c>
      <c r="J265" s="8" t="n">
        <v>4.57378</v>
      </c>
      <c r="K265" s="13" t="str">
        <f aca="false">IF(J265&gt;0,"прибыль",IF(J265&lt;0,"убыток","ноль"))</f>
        <v>прибыль</v>
      </c>
      <c r="L265" s="13" t="n">
        <f aca="false">IF(C265="",L264,IF(J265&lt;0,L264+1,0))</f>
        <v>0</v>
      </c>
      <c r="M265" s="14" t="n">
        <v>457.38</v>
      </c>
      <c r="N265" s="9" t="n">
        <v>24716.23</v>
      </c>
      <c r="O265" s="9" t="n">
        <v>1385473.56</v>
      </c>
    </row>
    <row r="266" customFormat="false" ht="15" hidden="false" customHeight="false" outlineLevel="0" collapsed="false">
      <c r="A266" s="6" t="n">
        <v>261</v>
      </c>
      <c r="B266" s="5" t="s">
        <v>288</v>
      </c>
      <c r="C266" s="5" t="s">
        <v>339</v>
      </c>
      <c r="D266" s="5" t="s">
        <v>340</v>
      </c>
      <c r="E266" s="5" t="s">
        <v>77</v>
      </c>
      <c r="F266" s="11" t="n">
        <v>5399.69</v>
      </c>
      <c r="G266" s="12" t="n">
        <v>88.9729</v>
      </c>
      <c r="H266" s="12" t="n">
        <v>86.2866</v>
      </c>
      <c r="J266" s="8" t="n">
        <v>-2.69489</v>
      </c>
      <c r="K266" s="13" t="str">
        <f aca="false">IF(J266&gt;0,"прибыль",IF(J266&lt;0,"убыток","ноль"))</f>
        <v>убыток</v>
      </c>
      <c r="L266" s="13" t="n">
        <f aca="false">IF(C266="",L265,IF(J266&lt;0,L265+1,0))</f>
        <v>1</v>
      </c>
      <c r="M266" s="14" t="n">
        <v>-269.49</v>
      </c>
      <c r="N266" s="9" t="n">
        <v>-14551.54</v>
      </c>
      <c r="O266" s="9" t="n">
        <v>1370922.02</v>
      </c>
    </row>
    <row r="267" customFormat="false" ht="15" hidden="false" customHeight="false" outlineLevel="0" collapsed="false">
      <c r="A267" s="6" t="n">
        <v>262</v>
      </c>
      <c r="B267" s="5" t="s">
        <v>288</v>
      </c>
      <c r="C267" s="5" t="s">
        <v>340</v>
      </c>
      <c r="D267" s="5" t="s">
        <v>341</v>
      </c>
      <c r="E267" s="5" t="s">
        <v>81</v>
      </c>
      <c r="F267" s="11" t="n">
        <v>7910.86</v>
      </c>
      <c r="G267" s="12" t="n">
        <v>82.7868</v>
      </c>
      <c r="H267" s="12" t="n">
        <v>87.4684</v>
      </c>
      <c r="I267" s="5" t="s">
        <v>78</v>
      </c>
      <c r="J267" s="8" t="n">
        <v>10.09674</v>
      </c>
      <c r="K267" s="13" t="str">
        <f aca="false">IF(J267&gt;0,"прибыль",IF(J267&lt;0,"убыток","ноль"))</f>
        <v>прибыль</v>
      </c>
      <c r="L267" s="13" t="n">
        <f aca="false">IF(C267="",L266,IF(J267&lt;0,L266+1,0))</f>
        <v>0</v>
      </c>
      <c r="M267" s="14" t="n">
        <v>1009.67</v>
      </c>
      <c r="N267" s="9" t="n">
        <v>79873.87</v>
      </c>
      <c r="O267" s="9" t="n">
        <v>1450795.89</v>
      </c>
    </row>
    <row r="268" customFormat="false" ht="15" hidden="false" customHeight="false" outlineLevel="0" collapsed="false">
      <c r="A268" s="6" t="n">
        <v>263</v>
      </c>
      <c r="B268" s="5" t="s">
        <v>288</v>
      </c>
      <c r="C268" s="5" t="s">
        <v>341</v>
      </c>
      <c r="D268" s="5" t="s">
        <v>342</v>
      </c>
      <c r="E268" s="5" t="s">
        <v>77</v>
      </c>
      <c r="F268" s="11" t="n">
        <v>7500.05</v>
      </c>
      <c r="G268" s="12" t="n">
        <v>87.4684</v>
      </c>
      <c r="H268" s="12" t="n">
        <v>85.1594</v>
      </c>
      <c r="J268" s="8" t="n">
        <v>-2.31734</v>
      </c>
      <c r="K268" s="13" t="str">
        <f aca="false">IF(J268&gt;0,"прибыль",IF(J268&lt;0,"убыток","ноль"))</f>
        <v>убыток</v>
      </c>
      <c r="L268" s="13" t="n">
        <f aca="false">IF(C268="",L267,IF(J268&lt;0,L267+1,0))</f>
        <v>1</v>
      </c>
      <c r="M268" s="14" t="n">
        <v>-231.73</v>
      </c>
      <c r="N268" s="9" t="n">
        <v>-17380.16</v>
      </c>
      <c r="O268" s="9" t="n">
        <v>1433415.72</v>
      </c>
    </row>
    <row r="269" customFormat="false" ht="15" hidden="false" customHeight="false" outlineLevel="0" collapsed="false">
      <c r="A269" s="6" t="n">
        <v>264</v>
      </c>
      <c r="B269" s="5" t="s">
        <v>288</v>
      </c>
      <c r="C269" s="5" t="s">
        <v>342</v>
      </c>
      <c r="D269" s="5" t="s">
        <v>343</v>
      </c>
      <c r="E269" s="5" t="s">
        <v>81</v>
      </c>
      <c r="F269" s="11" t="n">
        <v>2148.92</v>
      </c>
      <c r="G269" s="12" t="n">
        <v>84.0267</v>
      </c>
      <c r="H269" s="12" t="n">
        <v>77.4936</v>
      </c>
      <c r="I269" s="5" t="s">
        <v>78</v>
      </c>
      <c r="J269" s="8" t="n">
        <v>11.85492</v>
      </c>
      <c r="K269" s="13" t="str">
        <f aca="false">IF(J269&gt;0,"прибыль",IF(J269&lt;0,"убыток","ноль"))</f>
        <v>прибыль</v>
      </c>
      <c r="L269" s="13" t="n">
        <f aca="false">IF(C269="",L268,IF(J269&lt;0,L268+1,0))</f>
        <v>0</v>
      </c>
      <c r="M269" s="14" t="n">
        <v>1185.49</v>
      </c>
      <c r="N269" s="9" t="n">
        <v>25475.23</v>
      </c>
      <c r="O269" s="9" t="n">
        <v>1458890.95</v>
      </c>
    </row>
    <row r="270" customFormat="false" ht="15" hidden="false" customHeight="false" outlineLevel="0" collapsed="false">
      <c r="A270" s="6" t="n">
        <v>265</v>
      </c>
      <c r="B270" s="5" t="s">
        <v>288</v>
      </c>
      <c r="C270" s="5" t="s">
        <v>343</v>
      </c>
      <c r="D270" s="5" t="s">
        <v>344</v>
      </c>
      <c r="E270" s="5" t="s">
        <v>81</v>
      </c>
      <c r="F270" s="11" t="n">
        <v>8131.11</v>
      </c>
      <c r="G270" s="12" t="n">
        <v>85.1425</v>
      </c>
      <c r="H270" s="12" t="n">
        <v>80.5726</v>
      </c>
      <c r="I270" s="5" t="s">
        <v>78</v>
      </c>
      <c r="J270" s="8" t="n">
        <v>8.9153</v>
      </c>
      <c r="K270" s="13" t="str">
        <f aca="false">IF(J270&gt;0,"прибыль",IF(J270&lt;0,"убыток","ноль"))</f>
        <v>прибыль</v>
      </c>
      <c r="L270" s="13" t="n">
        <f aca="false">IF(C270="",L269,IF(J270&lt;0,L269+1,0))</f>
        <v>0</v>
      </c>
      <c r="M270" s="14" t="n">
        <v>891.53</v>
      </c>
      <c r="N270" s="9" t="n">
        <v>72491.25</v>
      </c>
      <c r="O270" s="9" t="n">
        <v>1531382.2</v>
      </c>
    </row>
    <row r="271" customFormat="false" ht="15" hidden="false" customHeight="false" outlineLevel="0" collapsed="false">
      <c r="A271" s="6" t="n">
        <v>266</v>
      </c>
      <c r="B271" s="5" t="s">
        <v>288</v>
      </c>
      <c r="C271" s="5" t="s">
        <v>344</v>
      </c>
      <c r="D271" s="5" t="s">
        <v>345</v>
      </c>
      <c r="E271" s="5" t="s">
        <v>77</v>
      </c>
      <c r="F271" s="11" t="n">
        <v>0</v>
      </c>
      <c r="G271" s="12" t="n">
        <v>80.5726</v>
      </c>
      <c r="H271" s="12" t="n">
        <v>81.5089</v>
      </c>
      <c r="J271" s="8" t="n">
        <v>0.93221</v>
      </c>
      <c r="K271" s="13" t="str">
        <f aca="false">IF(J271&gt;0,"прибыль",IF(J271&lt;0,"убыток","ноль"))</f>
        <v>прибыль</v>
      </c>
      <c r="L271" s="13" t="n">
        <f aca="false">IF(C271="",L270,IF(J271&lt;0,L270+1,0))</f>
        <v>0</v>
      </c>
      <c r="M271" s="14" t="n">
        <v>93.22</v>
      </c>
      <c r="N271" s="9" t="n">
        <v>0</v>
      </c>
      <c r="O271" s="9" t="n">
        <v>1531382.2</v>
      </c>
    </row>
    <row r="272" customFormat="false" ht="15" hidden="false" customHeight="false" outlineLevel="0" collapsed="false">
      <c r="A272" s="6" t="n">
        <v>267</v>
      </c>
      <c r="B272" s="5" t="s">
        <v>288</v>
      </c>
      <c r="C272" s="5" t="s">
        <v>345</v>
      </c>
      <c r="D272" s="5" t="s">
        <v>346</v>
      </c>
      <c r="E272" s="5" t="s">
        <v>77</v>
      </c>
      <c r="F272" s="11" t="n">
        <v>7977.89</v>
      </c>
      <c r="G272" s="12" t="n">
        <v>80.5726</v>
      </c>
      <c r="H272" s="12" t="n">
        <v>79.4174</v>
      </c>
      <c r="J272" s="8" t="n">
        <v>-1.16316</v>
      </c>
      <c r="K272" s="13" t="str">
        <f aca="false">IF(J272&gt;0,"прибыль",IF(J272&lt;0,"убыток","ноль"))</f>
        <v>убыток</v>
      </c>
      <c r="L272" s="13" t="n">
        <f aca="false">IF(C272="",L271,IF(J272&lt;0,L271+1,0))</f>
        <v>1</v>
      </c>
      <c r="M272" s="14" t="n">
        <v>-116.32</v>
      </c>
      <c r="N272" s="9" t="n">
        <v>-9279.52</v>
      </c>
      <c r="O272" s="9" t="n">
        <v>1522102.68</v>
      </c>
    </row>
    <row r="273" customFormat="false" ht="15" hidden="false" customHeight="false" outlineLevel="0" collapsed="false">
      <c r="A273" s="6" t="n">
        <v>268</v>
      </c>
      <c r="B273" s="5" t="s">
        <v>288</v>
      </c>
      <c r="C273" s="5" t="s">
        <v>346</v>
      </c>
      <c r="D273" s="5" t="s">
        <v>347</v>
      </c>
      <c r="E273" s="5" t="s">
        <v>81</v>
      </c>
      <c r="F273" s="11" t="n">
        <v>0</v>
      </c>
      <c r="G273" s="12" t="n">
        <v>79.4174</v>
      </c>
      <c r="H273" s="12" t="n">
        <v>79.1336</v>
      </c>
      <c r="J273" s="8" t="n">
        <v>0.27978</v>
      </c>
      <c r="K273" s="13" t="str">
        <f aca="false">IF(J273&gt;0,"прибыль",IF(J273&lt;0,"убыток","ноль"))</f>
        <v>прибыль</v>
      </c>
      <c r="L273" s="13" t="n">
        <f aca="false">IF(C273="",L272,IF(J273&lt;0,L272+1,0))</f>
        <v>0</v>
      </c>
      <c r="M273" s="14" t="n">
        <v>27.98</v>
      </c>
      <c r="N273" s="9" t="n">
        <v>0</v>
      </c>
      <c r="O273" s="9" t="n">
        <v>1522102.68</v>
      </c>
    </row>
    <row r="274" customFormat="false" ht="15" hidden="false" customHeight="false" outlineLevel="0" collapsed="false">
      <c r="A274" s="6" t="n">
        <v>269</v>
      </c>
      <c r="B274" s="5" t="s">
        <v>288</v>
      </c>
      <c r="C274" s="5" t="s">
        <v>347</v>
      </c>
      <c r="D274" s="5" t="s">
        <v>348</v>
      </c>
      <c r="E274" s="5" t="s">
        <v>81</v>
      </c>
      <c r="F274" s="11" t="n">
        <v>7882.93</v>
      </c>
      <c r="G274" s="12" t="n">
        <v>79.4174</v>
      </c>
      <c r="H274" s="12" t="n">
        <v>81.0658</v>
      </c>
      <c r="J274" s="8" t="n">
        <v>-1.6572</v>
      </c>
      <c r="K274" s="13" t="str">
        <f aca="false">IF(J274&gt;0,"прибыль",IF(J274&lt;0,"убыток","ноль"))</f>
        <v>убыток</v>
      </c>
      <c r="L274" s="13" t="n">
        <f aca="false">IF(C274="",L273,IF(J274&lt;0,L273+1,0))</f>
        <v>1</v>
      </c>
      <c r="M274" s="14" t="n">
        <v>-165.72</v>
      </c>
      <c r="N274" s="9" t="n">
        <v>-13063.59</v>
      </c>
      <c r="O274" s="9" t="n">
        <v>1509039.1</v>
      </c>
    </row>
    <row r="275" customFormat="false" ht="15" hidden="false" customHeight="false" outlineLevel="0" collapsed="false">
      <c r="A275" s="6" t="n">
        <v>270</v>
      </c>
      <c r="B275" s="5" t="s">
        <v>288</v>
      </c>
      <c r="C275" s="5" t="s">
        <v>348</v>
      </c>
      <c r="D275" s="5" t="s">
        <v>349</v>
      </c>
      <c r="E275" s="5" t="s">
        <v>77</v>
      </c>
      <c r="F275" s="11" t="n">
        <v>0</v>
      </c>
      <c r="G275" s="12" t="n">
        <v>81.0658</v>
      </c>
      <c r="H275" s="12" t="n">
        <v>82.9096</v>
      </c>
      <c r="J275" s="8" t="n">
        <v>1.83957</v>
      </c>
      <c r="K275" s="13" t="str">
        <f aca="false">IF(J275&gt;0,"прибыль",IF(J275&lt;0,"убыток","ноль"))</f>
        <v>прибыль</v>
      </c>
      <c r="L275" s="13" t="n">
        <f aca="false">IF(C275="",L274,IF(J275&lt;0,L274+1,0))</f>
        <v>0</v>
      </c>
      <c r="M275" s="14" t="n">
        <v>183.96</v>
      </c>
      <c r="N275" s="9" t="n">
        <v>0</v>
      </c>
      <c r="O275" s="9" t="n">
        <v>1509039.1</v>
      </c>
    </row>
    <row r="276" customFormat="false" ht="15" hidden="false" customHeight="false" outlineLevel="0" collapsed="false">
      <c r="A276" s="6" t="n">
        <v>271</v>
      </c>
      <c r="B276" s="5" t="s">
        <v>288</v>
      </c>
      <c r="C276" s="5" t="s">
        <v>349</v>
      </c>
      <c r="D276" s="5" t="s">
        <v>350</v>
      </c>
      <c r="E276" s="5" t="s">
        <v>77</v>
      </c>
      <c r="F276" s="11" t="n">
        <v>4468.72</v>
      </c>
      <c r="G276" s="12" t="n">
        <v>82.0285</v>
      </c>
      <c r="H276" s="12" t="n">
        <v>86.5446</v>
      </c>
      <c r="I276" s="5" t="s">
        <v>78</v>
      </c>
      <c r="J276" s="8" t="n">
        <v>6.21656</v>
      </c>
      <c r="K276" s="13" t="str">
        <f aca="false">IF(J276&gt;0,"прибыль",IF(J276&lt;0,"убыток","ноль"))</f>
        <v>прибыль</v>
      </c>
      <c r="L276" s="13" t="n">
        <f aca="false">IF(C276="",L275,IF(J276&lt;0,L275+1,0))</f>
        <v>0</v>
      </c>
      <c r="M276" s="14" t="n">
        <v>621.66</v>
      </c>
      <c r="N276" s="9" t="n">
        <v>27780.03</v>
      </c>
      <c r="O276" s="9" t="n">
        <v>1536819.13</v>
      </c>
    </row>
    <row r="277" customFormat="false" ht="15" hidden="false" customHeight="false" outlineLevel="0" collapsed="false">
      <c r="A277" s="6" t="n">
        <v>272</v>
      </c>
      <c r="B277" s="5" t="s">
        <v>288</v>
      </c>
      <c r="C277" s="5" t="s">
        <v>350</v>
      </c>
      <c r="D277" s="5" t="s">
        <v>351</v>
      </c>
      <c r="E277" s="5" t="s">
        <v>77</v>
      </c>
      <c r="F277" s="11" t="n">
        <v>2197.45</v>
      </c>
      <c r="G277" s="12" t="n">
        <v>80.3219</v>
      </c>
      <c r="H277" s="12" t="n">
        <v>90.9997</v>
      </c>
      <c r="J277" s="8" t="n">
        <v>10.67329</v>
      </c>
      <c r="K277" s="13" t="str">
        <f aca="false">IF(J277&gt;0,"прибыль",IF(J277&lt;0,"убыток","ноль"))</f>
        <v>прибыль</v>
      </c>
      <c r="L277" s="13" t="n">
        <f aca="false">IF(C277="",L276,IF(J277&lt;0,L276+1,0))</f>
        <v>0</v>
      </c>
      <c r="M277" s="14" t="n">
        <v>1067.33</v>
      </c>
      <c r="N277" s="9" t="n">
        <v>23453.99</v>
      </c>
      <c r="O277" s="9" t="n">
        <v>1560273.11</v>
      </c>
    </row>
    <row r="278" customFormat="false" ht="15" hidden="false" customHeight="false" outlineLevel="0" collapsed="false">
      <c r="A278" s="6" t="n">
        <v>273</v>
      </c>
      <c r="B278" s="5" t="s">
        <v>288</v>
      </c>
      <c r="C278" s="5" t="s">
        <v>351</v>
      </c>
      <c r="D278" s="5" t="s">
        <v>352</v>
      </c>
      <c r="E278" s="5" t="s">
        <v>77</v>
      </c>
      <c r="F278" s="11" t="n">
        <v>4599.24</v>
      </c>
      <c r="G278" s="12" t="n">
        <v>80.3219</v>
      </c>
      <c r="H278" s="12" t="n">
        <v>83.1286</v>
      </c>
      <c r="I278" s="5" t="s">
        <v>78</v>
      </c>
      <c r="J278" s="8" t="n">
        <v>4.0752</v>
      </c>
      <c r="K278" s="13" t="str">
        <f aca="false">IF(J278&gt;0,"прибыль",IF(J278&lt;0,"убыток","ноль"))</f>
        <v>прибыль</v>
      </c>
      <c r="L278" s="13" t="n">
        <f aca="false">IF(C278="",L277,IF(J278&lt;0,L277+1,0))</f>
        <v>0</v>
      </c>
      <c r="M278" s="14" t="n">
        <v>407.52</v>
      </c>
      <c r="N278" s="9" t="n">
        <v>18742.82</v>
      </c>
      <c r="O278" s="9" t="n">
        <v>1579015.94</v>
      </c>
    </row>
    <row r="279" customFormat="false" ht="15" hidden="false" customHeight="false" outlineLevel="0" collapsed="false">
      <c r="A279" s="6" t="n">
        <v>274</v>
      </c>
      <c r="B279" s="5" t="s">
        <v>288</v>
      </c>
      <c r="C279" s="5" t="s">
        <v>352</v>
      </c>
      <c r="D279" s="5" t="s">
        <v>353</v>
      </c>
      <c r="E279" s="5" t="s">
        <v>81</v>
      </c>
      <c r="F279" s="11" t="n">
        <v>7220.66</v>
      </c>
      <c r="G279" s="12" t="n">
        <v>82.9179</v>
      </c>
      <c r="H279" s="12" t="n">
        <v>78.5736</v>
      </c>
      <c r="I279" s="5" t="s">
        <v>78</v>
      </c>
      <c r="J279" s="8" t="n">
        <v>-0.20217</v>
      </c>
      <c r="K279" s="13" t="str">
        <f aca="false">IF(J279&gt;0,"прибыль",IF(J279&lt;0,"убыток","ноль"))</f>
        <v>убыток</v>
      </c>
      <c r="L279" s="13" t="n">
        <f aca="false">IF(C279="",L278,IF(J279&lt;0,L278+1,0))</f>
        <v>1</v>
      </c>
      <c r="M279" s="14" t="n">
        <v>-20.22</v>
      </c>
      <c r="N279" s="9" t="n">
        <v>-1459.81</v>
      </c>
      <c r="O279" s="9" t="n">
        <v>1577556.12</v>
      </c>
    </row>
    <row r="280" customFormat="false" ht="15" hidden="false" customHeight="false" outlineLevel="0" collapsed="false">
      <c r="A280" s="6" t="n">
        <v>275</v>
      </c>
      <c r="B280" s="5" t="s">
        <v>288</v>
      </c>
      <c r="C280" s="5" t="s">
        <v>353</v>
      </c>
      <c r="D280" s="5" t="s">
        <v>354</v>
      </c>
      <c r="E280" s="5" t="s">
        <v>77</v>
      </c>
      <c r="F280" s="11" t="n">
        <v>7678.02</v>
      </c>
      <c r="G280" s="12" t="n">
        <v>78.5736</v>
      </c>
      <c r="H280" s="12" t="n">
        <v>76.7118</v>
      </c>
      <c r="J280" s="8" t="n">
        <v>-1.86919</v>
      </c>
      <c r="K280" s="13" t="str">
        <f aca="false">IF(J280&gt;0,"прибыль",IF(J280&lt;0,"убыток","ноль"))</f>
        <v>убыток</v>
      </c>
      <c r="L280" s="13" t="n">
        <f aca="false">IF(C280="",L279,IF(J280&lt;0,L279+1,0))</f>
        <v>2</v>
      </c>
      <c r="M280" s="14" t="n">
        <v>-186.92</v>
      </c>
      <c r="N280" s="9" t="n">
        <v>-14351.71</v>
      </c>
      <c r="O280" s="9" t="n">
        <v>1563204.42</v>
      </c>
    </row>
    <row r="281" customFormat="false" ht="15" hidden="false" customHeight="false" outlineLevel="0" collapsed="false">
      <c r="A281" s="6" t="n">
        <v>276</v>
      </c>
      <c r="B281" s="5" t="s">
        <v>288</v>
      </c>
      <c r="C281" s="5" t="s">
        <v>354</v>
      </c>
      <c r="D281" s="5" t="s">
        <v>355</v>
      </c>
      <c r="E281" s="5" t="s">
        <v>81</v>
      </c>
      <c r="F281" s="11" t="n">
        <v>0</v>
      </c>
      <c r="G281" s="12" t="n">
        <v>76.7118</v>
      </c>
      <c r="H281" s="12" t="n">
        <v>78.339</v>
      </c>
      <c r="J281" s="8" t="n">
        <v>-1.63117</v>
      </c>
      <c r="K281" s="13" t="str">
        <f aca="false">IF(J281&gt;0,"прибыль",IF(J281&lt;0,"убыток","ноль"))</f>
        <v>убыток</v>
      </c>
      <c r="L281" s="13" t="n">
        <f aca="false">IF(C281="",L280,IF(J281&lt;0,L280+1,0))</f>
        <v>3</v>
      </c>
      <c r="M281" s="14" t="n">
        <v>-163.12</v>
      </c>
      <c r="N281" s="9" t="n">
        <v>0</v>
      </c>
      <c r="O281" s="9" t="n">
        <v>1563204.42</v>
      </c>
    </row>
    <row r="282" customFormat="false" ht="15" hidden="false" customHeight="false" outlineLevel="0" collapsed="false">
      <c r="A282" s="6" t="n">
        <v>277</v>
      </c>
      <c r="B282" s="5" t="s">
        <v>288</v>
      </c>
      <c r="C282" s="5" t="s">
        <v>355</v>
      </c>
      <c r="D282" s="5" t="s">
        <v>356</v>
      </c>
      <c r="E282" s="5" t="s">
        <v>81</v>
      </c>
      <c r="F282" s="11" t="n">
        <v>7127.21</v>
      </c>
      <c r="G282" s="12" t="n">
        <v>76.7118</v>
      </c>
      <c r="H282" s="12" t="n">
        <v>79.0133</v>
      </c>
      <c r="J282" s="8" t="n">
        <v>-2.30976</v>
      </c>
      <c r="K282" s="13" t="str">
        <f aca="false">IF(J282&gt;0,"прибыль",IF(J282&lt;0,"убыток","ноль"))</f>
        <v>убыток</v>
      </c>
      <c r="L282" s="13" t="n">
        <f aca="false">IF(C282="",L281,IF(J282&lt;0,L281+1,0))</f>
        <v>4</v>
      </c>
      <c r="M282" s="14" t="n">
        <v>-230.98</v>
      </c>
      <c r="N282" s="9" t="n">
        <v>-16462.15</v>
      </c>
      <c r="O282" s="9" t="n">
        <v>1546742.27</v>
      </c>
    </row>
    <row r="283" customFormat="false" ht="15" hidden="false" customHeight="false" outlineLevel="0" collapsed="false">
      <c r="A283" s="6" t="n">
        <v>278</v>
      </c>
      <c r="B283" s="5" t="s">
        <v>288</v>
      </c>
      <c r="C283" s="5" t="s">
        <v>356</v>
      </c>
      <c r="D283" s="5" t="s">
        <v>357</v>
      </c>
      <c r="E283" s="5" t="s">
        <v>77</v>
      </c>
      <c r="F283" s="11" t="n">
        <v>7816.91</v>
      </c>
      <c r="G283" s="12" t="n">
        <v>79.0133</v>
      </c>
      <c r="H283" s="12" t="n">
        <v>78.2432</v>
      </c>
      <c r="J283" s="8" t="n">
        <v>-0.77839</v>
      </c>
      <c r="K283" s="13" t="str">
        <f aca="false">IF(J283&gt;0,"прибыль",IF(J283&lt;0,"убыток","ноль"))</f>
        <v>убыток</v>
      </c>
      <c r="L283" s="13" t="n">
        <f aca="false">IF(C283="",L282,IF(J283&lt;0,L282+1,0))</f>
        <v>5</v>
      </c>
      <c r="M283" s="14" t="n">
        <v>-77.84</v>
      </c>
      <c r="N283" s="9" t="n">
        <v>-6084.64</v>
      </c>
      <c r="O283" s="9" t="n">
        <v>1540657.63</v>
      </c>
    </row>
    <row r="284" customFormat="false" ht="15" hidden="false" customHeight="false" outlineLevel="0" collapsed="false">
      <c r="A284" s="6" t="n">
        <v>279</v>
      </c>
      <c r="B284" s="5" t="s">
        <v>288</v>
      </c>
      <c r="C284" s="5" t="s">
        <v>357</v>
      </c>
      <c r="D284" s="5" t="s">
        <v>358</v>
      </c>
      <c r="E284" s="5" t="s">
        <v>81</v>
      </c>
      <c r="F284" s="11" t="n">
        <v>8753.2</v>
      </c>
      <c r="G284" s="12" t="n">
        <v>78.2432</v>
      </c>
      <c r="H284" s="12" t="n">
        <v>79.2671</v>
      </c>
      <c r="J284" s="8" t="n">
        <v>-1.03186</v>
      </c>
      <c r="K284" s="13" t="str">
        <f aca="false">IF(J284&gt;0,"прибыль",IF(J284&lt;0,"убыток","ноль"))</f>
        <v>убыток</v>
      </c>
      <c r="L284" s="13" t="n">
        <f aca="false">IF(C284="",L283,IF(J284&lt;0,L283+1,0))</f>
        <v>6</v>
      </c>
      <c r="M284" s="14" t="n">
        <v>-103.19</v>
      </c>
      <c r="N284" s="9" t="n">
        <v>-9032.1</v>
      </c>
      <c r="O284" s="9" t="n">
        <v>1531625.53</v>
      </c>
    </row>
    <row r="285" customFormat="false" ht="15" hidden="false" customHeight="false" outlineLevel="0" collapsed="false">
      <c r="A285" s="6" t="n">
        <v>280</v>
      </c>
      <c r="B285" s="5" t="s">
        <v>288</v>
      </c>
      <c r="C285" s="5" t="s">
        <v>358</v>
      </c>
      <c r="D285" s="5" t="s">
        <v>359</v>
      </c>
      <c r="E285" s="5" t="s">
        <v>77</v>
      </c>
      <c r="F285" s="11" t="n">
        <v>0</v>
      </c>
      <c r="G285" s="12" t="n">
        <v>79.2671</v>
      </c>
      <c r="H285" s="12" t="n">
        <v>78.6534</v>
      </c>
      <c r="J285" s="8" t="n">
        <v>-0.61759</v>
      </c>
      <c r="K285" s="13" t="str">
        <f aca="false">IF(J285&gt;0,"прибыль",IF(J285&lt;0,"убыток","ноль"))</f>
        <v>убыток</v>
      </c>
      <c r="L285" s="13" t="n">
        <f aca="false">IF(C285="",L284,IF(J285&lt;0,L284+1,0))</f>
        <v>7</v>
      </c>
      <c r="M285" s="14" t="n">
        <v>-61.76</v>
      </c>
      <c r="N285" s="9" t="n">
        <v>0</v>
      </c>
      <c r="O285" s="9" t="n">
        <v>1531625.53</v>
      </c>
    </row>
    <row r="286" customFormat="false" ht="15" hidden="false" customHeight="false" outlineLevel="0" collapsed="false">
      <c r="A286" s="6" t="n">
        <v>281</v>
      </c>
      <c r="B286" s="5" t="s">
        <v>288</v>
      </c>
      <c r="C286" s="5" t="s">
        <v>359</v>
      </c>
      <c r="D286" s="5" t="s">
        <v>360</v>
      </c>
      <c r="E286" s="5" t="s">
        <v>77</v>
      </c>
      <c r="F286" s="11" t="n">
        <v>2849.15</v>
      </c>
      <c r="G286" s="12" t="n">
        <v>81.0696</v>
      </c>
      <c r="H286" s="12" t="n">
        <v>87.7068</v>
      </c>
      <c r="I286" s="5" t="s">
        <v>78</v>
      </c>
      <c r="J286" s="8" t="n">
        <v>7.44589</v>
      </c>
      <c r="K286" s="13" t="str">
        <f aca="false">IF(J286&gt;0,"прибыль",IF(J286&lt;0,"убыток","ноль"))</f>
        <v>прибыль</v>
      </c>
      <c r="L286" s="13" t="n">
        <f aca="false">IF(C286="",L285,IF(J286&lt;0,L285+1,0))</f>
        <v>0</v>
      </c>
      <c r="M286" s="14" t="n">
        <v>744.59</v>
      </c>
      <c r="N286" s="9" t="n">
        <v>21214.49</v>
      </c>
      <c r="O286" s="9" t="n">
        <v>1552840.03</v>
      </c>
    </row>
    <row r="287" customFormat="false" ht="15" hidden="false" customHeight="false" outlineLevel="0" collapsed="false">
      <c r="A287" s="6" t="n">
        <v>282</v>
      </c>
      <c r="B287" s="5" t="s">
        <v>288</v>
      </c>
      <c r="C287" s="5" t="s">
        <v>360</v>
      </c>
      <c r="D287" s="5" t="s">
        <v>361</v>
      </c>
      <c r="E287" s="5" t="s">
        <v>77</v>
      </c>
      <c r="F287" s="11" t="n">
        <v>10398.55</v>
      </c>
      <c r="G287" s="12" t="n">
        <v>80.2507</v>
      </c>
      <c r="H287" s="12" t="n">
        <v>83.1631</v>
      </c>
      <c r="I287" s="5" t="s">
        <v>78</v>
      </c>
      <c r="J287" s="8" t="n">
        <v>6.27314</v>
      </c>
      <c r="K287" s="13" t="str">
        <f aca="false">IF(J287&gt;0,"прибыль",IF(J287&lt;0,"убыток","ноль"))</f>
        <v>прибыль</v>
      </c>
      <c r="L287" s="13" t="n">
        <f aca="false">IF(C287="",L286,IF(J287&lt;0,L286+1,0))</f>
        <v>0</v>
      </c>
      <c r="M287" s="14" t="n">
        <v>627.31</v>
      </c>
      <c r="N287" s="9" t="n">
        <v>65231.58</v>
      </c>
      <c r="O287" s="9" t="n">
        <v>1618071.61</v>
      </c>
    </row>
    <row r="288" customFormat="false" ht="15" hidden="false" customHeight="false" outlineLevel="0" collapsed="false">
      <c r="A288" s="6" t="n">
        <v>283</v>
      </c>
      <c r="B288" s="5" t="s">
        <v>288</v>
      </c>
      <c r="C288" s="5" t="s">
        <v>361</v>
      </c>
      <c r="D288" s="5" t="s">
        <v>362</v>
      </c>
      <c r="E288" s="5" t="s">
        <v>81</v>
      </c>
      <c r="F288" s="11" t="n">
        <v>11152.23</v>
      </c>
      <c r="G288" s="12" t="n">
        <v>83.1631</v>
      </c>
      <c r="H288" s="12" t="n">
        <v>83.7994</v>
      </c>
      <c r="J288" s="8" t="n">
        <v>-0.64555</v>
      </c>
      <c r="K288" s="13" t="str">
        <f aca="false">IF(J288&gt;0,"прибыль",IF(J288&lt;0,"убыток","ноль"))</f>
        <v>убыток</v>
      </c>
      <c r="L288" s="13" t="n">
        <f aca="false">IF(C288="",L287,IF(J288&lt;0,L287+1,0))</f>
        <v>1</v>
      </c>
      <c r="M288" s="14" t="n">
        <v>-64.56</v>
      </c>
      <c r="N288" s="9" t="n">
        <v>-7199.37</v>
      </c>
      <c r="O288" s="9" t="n">
        <v>1610872.24</v>
      </c>
    </row>
    <row r="289" customFormat="false" ht="15" hidden="false" customHeight="false" outlineLevel="0" collapsed="false">
      <c r="A289" s="6" t="n">
        <v>284</v>
      </c>
      <c r="B289" s="5" t="s">
        <v>288</v>
      </c>
      <c r="C289" s="5" t="s">
        <v>362</v>
      </c>
      <c r="D289" s="5" t="s">
        <v>363</v>
      </c>
      <c r="E289" s="5" t="s">
        <v>77</v>
      </c>
      <c r="F289" s="11" t="n">
        <v>13628.18</v>
      </c>
      <c r="G289" s="12" t="n">
        <v>83.7994</v>
      </c>
      <c r="H289" s="12" t="n">
        <v>82.5295</v>
      </c>
      <c r="J289" s="8" t="n">
        <v>-1.27798</v>
      </c>
      <c r="K289" s="13" t="str">
        <f aca="false">IF(J289&gt;0,"прибыль",IF(J289&lt;0,"убыток","ноль"))</f>
        <v>убыток</v>
      </c>
      <c r="L289" s="13" t="n">
        <f aca="false">IF(C289="",L288,IF(J289&lt;0,L288+1,0))</f>
        <v>2</v>
      </c>
      <c r="M289" s="14" t="n">
        <v>-127.8</v>
      </c>
      <c r="N289" s="9" t="n">
        <v>-17416.48</v>
      </c>
      <c r="O289" s="9" t="n">
        <v>1593455.76</v>
      </c>
    </row>
    <row r="290" customFormat="false" ht="15" hidden="false" customHeight="false" outlineLevel="0" collapsed="false">
      <c r="A290" s="6" t="n">
        <v>285</v>
      </c>
      <c r="B290" s="5" t="s">
        <v>288</v>
      </c>
      <c r="C290" s="5" t="s">
        <v>363</v>
      </c>
      <c r="D290" s="5" t="s">
        <v>364</v>
      </c>
      <c r="E290" s="5" t="s">
        <v>81</v>
      </c>
      <c r="F290" s="11" t="n">
        <v>13022.83</v>
      </c>
      <c r="G290" s="12" t="n">
        <v>82.5295</v>
      </c>
      <c r="H290" s="12" t="n">
        <v>84.5552</v>
      </c>
      <c r="J290" s="8" t="n">
        <v>-2.03378</v>
      </c>
      <c r="K290" s="13" t="str">
        <f aca="false">IF(J290&gt;0,"прибыль",IF(J290&lt;0,"убыток","ноль"))</f>
        <v>убыток</v>
      </c>
      <c r="L290" s="13" t="n">
        <f aca="false">IF(C290="",L289,IF(J290&lt;0,L289+1,0))</f>
        <v>3</v>
      </c>
      <c r="M290" s="14" t="n">
        <v>-203.38</v>
      </c>
      <c r="N290" s="9" t="n">
        <v>-26485.54</v>
      </c>
      <c r="O290" s="9" t="n">
        <v>1566970.23</v>
      </c>
    </row>
    <row r="291" customFormat="false" ht="15" hidden="false" customHeight="false" outlineLevel="0" collapsed="false">
      <c r="A291" s="6" t="n">
        <v>286</v>
      </c>
      <c r="B291" s="5" t="s">
        <v>288</v>
      </c>
      <c r="C291" s="5" t="s">
        <v>364</v>
      </c>
      <c r="D291" s="5" t="s">
        <v>365</v>
      </c>
      <c r="E291" s="5" t="s">
        <v>77</v>
      </c>
      <c r="F291" s="11" t="n">
        <v>11671.81</v>
      </c>
      <c r="G291" s="12" t="n">
        <v>84.5552</v>
      </c>
      <c r="H291" s="12" t="n">
        <v>83.4047</v>
      </c>
      <c r="J291" s="8" t="n">
        <v>-1.15886</v>
      </c>
      <c r="K291" s="13" t="str">
        <f aca="false">IF(J291&gt;0,"прибыль",IF(J291&lt;0,"убыток","ноль"))</f>
        <v>убыток</v>
      </c>
      <c r="L291" s="13" t="n">
        <f aca="false">IF(C291="",L290,IF(J291&lt;0,L290+1,0))</f>
        <v>4</v>
      </c>
      <c r="M291" s="14" t="n">
        <v>-115.89</v>
      </c>
      <c r="N291" s="9" t="n">
        <v>-13526.03</v>
      </c>
      <c r="O291" s="9" t="n">
        <v>1553444.2</v>
      </c>
    </row>
    <row r="292" customFormat="false" ht="15" hidden="false" customHeight="false" outlineLevel="0" collapsed="false">
      <c r="A292" s="6" t="n">
        <v>287</v>
      </c>
      <c r="B292" s="5" t="s">
        <v>288</v>
      </c>
      <c r="C292" s="5" t="s">
        <v>365</v>
      </c>
      <c r="D292" s="5" t="s">
        <v>366</v>
      </c>
      <c r="E292" s="5" t="s">
        <v>81</v>
      </c>
      <c r="F292" s="11" t="n">
        <v>3105.58</v>
      </c>
      <c r="G292" s="12" t="n">
        <v>83.4047</v>
      </c>
      <c r="H292" s="12" t="n">
        <v>81.4961</v>
      </c>
      <c r="I292" s="5" t="s">
        <v>78</v>
      </c>
      <c r="J292" s="8" t="n">
        <v>-1.7551</v>
      </c>
      <c r="K292" s="13" t="str">
        <f aca="false">IF(J292&gt;0,"прибыль",IF(J292&lt;0,"убыток","ноль"))</f>
        <v>убыток</v>
      </c>
      <c r="L292" s="13" t="n">
        <f aca="false">IF(C292="",L291,IF(J292&lt;0,L291+1,0))</f>
        <v>5</v>
      </c>
      <c r="M292" s="14" t="n">
        <v>-175.51</v>
      </c>
      <c r="N292" s="9" t="n">
        <v>-5450.6</v>
      </c>
      <c r="O292" s="9" t="n">
        <v>1547993.6</v>
      </c>
    </row>
    <row r="293" customFormat="false" ht="15" hidden="false" customHeight="false" outlineLevel="0" collapsed="false">
      <c r="A293" s="6" t="n">
        <v>288</v>
      </c>
      <c r="B293" s="5" t="s">
        <v>288</v>
      </c>
      <c r="C293" s="5" t="s">
        <v>366</v>
      </c>
      <c r="D293" s="5" t="s">
        <v>367</v>
      </c>
      <c r="E293" s="5" t="s">
        <v>81</v>
      </c>
      <c r="F293" s="11" t="n">
        <v>8981.86</v>
      </c>
      <c r="G293" s="12" t="n">
        <v>79.7451</v>
      </c>
      <c r="H293" s="12" t="n">
        <v>82.3361</v>
      </c>
      <c r="J293" s="8" t="n">
        <v>-2.59933</v>
      </c>
      <c r="K293" s="13" t="str">
        <f aca="false">IF(J293&gt;0,"прибыль",IF(J293&lt;0,"убыток","ноль"))</f>
        <v>убыток</v>
      </c>
      <c r="L293" s="13" t="n">
        <f aca="false">IF(C293="",L292,IF(J293&lt;0,L292+1,0))</f>
        <v>6</v>
      </c>
      <c r="M293" s="14" t="n">
        <v>-259.93</v>
      </c>
      <c r="N293" s="9" t="n">
        <v>-23346.82</v>
      </c>
      <c r="O293" s="9" t="n">
        <v>1524646.77</v>
      </c>
    </row>
    <row r="294" customFormat="false" ht="15" hidden="false" customHeight="false" outlineLevel="0" collapsed="false">
      <c r="A294" s="6" t="n">
        <v>289</v>
      </c>
      <c r="B294" s="5" t="s">
        <v>288</v>
      </c>
      <c r="C294" s="5" t="s">
        <v>367</v>
      </c>
      <c r="D294" s="5" t="s">
        <v>368</v>
      </c>
      <c r="E294" s="5" t="s">
        <v>77</v>
      </c>
      <c r="F294" s="11" t="n">
        <v>12305.28</v>
      </c>
      <c r="G294" s="12" t="n">
        <v>82.8121</v>
      </c>
      <c r="H294" s="12" t="n">
        <v>77.3711</v>
      </c>
      <c r="I294" s="5" t="s">
        <v>78</v>
      </c>
      <c r="J294" s="8" t="n">
        <v>-5.95268</v>
      </c>
      <c r="K294" s="13" t="str">
        <f aca="false">IF(J294&gt;0,"прибыль",IF(J294&lt;0,"убыток","ноль"))</f>
        <v>убыток</v>
      </c>
      <c r="L294" s="13" t="n">
        <f aca="false">IF(C294="",L293,IF(J294&lt;0,L293+1,0))</f>
        <v>7</v>
      </c>
      <c r="M294" s="14" t="n">
        <v>-595.27</v>
      </c>
      <c r="N294" s="9" t="n">
        <v>-73249.42</v>
      </c>
      <c r="O294" s="9" t="n">
        <v>1451397.36</v>
      </c>
    </row>
    <row r="295" customFormat="false" ht="15" hidden="false" customHeight="false" outlineLevel="0" collapsed="false">
      <c r="A295" s="6" t="n">
        <v>290</v>
      </c>
      <c r="B295" s="5" t="s">
        <v>288</v>
      </c>
      <c r="C295" s="5" t="s">
        <v>368</v>
      </c>
      <c r="D295" s="5" t="s">
        <v>369</v>
      </c>
      <c r="E295" s="5" t="s">
        <v>81</v>
      </c>
      <c r="F295" s="11" t="n">
        <v>0</v>
      </c>
      <c r="G295" s="12" t="n">
        <v>77.3711</v>
      </c>
      <c r="H295" s="12" t="n">
        <v>78.3492</v>
      </c>
      <c r="J295" s="8" t="n">
        <v>-0.98211</v>
      </c>
      <c r="K295" s="13" t="str">
        <f aca="false">IF(J295&gt;0,"прибыль",IF(J295&lt;0,"убыток","ноль"))</f>
        <v>убыток</v>
      </c>
      <c r="L295" s="13" t="n">
        <f aca="false">IF(C295="",L294,IF(J295&lt;0,L294+1,0))</f>
        <v>8</v>
      </c>
      <c r="M295" s="14" t="n">
        <v>-98.21</v>
      </c>
      <c r="N295" s="9" t="n">
        <v>0</v>
      </c>
      <c r="O295" s="9" t="n">
        <v>1451397.36</v>
      </c>
    </row>
    <row r="296" customFormat="false" ht="15" hidden="false" customHeight="false" outlineLevel="0" collapsed="false">
      <c r="A296" s="6" t="n">
        <v>291</v>
      </c>
      <c r="B296" s="5" t="s">
        <v>288</v>
      </c>
      <c r="C296" s="5" t="s">
        <v>369</v>
      </c>
      <c r="D296" s="5" t="s">
        <v>370</v>
      </c>
      <c r="E296" s="5" t="s">
        <v>81</v>
      </c>
      <c r="F296" s="11" t="n">
        <v>2614.78</v>
      </c>
      <c r="G296" s="12" t="n">
        <v>77.3711</v>
      </c>
      <c r="H296" s="12" t="n">
        <v>82.1673</v>
      </c>
      <c r="J296" s="8" t="n">
        <v>-4.80036</v>
      </c>
      <c r="K296" s="13" t="str">
        <f aca="false">IF(J296&gt;0,"прибыль",IF(J296&lt;0,"убыток","ноль"))</f>
        <v>убыток</v>
      </c>
      <c r="L296" s="13" t="n">
        <f aca="false">IF(C296="",L295,IF(J296&lt;0,L295+1,0))</f>
        <v>9</v>
      </c>
      <c r="M296" s="14" t="n">
        <v>-480.04</v>
      </c>
      <c r="N296" s="9" t="n">
        <v>-12551.88</v>
      </c>
      <c r="O296" s="9" t="n">
        <v>1438845.47</v>
      </c>
    </row>
    <row r="297" customFormat="false" ht="15" hidden="false" customHeight="false" outlineLevel="0" collapsed="false">
      <c r="A297" s="6" t="n">
        <v>292</v>
      </c>
      <c r="B297" s="5" t="s">
        <v>288</v>
      </c>
      <c r="C297" s="5" t="s">
        <v>370</v>
      </c>
      <c r="D297" s="5" t="s">
        <v>371</v>
      </c>
      <c r="E297" s="5" t="s">
        <v>81</v>
      </c>
      <c r="F297" s="11" t="n">
        <v>1592.26</v>
      </c>
      <c r="G297" s="12" t="n">
        <v>77.3711</v>
      </c>
      <c r="H297" s="12" t="n">
        <v>78.6858</v>
      </c>
      <c r="I297" s="5" t="s">
        <v>78</v>
      </c>
      <c r="J297" s="8" t="n">
        <v>0.95821</v>
      </c>
      <c r="K297" s="13" t="str">
        <f aca="false">IF(J297&gt;0,"прибыль",IF(J297&lt;0,"убыток","ноль"))</f>
        <v>прибыль</v>
      </c>
      <c r="L297" s="13" t="n">
        <f aca="false">IF(C297="",L296,IF(J297&lt;0,L296+1,0))</f>
        <v>0</v>
      </c>
      <c r="M297" s="14" t="n">
        <v>95.82</v>
      </c>
      <c r="N297" s="9" t="n">
        <v>1525.73</v>
      </c>
      <c r="O297" s="9" t="n">
        <v>1440371.2</v>
      </c>
    </row>
    <row r="298" customFormat="false" ht="15" hidden="false" customHeight="false" outlineLevel="0" collapsed="false">
      <c r="A298" s="6" t="n">
        <v>293</v>
      </c>
      <c r="B298" s="5" t="s">
        <v>288</v>
      </c>
      <c r="C298" s="5" t="s">
        <v>371</v>
      </c>
      <c r="D298" s="5" t="s">
        <v>372</v>
      </c>
      <c r="E298" s="5" t="s">
        <v>81</v>
      </c>
      <c r="F298" s="11" t="n">
        <v>5614.85</v>
      </c>
      <c r="G298" s="12" t="n">
        <v>79.6479</v>
      </c>
      <c r="H298" s="12" t="n">
        <v>74.6995</v>
      </c>
      <c r="I298" s="5" t="s">
        <v>78</v>
      </c>
      <c r="J298" s="8" t="n">
        <v>5.15849</v>
      </c>
      <c r="K298" s="13" t="str">
        <f aca="false">IF(J298&gt;0,"прибыль",IF(J298&lt;0,"убыток","ноль"))</f>
        <v>прибыль</v>
      </c>
      <c r="L298" s="13" t="n">
        <f aca="false">IF(C298="",L297,IF(J298&lt;0,L297+1,0))</f>
        <v>0</v>
      </c>
      <c r="M298" s="14" t="n">
        <v>515.85</v>
      </c>
      <c r="N298" s="9" t="n">
        <v>28964.12</v>
      </c>
      <c r="O298" s="9" t="n">
        <v>1469335.32</v>
      </c>
    </row>
    <row r="299" customFormat="false" ht="15" hidden="false" customHeight="false" outlineLevel="0" collapsed="false">
      <c r="A299" s="6" t="n">
        <v>294</v>
      </c>
      <c r="B299" s="5" t="s">
        <v>288</v>
      </c>
      <c r="C299" s="5" t="s">
        <v>372</v>
      </c>
      <c r="D299" s="5" t="s">
        <v>373</v>
      </c>
      <c r="E299" s="5" t="s">
        <v>77</v>
      </c>
      <c r="F299" s="11" t="n">
        <v>5952.23</v>
      </c>
      <c r="G299" s="12" t="n">
        <v>74.6995</v>
      </c>
      <c r="H299" s="12" t="n">
        <v>75.2443</v>
      </c>
      <c r="J299" s="8" t="n">
        <v>0.53702</v>
      </c>
      <c r="K299" s="13" t="str">
        <f aca="false">IF(J299&gt;0,"прибыль",IF(J299&lt;0,"убыток","ноль"))</f>
        <v>прибыль</v>
      </c>
      <c r="L299" s="13" t="n">
        <f aca="false">IF(C299="",L298,IF(J299&lt;0,L298+1,0))</f>
        <v>0</v>
      </c>
      <c r="M299" s="14" t="n">
        <v>53.7</v>
      </c>
      <c r="N299" s="9" t="n">
        <v>3196.46</v>
      </c>
      <c r="O299" s="9" t="n">
        <v>1472531.78</v>
      </c>
    </row>
    <row r="300" customFormat="false" ht="15" hidden="false" customHeight="false" outlineLevel="0" collapsed="false">
      <c r="A300" s="6" t="n">
        <v>295</v>
      </c>
      <c r="B300" s="5" t="s">
        <v>288</v>
      </c>
      <c r="C300" s="5" t="s">
        <v>373</v>
      </c>
      <c r="D300" s="5" t="s">
        <v>374</v>
      </c>
      <c r="E300" s="5" t="s">
        <v>81</v>
      </c>
      <c r="F300" s="11" t="n">
        <v>8136.45</v>
      </c>
      <c r="G300" s="12" t="n">
        <v>74.7762</v>
      </c>
      <c r="H300" s="12" t="n">
        <v>74.3732</v>
      </c>
      <c r="I300" s="5" t="s">
        <v>78</v>
      </c>
      <c r="J300" s="8" t="n">
        <v>-0.23104</v>
      </c>
      <c r="K300" s="13" t="str">
        <f aca="false">IF(J300&gt;0,"прибыль",IF(J300&lt;0,"убыток","ноль"))</f>
        <v>убыток</v>
      </c>
      <c r="L300" s="13" t="n">
        <f aca="false">IF(C300="",L299,IF(J300&lt;0,L299+1,0))</f>
        <v>1</v>
      </c>
      <c r="M300" s="14" t="n">
        <v>-23.1</v>
      </c>
      <c r="N300" s="9" t="n">
        <v>-1879.87</v>
      </c>
      <c r="O300" s="9" t="n">
        <v>1470651.91</v>
      </c>
    </row>
    <row r="301" customFormat="false" ht="15" hidden="false" customHeight="false" outlineLevel="0" collapsed="false">
      <c r="A301" s="6" t="n">
        <v>296</v>
      </c>
      <c r="B301" s="5" t="s">
        <v>288</v>
      </c>
      <c r="C301" s="5" t="s">
        <v>374</v>
      </c>
      <c r="D301" s="5" t="s">
        <v>375</v>
      </c>
      <c r="E301" s="5" t="s">
        <v>77</v>
      </c>
      <c r="F301" s="11" t="n">
        <v>9130.32</v>
      </c>
      <c r="G301" s="12" t="n">
        <v>74.3732</v>
      </c>
      <c r="H301" s="12" t="n">
        <v>73.2325</v>
      </c>
      <c r="J301" s="8" t="n">
        <v>-1.14851</v>
      </c>
      <c r="K301" s="13" t="str">
        <f aca="false">IF(J301&gt;0,"прибыль",IF(J301&lt;0,"убыток","ноль"))</f>
        <v>убыток</v>
      </c>
      <c r="L301" s="13" t="n">
        <f aca="false">IF(C301="",L300,IF(J301&lt;0,L300+1,0))</f>
        <v>2</v>
      </c>
      <c r="M301" s="14" t="n">
        <v>-114.85</v>
      </c>
      <c r="N301" s="9" t="n">
        <v>-10486.3</v>
      </c>
      <c r="O301" s="9" t="n">
        <v>1460165.61</v>
      </c>
    </row>
    <row r="302" customFormat="false" ht="15" hidden="false" customHeight="false" outlineLevel="0" collapsed="false">
      <c r="A302" s="6" t="n">
        <v>297</v>
      </c>
      <c r="B302" s="5" t="s">
        <v>288</v>
      </c>
      <c r="C302" s="5" t="s">
        <v>375</v>
      </c>
      <c r="D302" s="5" t="s">
        <v>376</v>
      </c>
      <c r="E302" s="5" t="s">
        <v>81</v>
      </c>
      <c r="F302" s="11" t="n">
        <v>0</v>
      </c>
      <c r="G302" s="12" t="n">
        <v>73.2325</v>
      </c>
      <c r="H302" s="12" t="n">
        <v>73.2575</v>
      </c>
      <c r="J302" s="8" t="n">
        <v>-0.02869</v>
      </c>
      <c r="K302" s="13" t="str">
        <f aca="false">IF(J302&gt;0,"прибыль",IF(J302&lt;0,"убыток","ноль"))</f>
        <v>убыток</v>
      </c>
      <c r="L302" s="13" t="n">
        <f aca="false">IF(C302="",L301,IF(J302&lt;0,L301+1,0))</f>
        <v>3</v>
      </c>
      <c r="M302" s="14" t="n">
        <v>-2.87</v>
      </c>
      <c r="N302" s="9" t="n">
        <v>0</v>
      </c>
      <c r="O302" s="9" t="n">
        <v>1460165.61</v>
      </c>
    </row>
    <row r="303" customFormat="false" ht="15" hidden="false" customHeight="false" outlineLevel="0" collapsed="false">
      <c r="A303" s="6" t="n">
        <v>298</v>
      </c>
      <c r="B303" s="5" t="s">
        <v>288</v>
      </c>
      <c r="C303" s="5" t="s">
        <v>376</v>
      </c>
      <c r="D303" s="5" t="s">
        <v>377</v>
      </c>
      <c r="E303" s="5" t="s">
        <v>81</v>
      </c>
      <c r="F303" s="11" t="n">
        <v>10234.1</v>
      </c>
      <c r="G303" s="12" t="n">
        <v>73.2325</v>
      </c>
      <c r="H303" s="12" t="n">
        <v>73.0193</v>
      </c>
      <c r="J303" s="8" t="n">
        <v>0.20508</v>
      </c>
      <c r="K303" s="13" t="str">
        <f aca="false">IF(J303&gt;0,"прибыль",IF(J303&lt;0,"убыток","ноль"))</f>
        <v>прибыль</v>
      </c>
      <c r="L303" s="13" t="n">
        <f aca="false">IF(C303="",L302,IF(J303&lt;0,L302+1,0))</f>
        <v>0</v>
      </c>
      <c r="M303" s="14" t="n">
        <v>20.51</v>
      </c>
      <c r="N303" s="9" t="n">
        <v>2098.83</v>
      </c>
      <c r="O303" s="9" t="n">
        <v>1462264.43</v>
      </c>
    </row>
    <row r="304" customFormat="false" ht="15" hidden="false" customHeight="false" outlineLevel="0" collapsed="false">
      <c r="A304" s="6" t="n">
        <v>299</v>
      </c>
      <c r="B304" s="5" t="s">
        <v>288</v>
      </c>
      <c r="C304" s="5" t="s">
        <v>377</v>
      </c>
      <c r="D304" s="5" t="s">
        <v>378</v>
      </c>
      <c r="E304" s="5" t="s">
        <v>77</v>
      </c>
      <c r="F304" s="11" t="n">
        <v>12479.82</v>
      </c>
      <c r="G304" s="12" t="n">
        <v>73.0193</v>
      </c>
      <c r="H304" s="12" t="n">
        <v>74.6413</v>
      </c>
      <c r="J304" s="8" t="n">
        <v>1.61448</v>
      </c>
      <c r="K304" s="13" t="str">
        <f aca="false">IF(J304&gt;0,"прибыль",IF(J304&lt;0,"убыток","ноль"))</f>
        <v>прибыль</v>
      </c>
      <c r="L304" s="13" t="n">
        <f aca="false">IF(C304="",L303,IF(J304&lt;0,L303+1,0))</f>
        <v>0</v>
      </c>
      <c r="M304" s="14" t="n">
        <v>161.45</v>
      </c>
      <c r="N304" s="9" t="n">
        <v>20148.35</v>
      </c>
      <c r="O304" s="9" t="n">
        <v>1482412.79</v>
      </c>
    </row>
    <row r="305" customFormat="false" ht="15" hidden="false" customHeight="false" outlineLevel="0" collapsed="false">
      <c r="A305" s="6" t="n">
        <v>300</v>
      </c>
      <c r="B305" s="5" t="s">
        <v>288</v>
      </c>
      <c r="C305" s="5" t="s">
        <v>378</v>
      </c>
      <c r="D305" s="5" t="s">
        <v>379</v>
      </c>
      <c r="E305" s="5" t="s">
        <v>81</v>
      </c>
      <c r="F305" s="11" t="n">
        <v>12581.27</v>
      </c>
      <c r="G305" s="12" t="n">
        <v>74.6413</v>
      </c>
      <c r="H305" s="12" t="n">
        <v>76.3231</v>
      </c>
      <c r="I305" s="5" t="s">
        <v>78</v>
      </c>
      <c r="J305" s="8" t="n">
        <v>0.2566</v>
      </c>
      <c r="K305" s="13" t="str">
        <f aca="false">IF(J305&gt;0,"прибыль",IF(J305&lt;0,"убыток","ноль"))</f>
        <v>прибыль</v>
      </c>
      <c r="L305" s="13" t="n">
        <f aca="false">IF(C305="",L304,IF(J305&lt;0,L304+1,0))</f>
        <v>0</v>
      </c>
      <c r="M305" s="14" t="n">
        <v>25.66</v>
      </c>
      <c r="N305" s="9" t="n">
        <v>3228.33</v>
      </c>
      <c r="O305" s="9" t="n">
        <v>1485641.12</v>
      </c>
    </row>
    <row r="306" customFormat="false" ht="15" hidden="false" customHeight="false" outlineLevel="0" collapsed="false">
      <c r="A306" s="6" t="n">
        <v>301</v>
      </c>
      <c r="B306" s="5" t="s">
        <v>288</v>
      </c>
      <c r="C306" s="5" t="s">
        <v>379</v>
      </c>
      <c r="D306" s="5" t="s">
        <v>380</v>
      </c>
      <c r="E306" s="5" t="s">
        <v>77</v>
      </c>
      <c r="F306" s="11" t="n">
        <v>3686.78</v>
      </c>
      <c r="G306" s="12" t="n">
        <v>76.3231</v>
      </c>
      <c r="H306" s="12" t="n">
        <v>81.2151</v>
      </c>
      <c r="J306" s="8" t="n">
        <v>4.88799</v>
      </c>
      <c r="K306" s="13" t="str">
        <f aca="false">IF(J306&gt;0,"прибыль",IF(J306&lt;0,"убыток","ноль"))</f>
        <v>прибыль</v>
      </c>
      <c r="L306" s="13" t="n">
        <f aca="false">IF(C306="",L305,IF(J306&lt;0,L305+1,0))</f>
        <v>0</v>
      </c>
      <c r="M306" s="14" t="n">
        <v>488.8</v>
      </c>
      <c r="N306" s="9" t="n">
        <v>18020.92</v>
      </c>
      <c r="O306" s="9" t="n">
        <v>1503662.04</v>
      </c>
    </row>
    <row r="307" customFormat="false" ht="15" hidden="false" customHeight="false" outlineLevel="0" collapsed="false">
      <c r="A307" s="6" t="n">
        <v>302</v>
      </c>
      <c r="B307" s="5" t="s">
        <v>288</v>
      </c>
      <c r="C307" s="5" t="s">
        <v>380</v>
      </c>
      <c r="D307" s="5" t="s">
        <v>381</v>
      </c>
      <c r="E307" s="5" t="s">
        <v>77</v>
      </c>
      <c r="F307" s="11" t="n">
        <v>2625.54</v>
      </c>
      <c r="G307" s="12" t="n">
        <v>76.3231</v>
      </c>
      <c r="H307" s="12" t="n">
        <v>77.3354</v>
      </c>
      <c r="J307" s="8" t="n">
        <v>1.00851</v>
      </c>
      <c r="K307" s="13" t="str">
        <f aca="false">IF(J307&gt;0,"прибыль",IF(J307&lt;0,"убыток","ноль"))</f>
        <v>прибыль</v>
      </c>
      <c r="L307" s="13" t="n">
        <f aca="false">IF(C307="",L306,IF(J307&lt;0,L306+1,0))</f>
        <v>0</v>
      </c>
      <c r="M307" s="14" t="n">
        <v>100.85</v>
      </c>
      <c r="N307" s="9" t="n">
        <v>2647.89</v>
      </c>
      <c r="O307" s="9" t="n">
        <v>1506309.93</v>
      </c>
    </row>
    <row r="308" customFormat="false" ht="15" hidden="false" customHeight="false" outlineLevel="0" collapsed="false">
      <c r="A308" s="6" t="n">
        <v>303</v>
      </c>
      <c r="B308" s="5" t="s">
        <v>288</v>
      </c>
      <c r="C308" s="5" t="s">
        <v>381</v>
      </c>
      <c r="D308" s="5" t="s">
        <v>382</v>
      </c>
      <c r="E308" s="5" t="s">
        <v>77</v>
      </c>
      <c r="F308" s="11" t="n">
        <v>11361.3</v>
      </c>
      <c r="G308" s="12" t="n">
        <v>76.3912</v>
      </c>
      <c r="H308" s="12" t="n">
        <v>73.2231</v>
      </c>
      <c r="I308" s="5" t="s">
        <v>78</v>
      </c>
      <c r="J308" s="8" t="n">
        <v>-1.69293</v>
      </c>
      <c r="K308" s="13" t="str">
        <f aca="false">IF(J308&gt;0,"прибыль",IF(J308&lt;0,"убыток","ноль"))</f>
        <v>убыток</v>
      </c>
      <c r="L308" s="13" t="n">
        <f aca="false">IF(C308="",L307,IF(J308&lt;0,L307+1,0))</f>
        <v>1</v>
      </c>
      <c r="M308" s="14" t="n">
        <v>-169.29</v>
      </c>
      <c r="N308" s="9" t="n">
        <v>-19233.9</v>
      </c>
      <c r="O308" s="9" t="n">
        <v>1487076.04</v>
      </c>
    </row>
    <row r="309" customFormat="false" ht="15" hidden="false" customHeight="false" outlineLevel="0" collapsed="false">
      <c r="A309" s="6" t="n">
        <v>304</v>
      </c>
      <c r="B309" s="5" t="s">
        <v>288</v>
      </c>
      <c r="C309" s="5" t="s">
        <v>382</v>
      </c>
      <c r="D309" s="5" t="s">
        <v>383</v>
      </c>
      <c r="E309" s="5" t="s">
        <v>81</v>
      </c>
      <c r="F309" s="11" t="n">
        <v>10704.04</v>
      </c>
      <c r="G309" s="12" t="n">
        <v>73.2231</v>
      </c>
      <c r="H309" s="12" t="n">
        <v>73.805</v>
      </c>
      <c r="I309" s="5" t="s">
        <v>78</v>
      </c>
      <c r="J309" s="8" t="n">
        <v>-2.69052</v>
      </c>
      <c r="K309" s="13" t="str">
        <f aca="false">IF(J309&gt;0,"прибыль",IF(J309&lt;0,"убыток","ноль"))</f>
        <v>убыток</v>
      </c>
      <c r="L309" s="13" t="n">
        <f aca="false">IF(C309="",L308,IF(J309&lt;0,L308+1,0))</f>
        <v>2</v>
      </c>
      <c r="M309" s="14" t="n">
        <v>-269.05</v>
      </c>
      <c r="N309" s="9" t="n">
        <v>-28799.44</v>
      </c>
      <c r="O309" s="9" t="n">
        <v>1458276.6</v>
      </c>
    </row>
    <row r="310" customFormat="false" ht="15" hidden="false" customHeight="false" outlineLevel="0" collapsed="false">
      <c r="A310" s="6" t="n">
        <v>305</v>
      </c>
      <c r="B310" s="5" t="s">
        <v>288</v>
      </c>
      <c r="C310" s="5" t="s">
        <v>383</v>
      </c>
      <c r="D310" s="5" t="s">
        <v>384</v>
      </c>
      <c r="E310" s="5" t="s">
        <v>77</v>
      </c>
      <c r="F310" s="11" t="n">
        <v>10911.05</v>
      </c>
      <c r="G310" s="12" t="n">
        <v>73.805</v>
      </c>
      <c r="H310" s="12" t="n">
        <v>69.5293</v>
      </c>
      <c r="I310" s="5" t="s">
        <v>78</v>
      </c>
      <c r="J310" s="8" t="n">
        <v>-3.91625</v>
      </c>
      <c r="K310" s="13" t="str">
        <f aca="false">IF(J310&gt;0,"прибыль",IF(J310&lt;0,"убыток","ноль"))</f>
        <v>убыток</v>
      </c>
      <c r="L310" s="13" t="n">
        <f aca="false">IF(C310="",L309,IF(J310&lt;0,L309+1,0))</f>
        <v>3</v>
      </c>
      <c r="M310" s="14" t="n">
        <v>-391.63</v>
      </c>
      <c r="N310" s="9" t="n">
        <v>-42730.44</v>
      </c>
      <c r="O310" s="9" t="n">
        <v>1415546.16</v>
      </c>
    </row>
    <row r="311" customFormat="false" ht="15" hidden="false" customHeight="false" outlineLevel="0" collapsed="false">
      <c r="A311" s="6" t="n">
        <v>306</v>
      </c>
      <c r="B311" s="5" t="s">
        <v>288</v>
      </c>
      <c r="C311" s="5" t="s">
        <v>384</v>
      </c>
      <c r="D311" s="5" t="s">
        <v>385</v>
      </c>
      <c r="E311" s="5" t="s">
        <v>81</v>
      </c>
      <c r="F311" s="11" t="n">
        <v>2722.26</v>
      </c>
      <c r="G311" s="12" t="n">
        <v>69.5293</v>
      </c>
      <c r="H311" s="12" t="n">
        <v>65.1908</v>
      </c>
      <c r="J311" s="8" t="n">
        <v>4.33529</v>
      </c>
      <c r="K311" s="13" t="str">
        <f aca="false">IF(J311&gt;0,"прибыль",IF(J311&lt;0,"убыток","ноль"))</f>
        <v>прибыль</v>
      </c>
      <c r="L311" s="13" t="n">
        <f aca="false">IF(C311="",L310,IF(J311&lt;0,L310+1,0))</f>
        <v>0</v>
      </c>
      <c r="M311" s="14" t="n">
        <v>433.53</v>
      </c>
      <c r="N311" s="9" t="n">
        <v>11801.8</v>
      </c>
      <c r="O311" s="9" t="n">
        <v>1427347.96</v>
      </c>
    </row>
    <row r="312" customFormat="false" ht="15" hidden="false" customHeight="false" outlineLevel="0" collapsed="false">
      <c r="A312" s="6" t="n">
        <v>307</v>
      </c>
      <c r="B312" s="5" t="s">
        <v>288</v>
      </c>
      <c r="C312" s="5" t="s">
        <v>385</v>
      </c>
      <c r="D312" s="5" t="s">
        <v>386</v>
      </c>
      <c r="E312" s="5" t="s">
        <v>81</v>
      </c>
      <c r="F312" s="11" t="n">
        <v>7849.99</v>
      </c>
      <c r="G312" s="12" t="n">
        <v>68.6699</v>
      </c>
      <c r="H312" s="12" t="n">
        <v>65.3822</v>
      </c>
      <c r="I312" s="5" t="s">
        <v>78</v>
      </c>
      <c r="J312" s="8" t="n">
        <v>0.41143</v>
      </c>
      <c r="K312" s="13" t="str">
        <f aca="false">IF(J312&gt;0,"прибыль",IF(J312&lt;0,"убыток","ноль"))</f>
        <v>прибыль</v>
      </c>
      <c r="L312" s="13" t="n">
        <f aca="false">IF(C312="",L311,IF(J312&lt;0,L311+1,0))</f>
        <v>0</v>
      </c>
      <c r="M312" s="14" t="n">
        <v>41.14</v>
      </c>
      <c r="N312" s="9" t="n">
        <v>3229.69</v>
      </c>
      <c r="O312" s="9" t="n">
        <v>1430577.66</v>
      </c>
    </row>
    <row r="313" customFormat="false" ht="15" hidden="false" customHeight="false" outlineLevel="0" collapsed="false">
      <c r="A313" s="6" t="n">
        <v>308</v>
      </c>
      <c r="B313" s="5" t="s">
        <v>288</v>
      </c>
      <c r="C313" s="5" t="s">
        <v>386</v>
      </c>
      <c r="D313" s="5" t="s">
        <v>387</v>
      </c>
      <c r="E313" s="5" t="s">
        <v>77</v>
      </c>
      <c r="F313" s="11" t="n">
        <v>2770.87</v>
      </c>
      <c r="G313" s="12" t="n">
        <v>65.7667</v>
      </c>
      <c r="H313" s="12" t="n">
        <v>73.6807</v>
      </c>
      <c r="J313" s="8" t="n">
        <v>7.90719</v>
      </c>
      <c r="K313" s="13" t="str">
        <f aca="false">IF(J313&gt;0,"прибыль",IF(J313&lt;0,"убыток","ноль"))</f>
        <v>прибыль</v>
      </c>
      <c r="L313" s="13" t="n">
        <f aca="false">IF(C313="",L312,IF(J313&lt;0,L312+1,0))</f>
        <v>0</v>
      </c>
      <c r="M313" s="14" t="n">
        <v>790.72</v>
      </c>
      <c r="N313" s="9" t="n">
        <v>21909.83</v>
      </c>
      <c r="O313" s="9" t="n">
        <v>1452487.49</v>
      </c>
    </row>
    <row r="314" customFormat="false" ht="15" hidden="false" customHeight="false" outlineLevel="0" collapsed="false">
      <c r="A314" s="6" t="n">
        <v>309</v>
      </c>
      <c r="B314" s="5" t="s">
        <v>288</v>
      </c>
      <c r="C314" s="5" t="s">
        <v>387</v>
      </c>
      <c r="D314" s="5" t="s">
        <v>388</v>
      </c>
      <c r="E314" s="5" t="s">
        <v>77</v>
      </c>
      <c r="F314" s="11" t="n">
        <v>2732.07</v>
      </c>
      <c r="G314" s="12" t="n">
        <v>65.7667</v>
      </c>
      <c r="H314" s="12" t="n">
        <v>74.5287</v>
      </c>
      <c r="J314" s="8" t="n">
        <v>8.75826</v>
      </c>
      <c r="K314" s="13" t="str">
        <f aca="false">IF(J314&gt;0,"прибыль",IF(J314&lt;0,"убыток","ноль"))</f>
        <v>прибыль</v>
      </c>
      <c r="L314" s="13" t="n">
        <f aca="false">IF(C314="",L313,IF(J314&lt;0,L313+1,0))</f>
        <v>0</v>
      </c>
      <c r="M314" s="14" t="n">
        <v>875.83</v>
      </c>
      <c r="N314" s="9" t="n">
        <v>23928.16</v>
      </c>
      <c r="O314" s="9" t="n">
        <v>1476415.65</v>
      </c>
    </row>
    <row r="315" customFormat="false" ht="15" hidden="false" customHeight="false" outlineLevel="0" collapsed="false">
      <c r="A315" s="6" t="n">
        <v>310</v>
      </c>
      <c r="B315" s="5" t="s">
        <v>288</v>
      </c>
      <c r="C315" s="5" t="s">
        <v>388</v>
      </c>
      <c r="D315" s="5" t="s">
        <v>389</v>
      </c>
      <c r="E315" s="5" t="s">
        <v>77</v>
      </c>
      <c r="F315" s="11" t="n">
        <v>1839.81</v>
      </c>
      <c r="G315" s="12" t="n">
        <v>65.7667</v>
      </c>
      <c r="H315" s="12" t="n">
        <v>68.647</v>
      </c>
      <c r="J315" s="8" t="n">
        <v>2.87684</v>
      </c>
      <c r="K315" s="13" t="str">
        <f aca="false">IF(J315&gt;0,"прибыль",IF(J315&lt;0,"убыток","ноль"))</f>
        <v>прибыль</v>
      </c>
      <c r="L315" s="13" t="n">
        <f aca="false">IF(C315="",L314,IF(J315&lt;0,L314+1,0))</f>
        <v>0</v>
      </c>
      <c r="M315" s="14" t="n">
        <v>287.68</v>
      </c>
      <c r="N315" s="9" t="n">
        <v>5292.84</v>
      </c>
      <c r="O315" s="9" t="n">
        <v>1481708.49</v>
      </c>
    </row>
    <row r="316" customFormat="false" ht="15" hidden="false" customHeight="false" outlineLevel="0" collapsed="false">
      <c r="A316" s="6" t="n">
        <v>311</v>
      </c>
      <c r="B316" s="5" t="s">
        <v>288</v>
      </c>
      <c r="C316" s="5" t="s">
        <v>389</v>
      </c>
      <c r="D316" s="5" t="s">
        <v>390</v>
      </c>
      <c r="E316" s="5" t="s">
        <v>77</v>
      </c>
      <c r="F316" s="11" t="n">
        <v>10201.38</v>
      </c>
      <c r="G316" s="12" t="n">
        <v>67.7892</v>
      </c>
      <c r="H316" s="12" t="n">
        <v>66.2561</v>
      </c>
      <c r="I316" s="5" t="s">
        <v>78</v>
      </c>
      <c r="J316" s="8" t="n">
        <v>1.62641</v>
      </c>
      <c r="K316" s="13" t="str">
        <f aca="false">IF(J316&gt;0,"прибыль",IF(J316&lt;0,"убыток","ноль"))</f>
        <v>прибыль</v>
      </c>
      <c r="L316" s="13" t="n">
        <f aca="false">IF(C316="",L315,IF(J316&lt;0,L315+1,0))</f>
        <v>0</v>
      </c>
      <c r="M316" s="14" t="n">
        <v>162.64</v>
      </c>
      <c r="N316" s="9" t="n">
        <v>16591.62</v>
      </c>
      <c r="O316" s="9" t="n">
        <v>1498300.11</v>
      </c>
    </row>
    <row r="317" customFormat="false" ht="15" hidden="false" customHeight="false" outlineLevel="0" collapsed="false">
      <c r="A317" s="6" t="n">
        <v>312</v>
      </c>
      <c r="B317" s="5" t="s">
        <v>288</v>
      </c>
      <c r="C317" s="5" t="s">
        <v>390</v>
      </c>
      <c r="D317" s="5" t="s">
        <v>391</v>
      </c>
      <c r="E317" s="5" t="s">
        <v>81</v>
      </c>
      <c r="F317" s="11" t="n">
        <v>10600.12</v>
      </c>
      <c r="G317" s="12" t="n">
        <v>66.2561</v>
      </c>
      <c r="H317" s="12" t="n">
        <v>66.1433</v>
      </c>
      <c r="J317" s="8" t="n">
        <v>0.10623</v>
      </c>
      <c r="K317" s="13" t="str">
        <f aca="false">IF(J317&gt;0,"прибыль",IF(J317&lt;0,"убыток","ноль"))</f>
        <v>прибыль</v>
      </c>
      <c r="L317" s="13" t="n">
        <f aca="false">IF(C317="",L316,IF(J317&lt;0,L316+1,0))</f>
        <v>0</v>
      </c>
      <c r="M317" s="14" t="n">
        <v>10.62</v>
      </c>
      <c r="N317" s="9" t="n">
        <v>1126.03</v>
      </c>
      <c r="O317" s="9" t="n">
        <v>1499426.14</v>
      </c>
    </row>
    <row r="318" customFormat="false" ht="15" hidden="false" customHeight="false" outlineLevel="0" collapsed="false">
      <c r="A318" s="6" t="n">
        <v>313</v>
      </c>
      <c r="B318" s="5" t="s">
        <v>288</v>
      </c>
      <c r="C318" s="5" t="s">
        <v>391</v>
      </c>
      <c r="D318" s="5" t="s">
        <v>392</v>
      </c>
      <c r="E318" s="5" t="s">
        <v>77</v>
      </c>
      <c r="F318" s="11" t="n">
        <v>14532.79</v>
      </c>
      <c r="G318" s="12" t="n">
        <v>66.6048</v>
      </c>
      <c r="H318" s="12" t="n">
        <v>65.6373</v>
      </c>
      <c r="I318" s="5" t="s">
        <v>78</v>
      </c>
      <c r="J318" s="8" t="n">
        <v>-1.0628</v>
      </c>
      <c r="K318" s="13" t="str">
        <f aca="false">IF(J318&gt;0,"прибыль",IF(J318&lt;0,"убыток","ноль"))</f>
        <v>убыток</v>
      </c>
      <c r="L318" s="13" t="n">
        <f aca="false">IF(C318="",L317,IF(J318&lt;0,L317+1,0))</f>
        <v>1</v>
      </c>
      <c r="M318" s="14" t="n">
        <v>-106.28</v>
      </c>
      <c r="N318" s="9" t="n">
        <v>-15445.4</v>
      </c>
      <c r="O318" s="9" t="n">
        <v>1483980.74</v>
      </c>
    </row>
    <row r="319" customFormat="false" ht="15" hidden="false" customHeight="false" outlineLevel="0" collapsed="false">
      <c r="A319" s="6" t="n">
        <v>314</v>
      </c>
      <c r="B319" s="5" t="s">
        <v>288</v>
      </c>
      <c r="C319" s="5" t="s">
        <v>392</v>
      </c>
      <c r="D319" s="5" t="s">
        <v>393</v>
      </c>
      <c r="E319" s="5" t="s">
        <v>81</v>
      </c>
      <c r="F319" s="11" t="n">
        <v>14153.09</v>
      </c>
      <c r="G319" s="12" t="n">
        <v>65.6373</v>
      </c>
      <c r="H319" s="12" t="n">
        <v>67.0633</v>
      </c>
      <c r="J319" s="8" t="n">
        <v>-1.43268</v>
      </c>
      <c r="K319" s="13" t="str">
        <f aca="false">IF(J319&gt;0,"прибыль",IF(J319&lt;0,"убыток","ноль"))</f>
        <v>убыток</v>
      </c>
      <c r="L319" s="13" t="n">
        <f aca="false">IF(C319="",L318,IF(J319&lt;0,L318+1,0))</f>
        <v>2</v>
      </c>
      <c r="M319" s="14" t="n">
        <v>-143.27</v>
      </c>
      <c r="N319" s="9" t="n">
        <v>-20276.79</v>
      </c>
      <c r="O319" s="9" t="n">
        <v>1463703.95</v>
      </c>
    </row>
    <row r="320" customFormat="false" ht="15" hidden="false" customHeight="false" outlineLevel="0" collapsed="false">
      <c r="A320" s="6" t="n">
        <v>315</v>
      </c>
      <c r="B320" s="5" t="s">
        <v>288</v>
      </c>
      <c r="C320" s="5" t="s">
        <v>393</v>
      </c>
      <c r="D320" s="5" t="s">
        <v>394</v>
      </c>
      <c r="E320" s="5" t="s">
        <v>77</v>
      </c>
      <c r="F320" s="11" t="n">
        <v>14131.63</v>
      </c>
      <c r="G320" s="12" t="n">
        <v>67.0633</v>
      </c>
      <c r="H320" s="12" t="n">
        <v>65.9235</v>
      </c>
      <c r="J320" s="8" t="n">
        <v>-1.14603</v>
      </c>
      <c r="K320" s="13" t="str">
        <f aca="false">IF(J320&gt;0,"прибыль",IF(J320&lt;0,"убыток","ноль"))</f>
        <v>убыток</v>
      </c>
      <c r="L320" s="13" t="n">
        <f aca="false">IF(C320="",L319,IF(J320&lt;0,L319+1,0))</f>
        <v>3</v>
      </c>
      <c r="M320" s="14" t="n">
        <v>-114.6</v>
      </c>
      <c r="N320" s="9" t="n">
        <v>-16195.27</v>
      </c>
      <c r="O320" s="9" t="n">
        <v>1447508.68</v>
      </c>
    </row>
    <row r="321" customFormat="false" ht="15" hidden="false" customHeight="false" outlineLevel="0" collapsed="false">
      <c r="A321" s="6" t="n">
        <v>316</v>
      </c>
      <c r="B321" s="5" t="s">
        <v>288</v>
      </c>
      <c r="C321" s="5" t="s">
        <v>394</v>
      </c>
      <c r="D321" s="5" t="s">
        <v>395</v>
      </c>
      <c r="E321" s="5" t="s">
        <v>81</v>
      </c>
      <c r="F321" s="11" t="n">
        <v>12666</v>
      </c>
      <c r="G321" s="12" t="n">
        <v>65.9235</v>
      </c>
      <c r="H321" s="12" t="n">
        <v>68.4567</v>
      </c>
      <c r="J321" s="8" t="n">
        <v>-2.54003</v>
      </c>
      <c r="K321" s="13" t="str">
        <f aca="false">IF(J321&gt;0,"прибыль",IF(J321&lt;0,"убыток","ноль"))</f>
        <v>убыток</v>
      </c>
      <c r="L321" s="13" t="n">
        <f aca="false">IF(C321="",L320,IF(J321&lt;0,L320+1,0))</f>
        <v>4</v>
      </c>
      <c r="M321" s="14" t="n">
        <v>-254</v>
      </c>
      <c r="N321" s="9" t="n">
        <v>-32171.97</v>
      </c>
      <c r="O321" s="9" t="n">
        <v>1415336.71</v>
      </c>
    </row>
    <row r="322" customFormat="false" ht="15" hidden="false" customHeight="false" outlineLevel="0" collapsed="false">
      <c r="A322" s="6" t="n">
        <v>317</v>
      </c>
      <c r="B322" s="5" t="s">
        <v>288</v>
      </c>
      <c r="C322" s="5" t="s">
        <v>395</v>
      </c>
      <c r="D322" s="5" t="s">
        <v>396</v>
      </c>
      <c r="E322" s="5" t="s">
        <v>77</v>
      </c>
      <c r="F322" s="11" t="n">
        <v>12879.64</v>
      </c>
      <c r="G322" s="12" t="n">
        <v>68.4567</v>
      </c>
      <c r="H322" s="12" t="n">
        <v>66.1736</v>
      </c>
      <c r="J322" s="8" t="n">
        <v>-2.28963</v>
      </c>
      <c r="K322" s="13" t="str">
        <f aca="false">IF(J322&gt;0,"прибыль",IF(J322&lt;0,"убыток","ноль"))</f>
        <v>убыток</v>
      </c>
      <c r="L322" s="13" t="n">
        <f aca="false">IF(C322="",L321,IF(J322&lt;0,L321+1,0))</f>
        <v>5</v>
      </c>
      <c r="M322" s="14" t="n">
        <v>-228.96</v>
      </c>
      <c r="N322" s="9" t="n">
        <v>-29489.57</v>
      </c>
      <c r="O322" s="9" t="n">
        <v>1385847.14</v>
      </c>
    </row>
    <row r="323" customFormat="false" ht="15" hidden="false" customHeight="false" outlineLevel="0" collapsed="false">
      <c r="A323" s="6" t="n">
        <v>318</v>
      </c>
      <c r="B323" s="5" t="s">
        <v>288</v>
      </c>
      <c r="C323" s="5" t="s">
        <v>396</v>
      </c>
      <c r="D323" s="5" t="s">
        <v>397</v>
      </c>
      <c r="E323" s="5" t="s">
        <v>81</v>
      </c>
      <c r="F323" s="11" t="n">
        <v>12695.91</v>
      </c>
      <c r="G323" s="12" t="n">
        <v>66.1736</v>
      </c>
      <c r="H323" s="12" t="n">
        <v>67.7805</v>
      </c>
      <c r="J323" s="8" t="n">
        <v>-1.61335</v>
      </c>
      <c r="K323" s="13" t="str">
        <f aca="false">IF(J323&gt;0,"прибыль",IF(J323&lt;0,"убыток","ноль"))</f>
        <v>убыток</v>
      </c>
      <c r="L323" s="13" t="n">
        <f aca="false">IF(C323="",L322,IF(J323&lt;0,L322+1,0))</f>
        <v>6</v>
      </c>
      <c r="M323" s="14" t="n">
        <v>-161.33</v>
      </c>
      <c r="N323" s="9" t="n">
        <v>-20482.9</v>
      </c>
      <c r="O323" s="9" t="n">
        <v>1365364.25</v>
      </c>
    </row>
    <row r="324" customFormat="false" ht="15" hidden="false" customHeight="false" outlineLevel="0" collapsed="false">
      <c r="A324" s="6" t="n">
        <v>319</v>
      </c>
      <c r="B324" s="5" t="s">
        <v>288</v>
      </c>
      <c r="C324" s="5" t="s">
        <v>397</v>
      </c>
      <c r="D324" s="5" t="s">
        <v>398</v>
      </c>
      <c r="E324" s="5" t="s">
        <v>77</v>
      </c>
      <c r="F324" s="11" t="n">
        <v>11821.22</v>
      </c>
      <c r="G324" s="12" t="n">
        <v>67.7805</v>
      </c>
      <c r="H324" s="12" t="n">
        <v>65.6772</v>
      </c>
      <c r="I324" s="5" t="s">
        <v>78</v>
      </c>
      <c r="J324" s="8" t="n">
        <v>-0.80511</v>
      </c>
      <c r="K324" s="13" t="str">
        <f aca="false">IF(J324&gt;0,"прибыль",IF(J324&lt;0,"убыток","ноль"))</f>
        <v>убыток</v>
      </c>
      <c r="L324" s="13" t="n">
        <f aca="false">IF(C324="",L323,IF(J324&lt;0,L323+1,0))</f>
        <v>7</v>
      </c>
      <c r="M324" s="14" t="n">
        <v>-80.51</v>
      </c>
      <c r="N324" s="9" t="n">
        <v>-9517.34</v>
      </c>
      <c r="O324" s="9" t="n">
        <v>1355846.91</v>
      </c>
    </row>
    <row r="325" customFormat="false" ht="15" hidden="false" customHeight="false" outlineLevel="0" collapsed="false">
      <c r="A325" s="6" t="n">
        <v>320</v>
      </c>
      <c r="B325" s="5" t="s">
        <v>288</v>
      </c>
      <c r="C325" s="5" t="s">
        <v>398</v>
      </c>
      <c r="D325" s="5" t="s">
        <v>399</v>
      </c>
      <c r="E325" s="5" t="s">
        <v>81</v>
      </c>
      <c r="F325" s="11" t="n">
        <v>10827.04</v>
      </c>
      <c r="G325" s="12" t="n">
        <v>65.6772</v>
      </c>
      <c r="H325" s="12" t="n">
        <v>65.8462</v>
      </c>
      <c r="J325" s="8" t="n">
        <v>-0.17482</v>
      </c>
      <c r="K325" s="13" t="str">
        <f aca="false">IF(J325&gt;0,"прибыль",IF(J325&lt;0,"убыток","ноль"))</f>
        <v>убыток</v>
      </c>
      <c r="L325" s="13" t="n">
        <f aca="false">IF(C325="",L324,IF(J325&lt;0,L324+1,0))</f>
        <v>8</v>
      </c>
      <c r="M325" s="14" t="n">
        <v>-17.48</v>
      </c>
      <c r="N325" s="9" t="n">
        <v>-1892.83</v>
      </c>
      <c r="O325" s="9" t="n">
        <v>1353954.08</v>
      </c>
    </row>
    <row r="326" customFormat="false" ht="15" hidden="false" customHeight="false" outlineLevel="0" collapsed="false">
      <c r="A326" s="6" t="n">
        <v>321</v>
      </c>
      <c r="B326" s="5" t="s">
        <v>288</v>
      </c>
      <c r="C326" s="5" t="s">
        <v>399</v>
      </c>
      <c r="D326" s="5" t="s">
        <v>400</v>
      </c>
      <c r="E326" s="5" t="s">
        <v>77</v>
      </c>
      <c r="F326" s="11" t="n">
        <v>8235.54</v>
      </c>
      <c r="G326" s="12" t="n">
        <v>65.8462</v>
      </c>
      <c r="H326" s="12" t="n">
        <v>64.3637</v>
      </c>
      <c r="J326" s="8" t="n">
        <v>-1.48897</v>
      </c>
      <c r="K326" s="13" t="str">
        <f aca="false">IF(J326&gt;0,"прибыль",IF(J326&lt;0,"убыток","ноль"))</f>
        <v>убыток</v>
      </c>
      <c r="L326" s="13" t="n">
        <f aca="false">IF(C326="",L325,IF(J326&lt;0,L325+1,0))</f>
        <v>9</v>
      </c>
      <c r="M326" s="14" t="n">
        <v>-148.9</v>
      </c>
      <c r="N326" s="9" t="n">
        <v>-12262.46</v>
      </c>
      <c r="O326" s="9" t="n">
        <v>1341691.61</v>
      </c>
    </row>
    <row r="327" customFormat="false" ht="15" hidden="false" customHeight="false" outlineLevel="0" collapsed="false">
      <c r="A327" s="6" t="n">
        <v>322</v>
      </c>
      <c r="B327" s="5" t="s">
        <v>288</v>
      </c>
      <c r="C327" s="5" t="s">
        <v>400</v>
      </c>
      <c r="D327" s="5" t="s">
        <v>401</v>
      </c>
      <c r="E327" s="5" t="s">
        <v>81</v>
      </c>
      <c r="F327" s="11" t="n">
        <v>10040.52</v>
      </c>
      <c r="G327" s="12" t="n">
        <v>64.3123</v>
      </c>
      <c r="H327" s="12" t="n">
        <v>64.3868</v>
      </c>
      <c r="I327" s="5" t="s">
        <v>78</v>
      </c>
      <c r="J327" s="8" t="n">
        <v>-0.48681</v>
      </c>
      <c r="K327" s="13" t="str">
        <f aca="false">IF(J327&gt;0,"прибыль",IF(J327&lt;0,"убыток","ноль"))</f>
        <v>убыток</v>
      </c>
      <c r="L327" s="13" t="n">
        <f aca="false">IF(C327="",L326,IF(J327&lt;0,L326+1,0))</f>
        <v>10</v>
      </c>
      <c r="M327" s="14" t="n">
        <v>-48.68</v>
      </c>
      <c r="N327" s="9" t="n">
        <v>-4887.87</v>
      </c>
      <c r="O327" s="9" t="n">
        <v>1336803.75</v>
      </c>
    </row>
    <row r="328" customFormat="false" ht="15" hidden="false" customHeight="false" outlineLevel="0" collapsed="false">
      <c r="A328" s="6" t="n">
        <v>323</v>
      </c>
      <c r="B328" s="5" t="s">
        <v>288</v>
      </c>
      <c r="C328" s="5" t="s">
        <v>401</v>
      </c>
      <c r="D328" s="5" t="s">
        <v>402</v>
      </c>
      <c r="E328" s="5" t="s">
        <v>77</v>
      </c>
      <c r="F328" s="11" t="n">
        <v>12107.88</v>
      </c>
      <c r="G328" s="12" t="n">
        <v>64.3013</v>
      </c>
      <c r="H328" s="12" t="n">
        <v>63.5523</v>
      </c>
      <c r="J328" s="8" t="n">
        <v>-0.75591</v>
      </c>
      <c r="K328" s="13" t="str">
        <f aca="false">IF(J328&gt;0,"прибыль",IF(J328&lt;0,"убыток","ноль"))</f>
        <v>убыток</v>
      </c>
      <c r="L328" s="13" t="n">
        <f aca="false">IF(C328="",L327,IF(J328&lt;0,L327+1,0))</f>
        <v>11</v>
      </c>
      <c r="M328" s="14" t="n">
        <v>-75.59</v>
      </c>
      <c r="N328" s="9" t="n">
        <v>-9152.51</v>
      </c>
      <c r="O328" s="9" t="n">
        <v>1327651.24</v>
      </c>
    </row>
    <row r="329" customFormat="false" ht="15" hidden="false" customHeight="false" outlineLevel="0" collapsed="false">
      <c r="A329" s="6" t="n">
        <v>324</v>
      </c>
      <c r="B329" s="5" t="s">
        <v>288</v>
      </c>
      <c r="C329" s="5" t="s">
        <v>402</v>
      </c>
      <c r="D329" s="5" t="s">
        <v>403</v>
      </c>
      <c r="E329" s="5" t="s">
        <v>81</v>
      </c>
      <c r="F329" s="11" t="n">
        <v>12096.85</v>
      </c>
      <c r="G329" s="12" t="n">
        <v>63.5523</v>
      </c>
      <c r="H329" s="12" t="n">
        <v>62.7598</v>
      </c>
      <c r="J329" s="8" t="n">
        <v>0.78647</v>
      </c>
      <c r="K329" s="13" t="str">
        <f aca="false">IF(J329&gt;0,"прибыль",IF(J329&lt;0,"убыток","ноль"))</f>
        <v>прибыль</v>
      </c>
      <c r="L329" s="13" t="n">
        <f aca="false">IF(C329="",L328,IF(J329&lt;0,L328+1,0))</f>
        <v>0</v>
      </c>
      <c r="M329" s="14" t="n">
        <v>78.65</v>
      </c>
      <c r="N329" s="9" t="n">
        <v>9513.85</v>
      </c>
      <c r="O329" s="9" t="n">
        <v>1337165.09</v>
      </c>
    </row>
    <row r="330" customFormat="false" ht="15" hidden="false" customHeight="false" outlineLevel="0" collapsed="false">
      <c r="A330" s="6" t="n">
        <v>325</v>
      </c>
      <c r="B330" s="5" t="s">
        <v>288</v>
      </c>
      <c r="C330" s="5" t="s">
        <v>403</v>
      </c>
      <c r="D330" s="5" t="s">
        <v>404</v>
      </c>
      <c r="E330" s="5" t="s">
        <v>77</v>
      </c>
      <c r="F330" s="11" t="n">
        <v>14758.15</v>
      </c>
      <c r="G330" s="12" t="n">
        <v>62.8781</v>
      </c>
      <c r="H330" s="12" t="n">
        <v>62.1404</v>
      </c>
      <c r="I330" s="5" t="s">
        <v>78</v>
      </c>
      <c r="J330" s="8" t="n">
        <v>-0.76461</v>
      </c>
      <c r="K330" s="13" t="str">
        <f aca="false">IF(J330&gt;0,"прибыль",IF(J330&lt;0,"убыток","ноль"))</f>
        <v>убыток</v>
      </c>
      <c r="L330" s="13" t="n">
        <f aca="false">IF(C330="",L329,IF(J330&lt;0,L329+1,0))</f>
        <v>1</v>
      </c>
      <c r="M330" s="14" t="n">
        <v>-76.46</v>
      </c>
      <c r="N330" s="9" t="n">
        <v>-11284.3</v>
      </c>
      <c r="O330" s="9" t="n">
        <v>1325880.8</v>
      </c>
    </row>
    <row r="331" customFormat="false" ht="15" hidden="false" customHeight="false" outlineLevel="0" collapsed="false">
      <c r="A331" s="6" t="n">
        <v>326</v>
      </c>
      <c r="B331" s="5" t="s">
        <v>288</v>
      </c>
      <c r="C331" s="5" t="s">
        <v>404</v>
      </c>
      <c r="D331" s="5" t="s">
        <v>405</v>
      </c>
      <c r="E331" s="5" t="s">
        <v>81</v>
      </c>
      <c r="F331" s="11" t="n">
        <v>3657.42</v>
      </c>
      <c r="G331" s="12" t="n">
        <v>62.1404</v>
      </c>
      <c r="H331" s="12" t="n">
        <v>61.9493</v>
      </c>
      <c r="J331" s="8" t="n">
        <v>0.18802</v>
      </c>
      <c r="K331" s="13" t="str">
        <f aca="false">IF(J331&gt;0,"прибыль",IF(J331&lt;0,"убыток","ноль"))</f>
        <v>прибыль</v>
      </c>
      <c r="L331" s="13" t="n">
        <f aca="false">IF(C331="",L330,IF(J331&lt;0,L330+1,0))</f>
        <v>0</v>
      </c>
      <c r="M331" s="14" t="n">
        <v>18.8</v>
      </c>
      <c r="N331" s="9" t="n">
        <v>687.65</v>
      </c>
      <c r="O331" s="9" t="n">
        <v>1326568.45</v>
      </c>
    </row>
    <row r="332" customFormat="false" ht="15" hidden="false" customHeight="false" outlineLevel="0" collapsed="false">
      <c r="A332" s="6" t="n">
        <v>327</v>
      </c>
      <c r="B332" s="5" t="s">
        <v>288</v>
      </c>
      <c r="C332" s="5" t="s">
        <v>405</v>
      </c>
      <c r="D332" s="5" t="s">
        <v>406</v>
      </c>
      <c r="E332" s="5" t="s">
        <v>81</v>
      </c>
      <c r="F332" s="11" t="n">
        <v>11477.22</v>
      </c>
      <c r="G332" s="12" t="n">
        <v>62.1404</v>
      </c>
      <c r="H332" s="12" t="n">
        <v>63.5681</v>
      </c>
      <c r="I332" s="5" t="s">
        <v>78</v>
      </c>
      <c r="J332" s="8" t="n">
        <v>-1.79457</v>
      </c>
      <c r="K332" s="13" t="str">
        <f aca="false">IF(J332&gt;0,"прибыль",IF(J332&lt;0,"убыток","ноль"))</f>
        <v>убыток</v>
      </c>
      <c r="L332" s="13" t="n">
        <f aca="false">IF(C332="",L331,IF(J332&lt;0,L331+1,0))</f>
        <v>1</v>
      </c>
      <c r="M332" s="14" t="n">
        <v>-179.46</v>
      </c>
      <c r="N332" s="9" t="n">
        <v>-20596.71</v>
      </c>
      <c r="O332" s="9" t="n">
        <v>1305971.73</v>
      </c>
    </row>
    <row r="333" customFormat="false" ht="15" hidden="false" customHeight="false" outlineLevel="0" collapsed="false">
      <c r="A333" s="6" t="n">
        <v>328</v>
      </c>
      <c r="B333" s="5" t="s">
        <v>288</v>
      </c>
      <c r="C333" s="5" t="s">
        <v>406</v>
      </c>
      <c r="D333" s="5" t="s">
        <v>407</v>
      </c>
      <c r="E333" s="5" t="s">
        <v>77</v>
      </c>
      <c r="F333" s="11" t="n">
        <v>0</v>
      </c>
      <c r="G333" s="12" t="n">
        <v>63.5681</v>
      </c>
      <c r="H333" s="12" t="n">
        <v>63.9422</v>
      </c>
      <c r="J333" s="8" t="n">
        <v>0.3709</v>
      </c>
      <c r="K333" s="13" t="str">
        <f aca="false">IF(J333&gt;0,"прибыль",IF(J333&lt;0,"убыток","ноль"))</f>
        <v>прибыль</v>
      </c>
      <c r="L333" s="13" t="n">
        <f aca="false">IF(C333="",L332,IF(J333&lt;0,L332+1,0))</f>
        <v>0</v>
      </c>
      <c r="M333" s="14" t="n">
        <v>37.09</v>
      </c>
      <c r="N333" s="9" t="n">
        <v>0</v>
      </c>
      <c r="O333" s="9" t="n">
        <v>1305971.73</v>
      </c>
    </row>
    <row r="334" customFormat="false" ht="15" hidden="false" customHeight="false" outlineLevel="0" collapsed="false">
      <c r="A334" s="6" t="n">
        <v>329</v>
      </c>
      <c r="B334" s="5" t="s">
        <v>288</v>
      </c>
      <c r="C334" s="5" t="s">
        <v>407</v>
      </c>
      <c r="D334" s="5" t="s">
        <v>408</v>
      </c>
      <c r="E334" s="5" t="s">
        <v>77</v>
      </c>
      <c r="F334" s="11" t="n">
        <v>2974.68</v>
      </c>
      <c r="G334" s="12" t="n">
        <v>63.5681</v>
      </c>
      <c r="H334" s="12" t="n">
        <v>70.4547</v>
      </c>
      <c r="I334" s="5" t="s">
        <v>78</v>
      </c>
      <c r="J334" s="8" t="n">
        <v>11.03703</v>
      </c>
      <c r="K334" s="13" t="str">
        <f aca="false">IF(J334&gt;0,"прибыль",IF(J334&lt;0,"убыток","ноль"))</f>
        <v>прибыль</v>
      </c>
      <c r="L334" s="13" t="n">
        <f aca="false">IF(C334="",L333,IF(J334&lt;0,L333+1,0))</f>
        <v>0</v>
      </c>
      <c r="M334" s="14" t="n">
        <v>1103.7</v>
      </c>
      <c r="N334" s="9" t="n">
        <v>32831.66</v>
      </c>
      <c r="O334" s="9" t="n">
        <v>1338803.39</v>
      </c>
    </row>
    <row r="335" customFormat="false" ht="15" hidden="false" customHeight="false" outlineLevel="0" collapsed="false">
      <c r="A335" s="6" t="n">
        <v>330</v>
      </c>
      <c r="B335" s="5" t="s">
        <v>288</v>
      </c>
      <c r="C335" s="5" t="s">
        <v>408</v>
      </c>
      <c r="D335" s="5" t="s">
        <v>409</v>
      </c>
      <c r="E335" s="5" t="s">
        <v>77</v>
      </c>
      <c r="F335" s="11" t="n">
        <v>2207.22</v>
      </c>
      <c r="G335" s="12" t="n">
        <v>59.4142</v>
      </c>
      <c r="H335" s="12" t="n">
        <v>105.4565</v>
      </c>
      <c r="I335" s="5" t="s">
        <v>78</v>
      </c>
      <c r="J335" s="8" t="n">
        <v>39.64204</v>
      </c>
      <c r="K335" s="13" t="str">
        <f aca="false">IF(J335&gt;0,"прибыль",IF(J335&lt;0,"убыток","ноль"))</f>
        <v>прибыль</v>
      </c>
      <c r="L335" s="13" t="n">
        <f aca="false">IF(C335="",L334,IF(J335&lt;0,L334+1,0))</f>
        <v>0</v>
      </c>
      <c r="M335" s="14" t="n">
        <v>3964.2</v>
      </c>
      <c r="N335" s="9" t="n">
        <v>87498.53</v>
      </c>
      <c r="O335" s="9" t="n">
        <v>1426301.92</v>
      </c>
    </row>
    <row r="336" customFormat="false" ht="15" hidden="false" customHeight="false" outlineLevel="0" collapsed="false">
      <c r="A336" s="6" t="n">
        <v>331</v>
      </c>
      <c r="B336" s="5" t="s">
        <v>288</v>
      </c>
      <c r="C336" s="5" t="s">
        <v>409</v>
      </c>
      <c r="D336" s="5" t="s">
        <v>410</v>
      </c>
      <c r="E336" s="5" t="s">
        <v>77</v>
      </c>
      <c r="F336" s="11" t="n">
        <v>1445.7</v>
      </c>
      <c r="G336" s="12" t="n">
        <v>65.8092</v>
      </c>
      <c r="H336" s="12" t="n">
        <v>100.9716</v>
      </c>
      <c r="J336" s="8" t="n">
        <v>35.15729</v>
      </c>
      <c r="K336" s="13" t="str">
        <f aca="false">IF(J336&gt;0,"прибыль",IF(J336&lt;0,"убыток","ноль"))</f>
        <v>прибыль</v>
      </c>
      <c r="L336" s="13" t="n">
        <f aca="false">IF(C336="",L335,IF(J336&lt;0,L335+1,0))</f>
        <v>0</v>
      </c>
      <c r="M336" s="14" t="n">
        <v>3515.73</v>
      </c>
      <c r="N336" s="9" t="n">
        <v>50827.02</v>
      </c>
      <c r="O336" s="9" t="n">
        <v>1477128.94</v>
      </c>
    </row>
    <row r="337" customFormat="false" ht="15" hidden="false" customHeight="false" outlineLevel="0" collapsed="false">
      <c r="A337" s="6" t="n">
        <v>332</v>
      </c>
      <c r="B337" s="5" t="s">
        <v>288</v>
      </c>
      <c r="C337" s="5" t="s">
        <v>410</v>
      </c>
      <c r="D337" s="5" t="s">
        <v>411</v>
      </c>
      <c r="E337" s="5" t="s">
        <v>77</v>
      </c>
      <c r="F337" s="11" t="n">
        <v>698.56</v>
      </c>
      <c r="G337" s="12" t="n">
        <v>65.8092</v>
      </c>
      <c r="H337" s="12" t="n">
        <v>103.702</v>
      </c>
      <c r="J337" s="8" t="n">
        <v>37.88753</v>
      </c>
      <c r="K337" s="13" t="str">
        <f aca="false">IF(J337&gt;0,"прибыль",IF(J337&lt;0,"убыток","ноль"))</f>
        <v>прибыль</v>
      </c>
      <c r="L337" s="13" t="n">
        <f aca="false">IF(C337="",L336,IF(J337&lt;0,L336+1,0))</f>
        <v>0</v>
      </c>
      <c r="M337" s="14" t="n">
        <v>3788.75</v>
      </c>
      <c r="N337" s="9" t="n">
        <v>26466.83</v>
      </c>
      <c r="O337" s="9" t="n">
        <v>1503595.76</v>
      </c>
    </row>
    <row r="338" customFormat="false" ht="15" hidden="false" customHeight="false" outlineLevel="0" collapsed="false">
      <c r="A338" s="6" t="n">
        <v>333</v>
      </c>
      <c r="B338" s="5" t="s">
        <v>288</v>
      </c>
      <c r="C338" s="5" t="s">
        <v>411</v>
      </c>
      <c r="D338" s="5" t="s">
        <v>412</v>
      </c>
      <c r="E338" s="5" t="s">
        <v>77</v>
      </c>
      <c r="F338" s="11" t="n">
        <v>2423.87</v>
      </c>
      <c r="G338" s="12" t="n">
        <v>65.8092</v>
      </c>
      <c r="H338" s="12" t="n">
        <v>101.8892</v>
      </c>
      <c r="I338" s="5" t="s">
        <v>78</v>
      </c>
      <c r="J338" s="8" t="n">
        <v>41.89027</v>
      </c>
      <c r="K338" s="13" t="str">
        <f aca="false">IF(J338&gt;0,"прибыль",IF(J338&lt;0,"убыток","ноль"))</f>
        <v>прибыль</v>
      </c>
      <c r="L338" s="13" t="n">
        <f aca="false">IF(C338="",L337,IF(J338&lt;0,L337+1,0))</f>
        <v>0</v>
      </c>
      <c r="M338" s="14" t="n">
        <v>4189.03</v>
      </c>
      <c r="N338" s="9" t="n">
        <v>101536.46</v>
      </c>
      <c r="O338" s="9" t="n">
        <v>1605132.22</v>
      </c>
    </row>
    <row r="339" customFormat="false" ht="15" hidden="false" customHeight="false" outlineLevel="0" collapsed="false">
      <c r="A339" s="6" t="n">
        <v>334</v>
      </c>
      <c r="B339" s="5" t="s">
        <v>288</v>
      </c>
      <c r="C339" s="5" t="s">
        <v>412</v>
      </c>
      <c r="D339" s="5" t="s">
        <v>413</v>
      </c>
      <c r="E339" s="5" t="s">
        <v>81</v>
      </c>
      <c r="F339" s="11" t="n">
        <v>2443.63</v>
      </c>
      <c r="G339" s="12" t="n">
        <v>101.8892</v>
      </c>
      <c r="H339" s="12" t="n">
        <v>105.6751</v>
      </c>
      <c r="J339" s="8" t="n">
        <v>-3.79676</v>
      </c>
      <c r="K339" s="13" t="str">
        <f aca="false">IF(J339&gt;0,"прибыль",IF(J339&lt;0,"убыток","ноль"))</f>
        <v>убыток</v>
      </c>
      <c r="L339" s="13" t="n">
        <f aca="false">IF(C339="",L338,IF(J339&lt;0,L338+1,0))</f>
        <v>1</v>
      </c>
      <c r="M339" s="14" t="n">
        <v>-379.68</v>
      </c>
      <c r="N339" s="9" t="n">
        <v>-9277.86</v>
      </c>
      <c r="O339" s="9" t="n">
        <v>1595854.36</v>
      </c>
    </row>
    <row r="340" customFormat="false" ht="15" hidden="false" customHeight="false" outlineLevel="0" collapsed="false">
      <c r="A340" s="6" t="n">
        <v>335</v>
      </c>
      <c r="B340" s="5" t="s">
        <v>288</v>
      </c>
      <c r="C340" s="5" t="s">
        <v>413</v>
      </c>
      <c r="D340" s="5" t="s">
        <v>414</v>
      </c>
      <c r="E340" s="5" t="s">
        <v>77</v>
      </c>
      <c r="F340" s="11" t="n">
        <v>2558.8</v>
      </c>
      <c r="G340" s="12" t="n">
        <v>105.6751</v>
      </c>
      <c r="H340" s="12" t="n">
        <v>106.2508</v>
      </c>
      <c r="J340" s="8" t="n">
        <v>0.56528</v>
      </c>
      <c r="K340" s="13" t="str">
        <f aca="false">IF(J340&gt;0,"прибыль",IF(J340&lt;0,"убыток","ноль"))</f>
        <v>прибыль</v>
      </c>
      <c r="L340" s="13" t="n">
        <f aca="false">IF(C340="",L339,IF(J340&lt;0,L339+1,0))</f>
        <v>0</v>
      </c>
      <c r="M340" s="14" t="n">
        <v>56.53</v>
      </c>
      <c r="N340" s="9" t="n">
        <v>1446.44</v>
      </c>
      <c r="O340" s="9" t="n">
        <v>1597300.79</v>
      </c>
    </row>
    <row r="341" customFormat="false" ht="15" hidden="false" customHeight="false" outlineLevel="0" collapsed="false">
      <c r="A341" s="6" t="n">
        <v>336</v>
      </c>
      <c r="B341" s="5" t="s">
        <v>288</v>
      </c>
      <c r="C341" s="5" t="s">
        <v>414</v>
      </c>
      <c r="D341" s="5" t="s">
        <v>415</v>
      </c>
      <c r="E341" s="5" t="s">
        <v>81</v>
      </c>
      <c r="F341" s="11" t="n">
        <v>2458.71</v>
      </c>
      <c r="G341" s="12" t="n">
        <v>106.2508</v>
      </c>
      <c r="H341" s="12" t="n">
        <v>111.3982</v>
      </c>
      <c r="J341" s="8" t="n">
        <v>-5.15867</v>
      </c>
      <c r="K341" s="13" t="str">
        <f aca="false">IF(J341&gt;0,"прибыль",IF(J341&lt;0,"убыток","ноль"))</f>
        <v>убыток</v>
      </c>
      <c r="L341" s="13" t="n">
        <f aca="false">IF(C341="",L340,IF(J341&lt;0,L340+1,0))</f>
        <v>1</v>
      </c>
      <c r="M341" s="14" t="n">
        <v>-515.87</v>
      </c>
      <c r="N341" s="9" t="n">
        <v>-12683.67</v>
      </c>
      <c r="O341" s="9" t="n">
        <v>1584617.12</v>
      </c>
    </row>
    <row r="342" customFormat="false" ht="15" hidden="false" customHeight="false" outlineLevel="0" collapsed="false">
      <c r="A342" s="6" t="n">
        <v>337</v>
      </c>
      <c r="B342" s="5" t="s">
        <v>288</v>
      </c>
      <c r="C342" s="5" t="s">
        <v>415</v>
      </c>
      <c r="D342" s="5" t="s">
        <v>416</v>
      </c>
      <c r="E342" s="5" t="s">
        <v>77</v>
      </c>
      <c r="F342" s="11" t="n">
        <v>3075.37</v>
      </c>
      <c r="G342" s="12" t="n">
        <v>110.3609</v>
      </c>
      <c r="H342" s="12" t="n">
        <v>97.8403</v>
      </c>
      <c r="J342" s="8" t="n">
        <v>-12.5317</v>
      </c>
      <c r="K342" s="13" t="str">
        <f aca="false">IF(J342&gt;0,"прибыль",IF(J342&lt;0,"убыток","ноль"))</f>
        <v>убыток</v>
      </c>
      <c r="L342" s="13" t="n">
        <f aca="false">IF(C342="",L341,IF(J342&lt;0,L341+1,0))</f>
        <v>2</v>
      </c>
      <c r="M342" s="14" t="n">
        <v>-1253.17</v>
      </c>
      <c r="N342" s="9" t="n">
        <v>-38539.55</v>
      </c>
      <c r="O342" s="9" t="n">
        <v>1546077.57</v>
      </c>
    </row>
    <row r="343" customFormat="false" ht="15" hidden="false" customHeight="false" outlineLevel="0" collapsed="false">
      <c r="A343" s="6" t="n">
        <v>338</v>
      </c>
      <c r="B343" s="5" t="s">
        <v>288</v>
      </c>
      <c r="C343" s="5" t="s">
        <v>416</v>
      </c>
      <c r="D343" s="5" t="s">
        <v>417</v>
      </c>
      <c r="E343" s="5" t="s">
        <v>81</v>
      </c>
      <c r="F343" s="11" t="n">
        <v>3302.92</v>
      </c>
      <c r="G343" s="12" t="n">
        <v>97.8403</v>
      </c>
      <c r="H343" s="12" t="n">
        <v>98.6793</v>
      </c>
      <c r="J343" s="8" t="n">
        <v>-0.84852</v>
      </c>
      <c r="K343" s="13" t="str">
        <f aca="false">IF(J343&gt;0,"прибыль",IF(J343&lt;0,"убыток","ноль"))</f>
        <v>убыток</v>
      </c>
      <c r="L343" s="13" t="n">
        <f aca="false">IF(C343="",L342,IF(J343&lt;0,L342+1,0))</f>
        <v>3</v>
      </c>
      <c r="M343" s="14" t="n">
        <v>-84.85</v>
      </c>
      <c r="N343" s="9" t="n">
        <v>-2802.61</v>
      </c>
      <c r="O343" s="9" t="n">
        <v>1543274.96</v>
      </c>
    </row>
    <row r="344" customFormat="false" ht="15" hidden="false" customHeight="false" outlineLevel="0" collapsed="false">
      <c r="A344" s="6" t="n">
        <v>339</v>
      </c>
      <c r="B344" s="5" t="s">
        <v>288</v>
      </c>
      <c r="C344" s="5" t="s">
        <v>417</v>
      </c>
      <c r="D344" s="5" t="s">
        <v>418</v>
      </c>
      <c r="E344" s="5" t="s">
        <v>77</v>
      </c>
      <c r="F344" s="11" t="n">
        <v>3065.22</v>
      </c>
      <c r="G344" s="12" t="n">
        <v>98.6793</v>
      </c>
      <c r="H344" s="12" t="n">
        <v>97.1774</v>
      </c>
      <c r="J344" s="8" t="n">
        <v>-1.5117</v>
      </c>
      <c r="K344" s="13" t="str">
        <f aca="false">IF(J344&gt;0,"прибыль",IF(J344&lt;0,"убыток","ноль"))</f>
        <v>убыток</v>
      </c>
      <c r="L344" s="13" t="n">
        <f aca="false">IF(C344="",L343,IF(J344&lt;0,L343+1,0))</f>
        <v>4</v>
      </c>
      <c r="M344" s="14" t="n">
        <v>-151.17</v>
      </c>
      <c r="N344" s="9" t="n">
        <v>-4633.69</v>
      </c>
      <c r="O344" s="9" t="n">
        <v>1538641.27</v>
      </c>
    </row>
    <row r="345" customFormat="false" ht="15" hidden="false" customHeight="false" outlineLevel="0" collapsed="false">
      <c r="A345" s="6" t="n">
        <v>340</v>
      </c>
      <c r="B345" s="5" t="s">
        <v>288</v>
      </c>
      <c r="C345" s="5" t="s">
        <v>418</v>
      </c>
      <c r="D345" s="5" t="s">
        <v>419</v>
      </c>
      <c r="E345" s="5" t="s">
        <v>81</v>
      </c>
      <c r="F345" s="11" t="n">
        <v>3108.04</v>
      </c>
      <c r="G345" s="12" t="n">
        <v>97.1774</v>
      </c>
      <c r="H345" s="12" t="n">
        <v>92.0745</v>
      </c>
      <c r="J345" s="8" t="n">
        <v>5.09287</v>
      </c>
      <c r="K345" s="13" t="str">
        <f aca="false">IF(J345&gt;0,"прибыль",IF(J345&lt;0,"убыток","ноль"))</f>
        <v>прибыль</v>
      </c>
      <c r="L345" s="13" t="n">
        <f aca="false">IF(C345="",L344,IF(J345&lt;0,L344+1,0))</f>
        <v>0</v>
      </c>
      <c r="M345" s="14" t="n">
        <v>509.29</v>
      </c>
      <c r="N345" s="9" t="n">
        <v>15828.83</v>
      </c>
      <c r="O345" s="9" t="n">
        <v>1554470.1</v>
      </c>
    </row>
    <row r="346" customFormat="false" ht="15" hidden="false" customHeight="false" outlineLevel="0" collapsed="false">
      <c r="A346" s="6" t="n">
        <v>341</v>
      </c>
      <c r="B346" s="5" t="s">
        <v>288</v>
      </c>
      <c r="C346" s="5" t="s">
        <v>419</v>
      </c>
      <c r="D346" s="5" t="s">
        <v>420</v>
      </c>
      <c r="E346" s="5" t="s">
        <v>77</v>
      </c>
      <c r="F346" s="11" t="n">
        <v>3673.57</v>
      </c>
      <c r="G346" s="12" t="n">
        <v>92.0745</v>
      </c>
      <c r="H346" s="12" t="n">
        <v>91.6874</v>
      </c>
      <c r="J346" s="8" t="n">
        <v>-0.39633</v>
      </c>
      <c r="K346" s="13" t="str">
        <f aca="false">IF(J346&gt;0,"прибыль",IF(J346&lt;0,"убыток","ноль"))</f>
        <v>убыток</v>
      </c>
      <c r="L346" s="13" t="n">
        <f aca="false">IF(C346="",L345,IF(J346&lt;0,L345+1,0))</f>
        <v>1</v>
      </c>
      <c r="M346" s="14" t="n">
        <v>-39.63</v>
      </c>
      <c r="N346" s="9" t="n">
        <v>-1455.94</v>
      </c>
      <c r="O346" s="9" t="n">
        <v>1553014.16</v>
      </c>
    </row>
    <row r="347" customFormat="false" ht="15" hidden="false" customHeight="false" outlineLevel="0" collapsed="false">
      <c r="A347" s="6" t="n">
        <v>342</v>
      </c>
      <c r="B347" s="5" t="s">
        <v>288</v>
      </c>
      <c r="C347" s="5" t="s">
        <v>420</v>
      </c>
      <c r="D347" s="5" t="s">
        <v>421</v>
      </c>
      <c r="E347" s="5" t="s">
        <v>81</v>
      </c>
      <c r="F347" s="11" t="n">
        <v>1226.69</v>
      </c>
      <c r="G347" s="12" t="n">
        <v>87.2266</v>
      </c>
      <c r="H347" s="12" t="n">
        <v>76.6711</v>
      </c>
      <c r="I347" s="5" t="s">
        <v>78</v>
      </c>
      <c r="J347" s="8" t="n">
        <v>11.38734</v>
      </c>
      <c r="K347" s="13" t="str">
        <f aca="false">IF(J347&gt;0,"прибыль",IF(J347&lt;0,"убыток","ноль"))</f>
        <v>прибыль</v>
      </c>
      <c r="L347" s="13" t="n">
        <f aca="false">IF(C347="",L346,IF(J347&lt;0,L346+1,0))</f>
        <v>0</v>
      </c>
      <c r="M347" s="14" t="n">
        <v>1138.73</v>
      </c>
      <c r="N347" s="9" t="n">
        <v>13968.74</v>
      </c>
      <c r="O347" s="9" t="n">
        <v>1566982.9</v>
      </c>
    </row>
    <row r="348" customFormat="false" ht="15" hidden="false" customHeight="false" outlineLevel="0" collapsed="false">
      <c r="A348" s="6" t="n">
        <v>343</v>
      </c>
      <c r="B348" s="5" t="s">
        <v>288</v>
      </c>
      <c r="C348" s="5" t="s">
        <v>421</v>
      </c>
      <c r="D348" s="5" t="s">
        <v>422</v>
      </c>
      <c r="E348" s="5" t="s">
        <v>81</v>
      </c>
      <c r="F348" s="11" t="n">
        <v>4764.72</v>
      </c>
      <c r="G348" s="12" t="n">
        <v>88.0698</v>
      </c>
      <c r="H348" s="12" t="n">
        <v>92.4484</v>
      </c>
      <c r="J348" s="8" t="n">
        <v>-4.38735</v>
      </c>
      <c r="K348" s="13" t="str">
        <f aca="false">IF(J348&gt;0,"прибыль",IF(J348&lt;0,"убыток","ноль"))</f>
        <v>убыток</v>
      </c>
      <c r="L348" s="13" t="n">
        <f aca="false">IF(C348="",L347,IF(J348&lt;0,L347+1,0))</f>
        <v>1</v>
      </c>
      <c r="M348" s="14" t="n">
        <v>-438.73</v>
      </c>
      <c r="N348" s="9" t="n">
        <v>-20904.5</v>
      </c>
      <c r="O348" s="9" t="n">
        <v>1546078.4</v>
      </c>
    </row>
    <row r="349" customFormat="false" ht="15" hidden="false" customHeight="false" outlineLevel="0" collapsed="false">
      <c r="A349" s="6" t="n">
        <v>344</v>
      </c>
      <c r="B349" s="5" t="s">
        <v>288</v>
      </c>
      <c r="C349" s="5" t="s">
        <v>422</v>
      </c>
      <c r="D349" s="5" t="s">
        <v>423</v>
      </c>
      <c r="E349" s="5" t="s">
        <v>77</v>
      </c>
      <c r="F349" s="11" t="n">
        <v>908.76</v>
      </c>
      <c r="G349" s="12" t="n">
        <v>92.4484</v>
      </c>
      <c r="H349" s="12" t="n">
        <v>97.7417</v>
      </c>
      <c r="J349" s="8" t="n">
        <v>5.28841</v>
      </c>
      <c r="K349" s="13" t="str">
        <f aca="false">IF(J349&gt;0,"прибыль",IF(J349&lt;0,"убыток","ноль"))</f>
        <v>прибыль</v>
      </c>
      <c r="L349" s="13" t="n">
        <f aca="false">IF(C349="",L348,IF(J349&lt;0,L348+1,0))</f>
        <v>0</v>
      </c>
      <c r="M349" s="14" t="n">
        <v>528.84</v>
      </c>
      <c r="N349" s="9" t="n">
        <v>4805.88</v>
      </c>
      <c r="O349" s="9" t="n">
        <v>1550884.29</v>
      </c>
    </row>
    <row r="350" customFormat="false" ht="15" hidden="false" customHeight="false" outlineLevel="0" collapsed="false">
      <c r="A350" s="6" t="n">
        <v>345</v>
      </c>
      <c r="B350" s="5" t="s">
        <v>288</v>
      </c>
      <c r="C350" s="5" t="s">
        <v>423</v>
      </c>
      <c r="D350" s="5" t="s">
        <v>424</v>
      </c>
      <c r="E350" s="5" t="s">
        <v>77</v>
      </c>
      <c r="F350" s="11" t="n">
        <v>729.6</v>
      </c>
      <c r="G350" s="12" t="n">
        <v>92.4484</v>
      </c>
      <c r="H350" s="12" t="n">
        <v>83.6583</v>
      </c>
      <c r="I350" s="5" t="s">
        <v>78</v>
      </c>
      <c r="J350" s="8" t="n">
        <v>-3.98262</v>
      </c>
      <c r="K350" s="13" t="str">
        <f aca="false">IF(J350&gt;0,"прибыль",IF(J350&lt;0,"убыток","ноль"))</f>
        <v>убыток</v>
      </c>
      <c r="L350" s="13" t="n">
        <f aca="false">IF(C350="",L349,IF(J350&lt;0,L349+1,0))</f>
        <v>1</v>
      </c>
      <c r="M350" s="14" t="n">
        <v>-398.26</v>
      </c>
      <c r="N350" s="9" t="n">
        <v>-2905.7</v>
      </c>
      <c r="O350" s="9" t="n">
        <v>1547978.59</v>
      </c>
    </row>
    <row r="351" customFormat="false" ht="15" hidden="false" customHeight="false" outlineLevel="0" collapsed="false">
      <c r="A351" s="6" t="n">
        <v>346</v>
      </c>
      <c r="B351" s="5" t="s">
        <v>288</v>
      </c>
      <c r="C351" s="5" t="s">
        <v>424</v>
      </c>
      <c r="D351" s="5" t="s">
        <v>425</v>
      </c>
      <c r="E351" s="5" t="s">
        <v>77</v>
      </c>
      <c r="F351" s="11" t="n">
        <v>4559.77</v>
      </c>
      <c r="G351" s="12" t="n">
        <v>89.2471</v>
      </c>
      <c r="H351" s="12" t="n">
        <v>96.8777</v>
      </c>
      <c r="I351" s="5" t="s">
        <v>78</v>
      </c>
      <c r="J351" s="8" t="n">
        <v>5.52995</v>
      </c>
      <c r="K351" s="13" t="str">
        <f aca="false">IF(J351&gt;0,"прибыль",IF(J351&lt;0,"убыток","ноль"))</f>
        <v>прибыль</v>
      </c>
      <c r="L351" s="13" t="n">
        <f aca="false">IF(C351="",L350,IF(J351&lt;0,L350+1,0))</f>
        <v>0</v>
      </c>
      <c r="M351" s="14" t="n">
        <v>553</v>
      </c>
      <c r="N351" s="9" t="n">
        <v>25215.33</v>
      </c>
      <c r="O351" s="9" t="n">
        <v>1573193.91</v>
      </c>
    </row>
    <row r="352" customFormat="false" ht="15" hidden="false" customHeight="false" outlineLevel="0" collapsed="false">
      <c r="A352" s="6" t="n">
        <v>347</v>
      </c>
      <c r="B352" s="5" t="s">
        <v>288</v>
      </c>
      <c r="C352" s="5" t="s">
        <v>425</v>
      </c>
      <c r="D352" s="5" t="s">
        <v>426</v>
      </c>
      <c r="E352" s="5" t="s">
        <v>81</v>
      </c>
      <c r="F352" s="11" t="n">
        <v>5018.14</v>
      </c>
      <c r="G352" s="12" t="n">
        <v>96.8777</v>
      </c>
      <c r="H352" s="12" t="n">
        <v>97.2478</v>
      </c>
      <c r="J352" s="8" t="n">
        <v>-0.3801</v>
      </c>
      <c r="K352" s="13" t="str">
        <f aca="false">IF(J352&gt;0,"прибыль",IF(J352&lt;0,"убыток","ноль"))</f>
        <v>убыток</v>
      </c>
      <c r="L352" s="13" t="n">
        <f aca="false">IF(C352="",L351,IF(J352&lt;0,L351+1,0))</f>
        <v>1</v>
      </c>
      <c r="M352" s="14" t="n">
        <v>-38.01</v>
      </c>
      <c r="N352" s="9" t="n">
        <v>-1907.41</v>
      </c>
      <c r="O352" s="9" t="n">
        <v>1571286.5</v>
      </c>
    </row>
    <row r="353" customFormat="false" ht="15" hidden="false" customHeight="false" outlineLevel="0" collapsed="false">
      <c r="A353" s="6" t="n">
        <v>348</v>
      </c>
      <c r="B353" s="5" t="s">
        <v>288</v>
      </c>
      <c r="C353" s="5" t="s">
        <v>426</v>
      </c>
      <c r="D353" s="5" t="s">
        <v>427</v>
      </c>
      <c r="E353" s="5" t="s">
        <v>77</v>
      </c>
      <c r="F353" s="11" t="n">
        <v>1741.72</v>
      </c>
      <c r="G353" s="12" t="n">
        <v>97.2478</v>
      </c>
      <c r="H353" s="12" t="n">
        <v>108.4954</v>
      </c>
      <c r="J353" s="8" t="n">
        <v>11.24215</v>
      </c>
      <c r="K353" s="13" t="str">
        <f aca="false">IF(J353&gt;0,"прибыль",IF(J353&lt;0,"убыток","ноль"))</f>
        <v>прибыль</v>
      </c>
      <c r="L353" s="13" t="n">
        <f aca="false">IF(C353="",L352,IF(J353&lt;0,L352+1,0))</f>
        <v>0</v>
      </c>
      <c r="M353" s="14" t="n">
        <v>1124.21</v>
      </c>
      <c r="N353" s="9" t="n">
        <v>19580.69</v>
      </c>
      <c r="O353" s="9" t="n">
        <v>1590867.19</v>
      </c>
    </row>
    <row r="354" customFormat="false" ht="15" hidden="false" customHeight="false" outlineLevel="0" collapsed="false">
      <c r="A354" s="6" t="n">
        <v>349</v>
      </c>
      <c r="B354" s="5" t="s">
        <v>288</v>
      </c>
      <c r="D354" s="5" t="s">
        <v>428</v>
      </c>
      <c r="E354" s="5" t="s">
        <v>77</v>
      </c>
      <c r="F354" s="11" t="n">
        <v>3566</v>
      </c>
      <c r="H354" s="12" t="n">
        <v>102.44</v>
      </c>
      <c r="J354" s="8" t="n">
        <v>6.34756</v>
      </c>
      <c r="K354" s="13" t="str">
        <f aca="false">IF(J354&gt;0,"прибыль",IF(J354&lt;0,"убыток","ноль"))</f>
        <v>прибыль</v>
      </c>
      <c r="L354" s="13" t="n">
        <f aca="false">IF(C354="",L353,IF(J354&lt;0,L353+1,0))</f>
        <v>0</v>
      </c>
      <c r="M354" s="14" t="n">
        <v>634.76</v>
      </c>
      <c r="N354" s="9" t="n">
        <v>22635.39</v>
      </c>
      <c r="O354" s="9" t="n">
        <v>1613502.58</v>
      </c>
      <c r="P354" s="5" t="s">
        <v>429</v>
      </c>
    </row>
  </sheetData>
  <autoFilter ref="A5:P3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430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431</v>
      </c>
      <c r="D6" s="5" t="s">
        <v>432</v>
      </c>
      <c r="E6" s="5" t="s">
        <v>81</v>
      </c>
      <c r="F6" s="11" t="n">
        <v>44555.81</v>
      </c>
      <c r="G6" s="12" t="n">
        <v>1.6668</v>
      </c>
      <c r="H6" s="12" t="n">
        <v>1.7117</v>
      </c>
      <c r="I6" s="5" t="s">
        <v>78</v>
      </c>
      <c r="J6" s="8" t="n">
        <v>0.0413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41.3</v>
      </c>
      <c r="N6" s="9" t="n">
        <v>1840.33</v>
      </c>
      <c r="O6" s="9" t="n">
        <v>1840.33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432</v>
      </c>
      <c r="D7" s="5" t="s">
        <v>433</v>
      </c>
      <c r="E7" s="5" t="s">
        <v>81</v>
      </c>
      <c r="F7" s="11" t="n">
        <v>137869.39</v>
      </c>
      <c r="G7" s="12" t="n">
        <v>1.7534</v>
      </c>
      <c r="H7" s="12" t="n">
        <v>2.1054</v>
      </c>
      <c r="I7" s="5" t="s">
        <v>78</v>
      </c>
      <c r="J7" s="8" t="n">
        <v>-0.2508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1</v>
      </c>
      <c r="M7" s="14" t="n">
        <v>-250.8</v>
      </c>
      <c r="N7" s="9" t="n">
        <v>-34578.25</v>
      </c>
      <c r="O7" s="9" t="n">
        <v>-32737.92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433</v>
      </c>
      <c r="D8" s="5" t="s">
        <v>278</v>
      </c>
      <c r="E8" s="5" t="s">
        <v>77</v>
      </c>
      <c r="F8" s="11" t="n">
        <v>121044.81</v>
      </c>
      <c r="G8" s="12" t="n">
        <v>2.1877</v>
      </c>
      <c r="H8" s="12" t="n">
        <v>2.4975</v>
      </c>
      <c r="I8" s="5" t="s">
        <v>78</v>
      </c>
      <c r="J8" s="8" t="n">
        <v>0.08912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89.12</v>
      </c>
      <c r="N8" s="9" t="n">
        <v>10787.62</v>
      </c>
      <c r="O8" s="9" t="n">
        <v>-21950.3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278</v>
      </c>
      <c r="D9" s="5" t="s">
        <v>279</v>
      </c>
      <c r="E9" s="5" t="s">
        <v>81</v>
      </c>
      <c r="F9" s="11" t="n">
        <v>123238.84</v>
      </c>
      <c r="G9" s="12" t="n">
        <v>2.4975</v>
      </c>
      <c r="H9" s="12" t="n">
        <v>2.4824</v>
      </c>
      <c r="J9" s="8" t="n">
        <v>0.01491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14.91</v>
      </c>
      <c r="N9" s="9" t="n">
        <v>1837.04</v>
      </c>
      <c r="O9" s="9" t="n">
        <v>-20113.25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279</v>
      </c>
      <c r="D10" s="5" t="s">
        <v>434</v>
      </c>
      <c r="E10" s="5" t="s">
        <v>77</v>
      </c>
      <c r="F10" s="11" t="n">
        <v>126497.72</v>
      </c>
      <c r="G10" s="12" t="n">
        <v>2.4824</v>
      </c>
      <c r="H10" s="12" t="n">
        <v>2.3535</v>
      </c>
      <c r="J10" s="8" t="n">
        <v>-0.12907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1</v>
      </c>
      <c r="M10" s="14" t="n">
        <v>-129.07</v>
      </c>
      <c r="N10" s="9" t="n">
        <v>-16327.38</v>
      </c>
      <c r="O10" s="9" t="n">
        <v>-36440.64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434</v>
      </c>
      <c r="D11" s="5" t="s">
        <v>435</v>
      </c>
      <c r="E11" s="5" t="s">
        <v>81</v>
      </c>
      <c r="F11" s="11" t="n">
        <v>121122.88</v>
      </c>
      <c r="G11" s="12" t="n">
        <v>2.3535</v>
      </c>
      <c r="H11" s="12" t="n">
        <v>2.4016</v>
      </c>
      <c r="J11" s="8" t="n">
        <v>-0.04829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2</v>
      </c>
      <c r="M11" s="14" t="n">
        <v>-48.29</v>
      </c>
      <c r="N11" s="9" t="n">
        <v>-5849.55</v>
      </c>
      <c r="O11" s="9" t="n">
        <v>-42290.18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435</v>
      </c>
      <c r="D12" s="5" t="s">
        <v>436</v>
      </c>
      <c r="E12" s="5" t="s">
        <v>77</v>
      </c>
      <c r="F12" s="11" t="n">
        <v>118755.88</v>
      </c>
      <c r="G12" s="12" t="n">
        <v>2.4016</v>
      </c>
      <c r="H12" s="12" t="n">
        <v>2.3075</v>
      </c>
      <c r="J12" s="8" t="n">
        <v>-0.0943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3</v>
      </c>
      <c r="M12" s="14" t="n">
        <v>-94.3</v>
      </c>
      <c r="N12" s="9" t="n">
        <v>-11198.3</v>
      </c>
      <c r="O12" s="9" t="n">
        <v>-53488.48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436</v>
      </c>
      <c r="D13" s="5" t="s">
        <v>437</v>
      </c>
      <c r="E13" s="5" t="s">
        <v>81</v>
      </c>
      <c r="F13" s="11" t="n">
        <v>0</v>
      </c>
      <c r="G13" s="12" t="n">
        <v>2.3075</v>
      </c>
      <c r="H13" s="12" t="n">
        <v>2.324</v>
      </c>
      <c r="J13" s="8" t="n">
        <v>-0.01662</v>
      </c>
      <c r="K13" s="13" t="str">
        <f aca="false">IF(J13&gt;0,"прибыль",IF(J13&lt;0,"убыток","ноль"))</f>
        <v>убыток</v>
      </c>
      <c r="L13" s="13" t="n">
        <f aca="false">IF(C13="",L12,IF(J13&lt;0,L12+1,0))</f>
        <v>4</v>
      </c>
      <c r="M13" s="14" t="n">
        <v>-16.62</v>
      </c>
      <c r="N13" s="9" t="n">
        <v>0</v>
      </c>
      <c r="O13" s="9" t="n">
        <v>-53488.48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437</v>
      </c>
      <c r="D14" s="5" t="s">
        <v>438</v>
      </c>
      <c r="E14" s="5" t="s">
        <v>81</v>
      </c>
      <c r="F14" s="11" t="n">
        <v>120797.98</v>
      </c>
      <c r="G14" s="12" t="n">
        <v>2.3075</v>
      </c>
      <c r="H14" s="12" t="n">
        <v>2.2064</v>
      </c>
      <c r="J14" s="8" t="n">
        <v>0.10095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100.95</v>
      </c>
      <c r="N14" s="9" t="n">
        <v>12194.17</v>
      </c>
      <c r="O14" s="9" t="n">
        <v>-41294.31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438</v>
      </c>
      <c r="D15" s="5" t="s">
        <v>439</v>
      </c>
      <c r="E15" s="5" t="s">
        <v>77</v>
      </c>
      <c r="F15" s="11" t="n">
        <v>68188.37</v>
      </c>
      <c r="G15" s="12" t="n">
        <v>2.2064</v>
      </c>
      <c r="H15" s="12" t="n">
        <v>2.1926</v>
      </c>
      <c r="J15" s="8" t="n">
        <v>-0.014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1</v>
      </c>
      <c r="M15" s="14" t="n">
        <v>-14</v>
      </c>
      <c r="N15" s="9" t="n">
        <v>-954.78</v>
      </c>
      <c r="O15" s="9" t="n">
        <v>-42249.09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439</v>
      </c>
      <c r="D16" s="5" t="s">
        <v>440</v>
      </c>
      <c r="E16" s="5" t="s">
        <v>81</v>
      </c>
      <c r="F16" s="11" t="n">
        <v>0</v>
      </c>
      <c r="G16" s="12" t="n">
        <v>2.1926</v>
      </c>
      <c r="H16" s="12" t="n">
        <v>2.1452</v>
      </c>
      <c r="J16" s="8" t="n">
        <v>0.04731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47.31</v>
      </c>
      <c r="N16" s="9" t="n">
        <v>0</v>
      </c>
      <c r="O16" s="9" t="n">
        <v>-42249.09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440</v>
      </c>
      <c r="D17" s="5" t="s">
        <v>441</v>
      </c>
      <c r="E17" s="5" t="s">
        <v>81</v>
      </c>
      <c r="F17" s="11" t="n">
        <v>52905.68</v>
      </c>
      <c r="G17" s="12" t="n">
        <v>2.1926</v>
      </c>
      <c r="H17" s="12" t="n">
        <v>2.9204</v>
      </c>
      <c r="I17" s="5" t="s">
        <v>78</v>
      </c>
      <c r="J17" s="8" t="n">
        <v>-0.08202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1</v>
      </c>
      <c r="M17" s="14" t="n">
        <v>-82.02</v>
      </c>
      <c r="N17" s="9" t="n">
        <v>-4339.35</v>
      </c>
      <c r="O17" s="9" t="n">
        <v>-46588.44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441</v>
      </c>
      <c r="D18" s="5" t="s">
        <v>283</v>
      </c>
      <c r="E18" s="5" t="s">
        <v>77</v>
      </c>
      <c r="F18" s="11" t="n">
        <v>79464.74</v>
      </c>
      <c r="G18" s="12" t="n">
        <v>2.9642</v>
      </c>
      <c r="H18" s="12" t="n">
        <v>2.8935</v>
      </c>
      <c r="I18" s="5" t="s">
        <v>78</v>
      </c>
      <c r="J18" s="8" t="n">
        <v>-0.33618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2</v>
      </c>
      <c r="M18" s="14" t="n">
        <v>-336.18</v>
      </c>
      <c r="N18" s="9" t="n">
        <v>-26714.12</v>
      </c>
      <c r="O18" s="9" t="n">
        <v>-73302.56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283</v>
      </c>
      <c r="D19" s="5" t="s">
        <v>442</v>
      </c>
      <c r="E19" s="5" t="s">
        <v>81</v>
      </c>
      <c r="F19" s="11" t="n">
        <v>99387.62</v>
      </c>
      <c r="G19" s="12" t="n">
        <v>2.8935</v>
      </c>
      <c r="H19" s="12" t="n">
        <v>2.9865</v>
      </c>
      <c r="J19" s="8" t="n">
        <v>-0.09333</v>
      </c>
      <c r="K19" s="13" t="str">
        <f aca="false">IF(J19&gt;0,"прибыль",IF(J19&lt;0,"убыток","ноль"))</f>
        <v>убыток</v>
      </c>
      <c r="L19" s="13" t="n">
        <f aca="false">IF(C19="",L18,IF(J19&lt;0,L18+1,0))</f>
        <v>3</v>
      </c>
      <c r="M19" s="14" t="n">
        <v>-93.33</v>
      </c>
      <c r="N19" s="9" t="n">
        <v>-9276.32</v>
      </c>
      <c r="O19" s="9" t="n">
        <v>-82578.88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442</v>
      </c>
      <c r="D20" s="5" t="s">
        <v>443</v>
      </c>
      <c r="E20" s="5" t="s">
        <v>77</v>
      </c>
      <c r="F20" s="11" t="n">
        <v>99541.6</v>
      </c>
      <c r="G20" s="12" t="n">
        <v>2.9865</v>
      </c>
      <c r="H20" s="12" t="n">
        <v>2.6841</v>
      </c>
      <c r="J20" s="8" t="n">
        <v>-0.30263</v>
      </c>
      <c r="K20" s="13" t="str">
        <f aca="false">IF(J20&gt;0,"прибыль",IF(J20&lt;0,"убыток","ноль"))</f>
        <v>убыток</v>
      </c>
      <c r="L20" s="13" t="n">
        <f aca="false">IF(C20="",L19,IF(J20&lt;0,L19+1,0))</f>
        <v>4</v>
      </c>
      <c r="M20" s="14" t="n">
        <v>-302.63</v>
      </c>
      <c r="N20" s="9" t="n">
        <v>-30124.48</v>
      </c>
      <c r="O20" s="9" t="n">
        <v>-112703.36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443</v>
      </c>
      <c r="D21" s="5" t="s">
        <v>444</v>
      </c>
      <c r="E21" s="5" t="s">
        <v>81</v>
      </c>
      <c r="F21" s="11" t="n">
        <v>90661.42</v>
      </c>
      <c r="G21" s="12" t="n">
        <v>2.6841</v>
      </c>
      <c r="H21" s="12" t="n">
        <v>2.7796</v>
      </c>
      <c r="J21" s="8" t="n">
        <v>-0.09575</v>
      </c>
      <c r="K21" s="13" t="str">
        <f aca="false">IF(J21&gt;0,"прибыль",IF(J21&lt;0,"убыток","ноль"))</f>
        <v>убыток</v>
      </c>
      <c r="L21" s="13" t="n">
        <f aca="false">IF(C21="",L20,IF(J21&lt;0,L20+1,0))</f>
        <v>5</v>
      </c>
      <c r="M21" s="14" t="n">
        <v>-95.75</v>
      </c>
      <c r="N21" s="9" t="n">
        <v>-8680.82</v>
      </c>
      <c r="O21" s="9" t="n">
        <v>-121384.17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444</v>
      </c>
      <c r="D22" s="5" t="s">
        <v>445</v>
      </c>
      <c r="E22" s="5" t="s">
        <v>77</v>
      </c>
      <c r="F22" s="11" t="n">
        <v>90936.71</v>
      </c>
      <c r="G22" s="12" t="n">
        <v>2.7796</v>
      </c>
      <c r="H22" s="12" t="n">
        <v>2.9181</v>
      </c>
      <c r="I22" s="5" t="s">
        <v>78</v>
      </c>
      <c r="J22" s="8" t="n">
        <v>-0.0331</v>
      </c>
      <c r="K22" s="13" t="str">
        <f aca="false">IF(J22&gt;0,"прибыль",IF(J22&lt;0,"убыток","ноль"))</f>
        <v>убыток</v>
      </c>
      <c r="L22" s="13" t="n">
        <f aca="false">IF(C22="",L21,IF(J22&lt;0,L21+1,0))</f>
        <v>6</v>
      </c>
      <c r="M22" s="14" t="n">
        <v>-33.1</v>
      </c>
      <c r="N22" s="9" t="n">
        <v>-3010.29</v>
      </c>
      <c r="O22" s="9" t="n">
        <v>-124394.47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445</v>
      </c>
      <c r="D23" s="5" t="s">
        <v>446</v>
      </c>
      <c r="E23" s="5" t="s">
        <v>81</v>
      </c>
      <c r="F23" s="11" t="n">
        <v>24337.48</v>
      </c>
      <c r="G23" s="12" t="n">
        <v>2.8409</v>
      </c>
      <c r="H23" s="12" t="n">
        <v>2.9746</v>
      </c>
      <c r="I23" s="5" t="s">
        <v>78</v>
      </c>
      <c r="J23" s="8" t="n">
        <v>0.0751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75.1</v>
      </c>
      <c r="N23" s="9" t="n">
        <v>1827.86</v>
      </c>
      <c r="O23" s="9" t="n">
        <v>-122566.61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446</v>
      </c>
      <c r="D24" s="5" t="s">
        <v>447</v>
      </c>
      <c r="E24" s="5" t="s">
        <v>81</v>
      </c>
      <c r="F24" s="11" t="n">
        <v>167390.23</v>
      </c>
      <c r="G24" s="12" t="n">
        <v>2.8431</v>
      </c>
      <c r="H24" s="12" t="n">
        <v>2.6892</v>
      </c>
      <c r="I24" s="5" t="s">
        <v>78</v>
      </c>
      <c r="J24" s="8" t="n">
        <v>0.17073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170.73</v>
      </c>
      <c r="N24" s="9" t="n">
        <v>28579.27</v>
      </c>
      <c r="O24" s="9" t="n">
        <v>-93987.35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447</v>
      </c>
      <c r="D25" s="5" t="s">
        <v>448</v>
      </c>
      <c r="E25" s="5" t="s">
        <v>77</v>
      </c>
      <c r="F25" s="11" t="n">
        <v>195427.32</v>
      </c>
      <c r="G25" s="12" t="n">
        <v>2.6892</v>
      </c>
      <c r="H25" s="12" t="n">
        <v>2.6949</v>
      </c>
      <c r="J25" s="8" t="n">
        <v>0.00546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5.46</v>
      </c>
      <c r="N25" s="9" t="n">
        <v>1066.55</v>
      </c>
      <c r="O25" s="9" t="n">
        <v>-92920.8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448</v>
      </c>
      <c r="D26" s="5" t="s">
        <v>449</v>
      </c>
      <c r="E26" s="5" t="s">
        <v>81</v>
      </c>
      <c r="F26" s="11" t="n">
        <v>0</v>
      </c>
      <c r="G26" s="12" t="n">
        <v>2.6949</v>
      </c>
      <c r="H26" s="12" t="n">
        <v>2.7542</v>
      </c>
      <c r="J26" s="8" t="n">
        <v>-0.05941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1</v>
      </c>
      <c r="M26" s="14" t="n">
        <v>-59.41</v>
      </c>
      <c r="N26" s="9" t="n">
        <v>0</v>
      </c>
      <c r="O26" s="9" t="n">
        <v>-92920.8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449</v>
      </c>
      <c r="D27" s="5" t="s">
        <v>294</v>
      </c>
      <c r="E27" s="5" t="s">
        <v>81</v>
      </c>
      <c r="F27" s="11" t="n">
        <v>194124.39</v>
      </c>
      <c r="G27" s="12" t="n">
        <v>2.6949</v>
      </c>
      <c r="H27" s="12" t="n">
        <v>2.953</v>
      </c>
      <c r="I27" s="5" t="s">
        <v>78</v>
      </c>
      <c r="J27" s="8" t="n">
        <v>-0.18708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2</v>
      </c>
      <c r="M27" s="14" t="n">
        <v>-187.08</v>
      </c>
      <c r="N27" s="9" t="n">
        <v>-36316.69</v>
      </c>
      <c r="O27" s="9" t="n">
        <v>-129237.49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294</v>
      </c>
      <c r="D28" s="5" t="s">
        <v>450</v>
      </c>
      <c r="E28" s="5" t="s">
        <v>77</v>
      </c>
      <c r="F28" s="11" t="n">
        <v>50040.34</v>
      </c>
      <c r="G28" s="12" t="n">
        <v>2.953</v>
      </c>
      <c r="H28" s="12" t="n">
        <v>3.1164</v>
      </c>
      <c r="J28" s="8" t="n">
        <v>0.16327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163.27</v>
      </c>
      <c r="N28" s="9" t="n">
        <v>8169.94</v>
      </c>
      <c r="O28" s="9" t="n">
        <v>-121067.55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450</v>
      </c>
      <c r="D29" s="5" t="s">
        <v>297</v>
      </c>
      <c r="E29" s="5" t="s">
        <v>77</v>
      </c>
      <c r="F29" s="11" t="n">
        <v>37519.98</v>
      </c>
      <c r="G29" s="12" t="n">
        <v>2.953</v>
      </c>
      <c r="H29" s="12" t="n">
        <v>3.6742</v>
      </c>
      <c r="I29" s="5" t="s">
        <v>78</v>
      </c>
      <c r="J29" s="8" t="n">
        <v>0.54462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544.62</v>
      </c>
      <c r="N29" s="9" t="n">
        <v>20434.03</v>
      </c>
      <c r="O29" s="9" t="n">
        <v>-100633.52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297</v>
      </c>
      <c r="D30" s="5" t="s">
        <v>451</v>
      </c>
      <c r="E30" s="5" t="s">
        <v>77</v>
      </c>
      <c r="F30" s="11" t="n">
        <v>35905.63</v>
      </c>
      <c r="G30" s="12" t="n">
        <v>3.1294</v>
      </c>
      <c r="H30" s="12" t="n">
        <v>4.1776</v>
      </c>
      <c r="I30" s="5" t="s">
        <v>78</v>
      </c>
      <c r="J30" s="8" t="n">
        <v>1.07401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1074.01</v>
      </c>
      <c r="N30" s="9" t="n">
        <v>38563.04</v>
      </c>
      <c r="O30" s="9" t="n">
        <v>-62070.47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451</v>
      </c>
      <c r="D31" s="5" t="s">
        <v>452</v>
      </c>
      <c r="E31" s="5" t="s">
        <v>77</v>
      </c>
      <c r="F31" s="11" t="n">
        <v>21144.41</v>
      </c>
      <c r="G31" s="12" t="n">
        <v>3.1034</v>
      </c>
      <c r="H31" s="12" t="n">
        <v>4.9153</v>
      </c>
      <c r="I31" s="5" t="s">
        <v>78</v>
      </c>
      <c r="J31" s="8" t="n">
        <v>1.64779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1647.79</v>
      </c>
      <c r="N31" s="9" t="n">
        <v>34841.57</v>
      </c>
      <c r="O31" s="9" t="n">
        <v>-27228.9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452</v>
      </c>
      <c r="D32" s="5" t="s">
        <v>453</v>
      </c>
      <c r="E32" s="5" t="s">
        <v>77</v>
      </c>
      <c r="F32" s="11" t="n">
        <v>19974.59</v>
      </c>
      <c r="G32" s="12" t="n">
        <v>3.2673</v>
      </c>
      <c r="H32" s="12" t="n">
        <v>5.6948</v>
      </c>
      <c r="J32" s="8" t="n">
        <v>2.42725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2427.25</v>
      </c>
      <c r="N32" s="9" t="n">
        <v>48483.41</v>
      </c>
      <c r="O32" s="9" t="n">
        <v>21254.5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453</v>
      </c>
      <c r="D33" s="5" t="s">
        <v>454</v>
      </c>
      <c r="E33" s="5" t="s">
        <v>77</v>
      </c>
      <c r="F33" s="11" t="n">
        <v>9538.47</v>
      </c>
      <c r="G33" s="12" t="n">
        <v>3.2673</v>
      </c>
      <c r="H33" s="12" t="n">
        <v>5.8046</v>
      </c>
      <c r="I33" s="5" t="s">
        <v>78</v>
      </c>
      <c r="J33" s="8" t="n">
        <v>2.47629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2476.29</v>
      </c>
      <c r="N33" s="9" t="n">
        <v>23620</v>
      </c>
      <c r="O33" s="9" t="n">
        <v>44874.51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454</v>
      </c>
      <c r="D34" s="5" t="s">
        <v>455</v>
      </c>
      <c r="E34" s="5" t="s">
        <v>77</v>
      </c>
      <c r="F34" s="11" t="n">
        <v>6815.96</v>
      </c>
      <c r="G34" s="12" t="n">
        <v>3.328</v>
      </c>
      <c r="H34" s="12" t="n">
        <v>5.9809</v>
      </c>
      <c r="J34" s="8" t="n">
        <v>2.65267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2652.67</v>
      </c>
      <c r="N34" s="9" t="n">
        <v>18080.47</v>
      </c>
      <c r="O34" s="9" t="n">
        <v>62954.97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455</v>
      </c>
      <c r="D35" s="5" t="s">
        <v>456</v>
      </c>
      <c r="E35" s="5" t="s">
        <v>77</v>
      </c>
      <c r="F35" s="11" t="n">
        <v>35354.14</v>
      </c>
      <c r="G35" s="12" t="n">
        <v>3.8889</v>
      </c>
      <c r="H35" s="12" t="n">
        <v>4.5909</v>
      </c>
      <c r="I35" s="5" t="s">
        <v>78</v>
      </c>
      <c r="J35" s="8" t="n">
        <v>0.26611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266.11</v>
      </c>
      <c r="N35" s="9" t="n">
        <v>9407.96</v>
      </c>
      <c r="O35" s="9" t="n">
        <v>72362.93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456</v>
      </c>
      <c r="D36" s="5" t="s">
        <v>457</v>
      </c>
      <c r="E36" s="5" t="s">
        <v>81</v>
      </c>
      <c r="F36" s="11" t="n">
        <v>19965.43</v>
      </c>
      <c r="G36" s="12" t="n">
        <v>4.3887</v>
      </c>
      <c r="H36" s="12" t="n">
        <v>4.8299</v>
      </c>
      <c r="I36" s="5" t="s">
        <v>78</v>
      </c>
      <c r="J36" s="8" t="n">
        <v>-0.6614</v>
      </c>
      <c r="K36" s="13" t="str">
        <f aca="false">IF(J36&gt;0,"прибыль",IF(J36&lt;0,"убыток","ноль"))</f>
        <v>убыток</v>
      </c>
      <c r="L36" s="13" t="n">
        <f aca="false">IF(C36="",L35,IF(J36&lt;0,L35+1,0))</f>
        <v>1</v>
      </c>
      <c r="M36" s="14" t="n">
        <v>-661.4</v>
      </c>
      <c r="N36" s="9" t="n">
        <v>-13205.2</v>
      </c>
      <c r="O36" s="9" t="n">
        <v>59157.73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457</v>
      </c>
      <c r="D37" s="5" t="s">
        <v>458</v>
      </c>
      <c r="E37" s="5" t="s">
        <v>81</v>
      </c>
      <c r="F37" s="11" t="n">
        <v>9129.15</v>
      </c>
      <c r="G37" s="12" t="n">
        <v>4.1689</v>
      </c>
      <c r="H37" s="12" t="n">
        <v>5.4498</v>
      </c>
      <c r="I37" s="5" t="s">
        <v>78</v>
      </c>
      <c r="J37" s="8" t="n">
        <v>-1.20222</v>
      </c>
      <c r="K37" s="13" t="str">
        <f aca="false">IF(J37&gt;0,"прибыль",IF(J37&lt;0,"убыток","ноль"))</f>
        <v>убыток</v>
      </c>
      <c r="L37" s="13" t="n">
        <f aca="false">IF(C37="",L36,IF(J37&lt;0,L36+1,0))</f>
        <v>2</v>
      </c>
      <c r="M37" s="14" t="n">
        <v>-1202.22</v>
      </c>
      <c r="N37" s="9" t="n">
        <v>-10975.22</v>
      </c>
      <c r="O37" s="9" t="n">
        <v>48182.51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458</v>
      </c>
      <c r="D38" s="5" t="s">
        <v>459</v>
      </c>
      <c r="E38" s="5" t="s">
        <v>81</v>
      </c>
      <c r="F38" s="11" t="n">
        <v>48339.55</v>
      </c>
      <c r="G38" s="12" t="n">
        <v>4.2727</v>
      </c>
      <c r="H38" s="12" t="n">
        <v>5.3505</v>
      </c>
      <c r="I38" s="5" t="s">
        <v>78</v>
      </c>
      <c r="J38" s="8" t="n">
        <v>-1.00818</v>
      </c>
      <c r="K38" s="13" t="str">
        <f aca="false">IF(J38&gt;0,"прибыль",IF(J38&lt;0,"убыток","ноль"))</f>
        <v>убыток</v>
      </c>
      <c r="L38" s="13" t="n">
        <f aca="false">IF(C38="",L37,IF(J38&lt;0,L37+1,0))</f>
        <v>3</v>
      </c>
      <c r="M38" s="14" t="n">
        <v>-1008.18</v>
      </c>
      <c r="N38" s="9" t="n">
        <v>-48734.83</v>
      </c>
      <c r="O38" s="9" t="n">
        <v>-552.33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459</v>
      </c>
      <c r="D39" s="5" t="s">
        <v>460</v>
      </c>
      <c r="E39" s="5" t="s">
        <v>77</v>
      </c>
      <c r="F39" s="11" t="n">
        <v>16837.67</v>
      </c>
      <c r="G39" s="12" t="n">
        <v>5.5184</v>
      </c>
      <c r="H39" s="12" t="n">
        <v>7.1895</v>
      </c>
      <c r="I39" s="5" t="s">
        <v>78</v>
      </c>
      <c r="J39" s="8" t="n">
        <v>2.00814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2008.14</v>
      </c>
      <c r="N39" s="9" t="n">
        <v>33812.4</v>
      </c>
      <c r="O39" s="9" t="n">
        <v>33260.07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460</v>
      </c>
      <c r="D40" s="5" t="s">
        <v>461</v>
      </c>
      <c r="E40" s="5" t="s">
        <v>77</v>
      </c>
      <c r="F40" s="11" t="n">
        <v>14484.62</v>
      </c>
      <c r="G40" s="12" t="n">
        <v>5.1807</v>
      </c>
      <c r="H40" s="12" t="n">
        <v>6.8356</v>
      </c>
      <c r="J40" s="8" t="n">
        <v>1.65456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1654.56</v>
      </c>
      <c r="N40" s="9" t="n">
        <v>23965.64</v>
      </c>
      <c r="O40" s="9" t="n">
        <v>57225.71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461</v>
      </c>
      <c r="D41" s="5" t="s">
        <v>462</v>
      </c>
      <c r="E41" s="5" t="s">
        <v>77</v>
      </c>
      <c r="F41" s="11" t="n">
        <v>10194.65</v>
      </c>
      <c r="G41" s="12" t="n">
        <v>5.1807</v>
      </c>
      <c r="H41" s="12" t="n">
        <v>7.6313</v>
      </c>
      <c r="I41" s="5" t="s">
        <v>78</v>
      </c>
      <c r="J41" s="8" t="n">
        <v>2.26116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2261.16</v>
      </c>
      <c r="N41" s="9" t="n">
        <v>23051.78</v>
      </c>
      <c r="O41" s="9" t="n">
        <v>80277.49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462</v>
      </c>
      <c r="D42" s="5" t="s">
        <v>463</v>
      </c>
      <c r="E42" s="5" t="s">
        <v>77</v>
      </c>
      <c r="F42" s="11" t="n">
        <v>8123.02</v>
      </c>
      <c r="G42" s="12" t="n">
        <v>6.2528</v>
      </c>
      <c r="H42" s="12" t="n">
        <v>7.4956</v>
      </c>
      <c r="I42" s="5" t="s">
        <v>78</v>
      </c>
      <c r="J42" s="8" t="n">
        <v>1.32974</v>
      </c>
      <c r="K42" s="13" t="str">
        <f aca="false">IF(J42&gt;0,"прибыль",IF(J42&lt;0,"убыток","ноль"))</f>
        <v>прибыль</v>
      </c>
      <c r="L42" s="13" t="n">
        <f aca="false">IF(C42="",L41,IF(J42&lt;0,L41+1,0))</f>
        <v>0</v>
      </c>
      <c r="M42" s="14" t="n">
        <v>1329.74</v>
      </c>
      <c r="N42" s="9" t="n">
        <v>10801.52</v>
      </c>
      <c r="O42" s="9" t="n">
        <v>91079.01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463</v>
      </c>
      <c r="D43" s="5" t="s">
        <v>324</v>
      </c>
      <c r="E43" s="5" t="s">
        <v>77</v>
      </c>
      <c r="F43" s="11" t="n">
        <v>7561.6</v>
      </c>
      <c r="G43" s="12" t="n">
        <v>6.1583</v>
      </c>
      <c r="H43" s="12" t="n">
        <v>6.9714</v>
      </c>
      <c r="I43" s="5" t="s">
        <v>78</v>
      </c>
      <c r="J43" s="8" t="n">
        <v>0.48086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480.86</v>
      </c>
      <c r="N43" s="9" t="n">
        <v>3636.05</v>
      </c>
      <c r="O43" s="9" t="n">
        <v>94715.06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324</v>
      </c>
      <c r="D44" s="5" t="s">
        <v>464</v>
      </c>
      <c r="E44" s="5" t="s">
        <v>77</v>
      </c>
      <c r="F44" s="11" t="n">
        <v>5993.27</v>
      </c>
      <c r="G44" s="12" t="n">
        <v>6.4899</v>
      </c>
      <c r="H44" s="12" t="n">
        <v>8.9693</v>
      </c>
      <c r="J44" s="8" t="n">
        <v>2.47894</v>
      </c>
      <c r="K44" s="13" t="str">
        <f aca="false">IF(J44&gt;0,"прибыль",IF(J44&lt;0,"убыток","ноль"))</f>
        <v>прибыль</v>
      </c>
      <c r="L44" s="13" t="n">
        <f aca="false">IF(C44="",L43,IF(J44&lt;0,L43+1,0))</f>
        <v>0</v>
      </c>
      <c r="M44" s="14" t="n">
        <v>2478.94</v>
      </c>
      <c r="N44" s="9" t="n">
        <v>14856.94</v>
      </c>
      <c r="O44" s="9" t="n">
        <v>109572.01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464</v>
      </c>
      <c r="D45" s="5" t="s">
        <v>465</v>
      </c>
      <c r="E45" s="5" t="s">
        <v>77</v>
      </c>
      <c r="F45" s="11" t="n">
        <v>35154.03</v>
      </c>
      <c r="G45" s="12" t="n">
        <v>7.4344</v>
      </c>
      <c r="H45" s="12" t="n">
        <v>7.7564</v>
      </c>
      <c r="I45" s="5" t="s">
        <v>78</v>
      </c>
      <c r="J45" s="8" t="n">
        <v>0.73577</v>
      </c>
      <c r="K45" s="13" t="str">
        <f aca="false">IF(J45&gt;0,"прибыль",IF(J45&lt;0,"убыток","ноль"))</f>
        <v>прибыль</v>
      </c>
      <c r="L45" s="13" t="n">
        <f aca="false">IF(C45="",L44,IF(J45&lt;0,L44+1,0))</f>
        <v>0</v>
      </c>
      <c r="M45" s="14" t="n">
        <v>735.77</v>
      </c>
      <c r="N45" s="9" t="n">
        <v>25865.34</v>
      </c>
      <c r="O45" s="9" t="n">
        <v>135437.35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465</v>
      </c>
      <c r="D46" s="5" t="s">
        <v>466</v>
      </c>
      <c r="E46" s="5" t="s">
        <v>81</v>
      </c>
      <c r="F46" s="11" t="n">
        <v>20380.38</v>
      </c>
      <c r="G46" s="12" t="n">
        <v>6.7438</v>
      </c>
      <c r="H46" s="12" t="n">
        <v>5.7217</v>
      </c>
      <c r="I46" s="5" t="s">
        <v>78</v>
      </c>
      <c r="J46" s="8" t="n">
        <v>1.56266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1562.66</v>
      </c>
      <c r="N46" s="9" t="n">
        <v>31847.71</v>
      </c>
      <c r="O46" s="9" t="n">
        <v>167285.06</v>
      </c>
    </row>
    <row r="47" customFormat="false" ht="15" hidden="false" customHeight="false" outlineLevel="0" collapsed="false">
      <c r="A47" s="6" t="n">
        <v>42</v>
      </c>
      <c r="B47" s="5" t="s">
        <v>74</v>
      </c>
      <c r="C47" s="5" t="s">
        <v>466</v>
      </c>
      <c r="D47" s="5" t="s">
        <v>335</v>
      </c>
      <c r="E47" s="5" t="s">
        <v>81</v>
      </c>
      <c r="F47" s="11" t="n">
        <v>38970.5</v>
      </c>
      <c r="G47" s="12" t="n">
        <v>7.2851</v>
      </c>
      <c r="H47" s="12" t="n">
        <v>6.7698</v>
      </c>
      <c r="I47" s="5" t="s">
        <v>78</v>
      </c>
      <c r="J47" s="8" t="n">
        <v>1.00998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1009.98</v>
      </c>
      <c r="N47" s="9" t="n">
        <v>39359.55</v>
      </c>
      <c r="O47" s="9" t="n">
        <v>206644.61</v>
      </c>
    </row>
    <row r="48" customFormat="false" ht="15" hidden="false" customHeight="false" outlineLevel="0" collapsed="false">
      <c r="A48" s="6" t="n">
        <v>43</v>
      </c>
      <c r="B48" s="5" t="s">
        <v>74</v>
      </c>
      <c r="C48" s="5" t="s">
        <v>335</v>
      </c>
      <c r="D48" s="5" t="s">
        <v>336</v>
      </c>
      <c r="E48" s="5" t="s">
        <v>77</v>
      </c>
      <c r="F48" s="11" t="n">
        <v>25768.67</v>
      </c>
      <c r="G48" s="12" t="n">
        <v>6.7698</v>
      </c>
      <c r="H48" s="12" t="n">
        <v>6.3749</v>
      </c>
      <c r="J48" s="8" t="n">
        <v>-0.39559</v>
      </c>
      <c r="K48" s="13" t="str">
        <f aca="false">IF(J48&gt;0,"прибыль",IF(J48&lt;0,"убыток","ноль"))</f>
        <v>убыток</v>
      </c>
      <c r="L48" s="13" t="n">
        <f aca="false">IF(C48="",L47,IF(J48&lt;0,L47+1,0))</f>
        <v>1</v>
      </c>
      <c r="M48" s="14" t="n">
        <v>-395.59</v>
      </c>
      <c r="N48" s="9" t="n">
        <v>-10193.9</v>
      </c>
      <c r="O48" s="9" t="n">
        <v>196450.71</v>
      </c>
    </row>
    <row r="49" customFormat="false" ht="15" hidden="false" customHeight="false" outlineLevel="0" collapsed="false">
      <c r="A49" s="6" t="n">
        <v>44</v>
      </c>
      <c r="B49" s="5" t="s">
        <v>74</v>
      </c>
      <c r="C49" s="5" t="s">
        <v>336</v>
      </c>
      <c r="D49" s="5" t="s">
        <v>467</v>
      </c>
      <c r="E49" s="5" t="s">
        <v>81</v>
      </c>
      <c r="F49" s="11" t="n">
        <v>26614.28</v>
      </c>
      <c r="G49" s="12" t="n">
        <v>6.3749</v>
      </c>
      <c r="H49" s="12" t="n">
        <v>6.239</v>
      </c>
      <c r="J49" s="8" t="n">
        <v>0.1352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135.2</v>
      </c>
      <c r="N49" s="9" t="n">
        <v>3598.21</v>
      </c>
      <c r="O49" s="9" t="n">
        <v>200048.92</v>
      </c>
    </row>
    <row r="50" customFormat="false" ht="15" hidden="false" customHeight="false" outlineLevel="0" collapsed="false">
      <c r="A50" s="6" t="n">
        <v>45</v>
      </c>
      <c r="B50" s="5" t="s">
        <v>74</v>
      </c>
      <c r="C50" s="5" t="s">
        <v>467</v>
      </c>
      <c r="D50" s="5" t="s">
        <v>337</v>
      </c>
      <c r="E50" s="5" t="s">
        <v>77</v>
      </c>
      <c r="F50" s="11" t="n">
        <v>26718.92</v>
      </c>
      <c r="G50" s="12" t="n">
        <v>6.239</v>
      </c>
      <c r="H50" s="12" t="n">
        <v>6.0146</v>
      </c>
      <c r="J50" s="8" t="n">
        <v>-0.22502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1</v>
      </c>
      <c r="M50" s="14" t="n">
        <v>-225.02</v>
      </c>
      <c r="N50" s="9" t="n">
        <v>-6012.42</v>
      </c>
      <c r="O50" s="9" t="n">
        <v>194036.5</v>
      </c>
    </row>
    <row r="51" customFormat="false" ht="15" hidden="false" customHeight="false" outlineLevel="0" collapsed="false">
      <c r="A51" s="6" t="n">
        <v>46</v>
      </c>
      <c r="B51" s="5" t="s">
        <v>74</v>
      </c>
      <c r="C51" s="5" t="s">
        <v>337</v>
      </c>
      <c r="D51" s="5" t="s">
        <v>468</v>
      </c>
      <c r="E51" s="5" t="s">
        <v>81</v>
      </c>
      <c r="F51" s="11" t="n">
        <v>9502.13</v>
      </c>
      <c r="G51" s="12" t="n">
        <v>6.0257</v>
      </c>
      <c r="H51" s="12" t="n">
        <v>6.8721</v>
      </c>
      <c r="I51" s="5" t="s">
        <v>78</v>
      </c>
      <c r="J51" s="8" t="n">
        <v>-0.56916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2</v>
      </c>
      <c r="M51" s="14" t="n">
        <v>-569.16</v>
      </c>
      <c r="N51" s="9" t="n">
        <v>-5408.21</v>
      </c>
      <c r="O51" s="9" t="n">
        <v>188628.29</v>
      </c>
    </row>
    <row r="52" customFormat="false" ht="15" hidden="false" customHeight="false" outlineLevel="0" collapsed="false">
      <c r="A52" s="6" t="n">
        <v>47</v>
      </c>
      <c r="B52" s="5" t="s">
        <v>74</v>
      </c>
      <c r="C52" s="5" t="s">
        <v>468</v>
      </c>
      <c r="D52" s="5" t="s">
        <v>469</v>
      </c>
      <c r="E52" s="5" t="s">
        <v>81</v>
      </c>
      <c r="F52" s="11" t="n">
        <v>19432.42</v>
      </c>
      <c r="G52" s="12" t="n">
        <v>4.1384</v>
      </c>
      <c r="H52" s="12" t="n">
        <v>2.8047</v>
      </c>
      <c r="I52" s="5" t="s">
        <v>78</v>
      </c>
      <c r="J52" s="8" t="n">
        <v>2.02553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2025.53</v>
      </c>
      <c r="N52" s="9" t="n">
        <v>39360.87</v>
      </c>
      <c r="O52" s="9" t="n">
        <v>227989.16</v>
      </c>
    </row>
    <row r="53" customFormat="false" ht="15" hidden="false" customHeight="false" outlineLevel="0" collapsed="false">
      <c r="A53" s="6" t="n">
        <v>48</v>
      </c>
      <c r="B53" s="5" t="s">
        <v>74</v>
      </c>
      <c r="C53" s="5" t="s">
        <v>469</v>
      </c>
      <c r="D53" s="5" t="s">
        <v>470</v>
      </c>
      <c r="E53" s="5" t="s">
        <v>81</v>
      </c>
      <c r="F53" s="11" t="n">
        <v>31389.61</v>
      </c>
      <c r="G53" s="12" t="n">
        <v>3.1525</v>
      </c>
      <c r="H53" s="12" t="n">
        <v>2.3317</v>
      </c>
      <c r="I53" s="5" t="s">
        <v>78</v>
      </c>
      <c r="J53" s="8" t="n">
        <v>1.21326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1213.26</v>
      </c>
      <c r="N53" s="9" t="n">
        <v>38083.84</v>
      </c>
      <c r="O53" s="9" t="n">
        <v>266073</v>
      </c>
    </row>
    <row r="54" customFormat="false" ht="15" hidden="false" customHeight="false" outlineLevel="0" collapsed="false">
      <c r="A54" s="6" t="n">
        <v>49</v>
      </c>
      <c r="B54" s="5" t="s">
        <v>74</v>
      </c>
      <c r="C54" s="5" t="s">
        <v>470</v>
      </c>
      <c r="D54" s="5" t="s">
        <v>471</v>
      </c>
      <c r="E54" s="5" t="s">
        <v>81</v>
      </c>
      <c r="F54" s="11" t="n">
        <v>158462.28</v>
      </c>
      <c r="G54" s="12" t="n">
        <v>3.1599</v>
      </c>
      <c r="H54" s="12" t="n">
        <v>2.5909</v>
      </c>
      <c r="I54" s="5" t="s">
        <v>78</v>
      </c>
      <c r="J54" s="8" t="n">
        <v>0.79199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791.99</v>
      </c>
      <c r="N54" s="9" t="n">
        <v>125500.77</v>
      </c>
      <c r="O54" s="9" t="n">
        <v>391573.76</v>
      </c>
    </row>
    <row r="55" customFormat="false" ht="15" hidden="false" customHeight="false" outlineLevel="0" collapsed="false">
      <c r="A55" s="6" t="n">
        <v>50</v>
      </c>
      <c r="B55" s="5" t="s">
        <v>74</v>
      </c>
      <c r="C55" s="5" t="s">
        <v>471</v>
      </c>
      <c r="D55" s="5" t="s">
        <v>472</v>
      </c>
      <c r="E55" s="5" t="s">
        <v>77</v>
      </c>
      <c r="F55" s="11" t="n">
        <v>35445.9</v>
      </c>
      <c r="G55" s="12" t="n">
        <v>2.5909</v>
      </c>
      <c r="H55" s="12" t="n">
        <v>2.9751</v>
      </c>
      <c r="J55" s="8" t="n">
        <v>0.38404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384.04</v>
      </c>
      <c r="N55" s="9" t="n">
        <v>13612.8</v>
      </c>
      <c r="O55" s="9" t="n">
        <v>405186.56</v>
      </c>
    </row>
    <row r="56" customFormat="false" ht="15" hidden="false" customHeight="false" outlineLevel="0" collapsed="false">
      <c r="A56" s="6" t="n">
        <v>51</v>
      </c>
      <c r="B56" s="5" t="s">
        <v>74</v>
      </c>
      <c r="C56" s="5" t="s">
        <v>472</v>
      </c>
      <c r="D56" s="5" t="s">
        <v>473</v>
      </c>
      <c r="E56" s="5" t="s">
        <v>77</v>
      </c>
      <c r="F56" s="11" t="n">
        <v>113677.68</v>
      </c>
      <c r="G56" s="12" t="n">
        <v>2.5909</v>
      </c>
      <c r="H56" s="12" t="n">
        <v>2.616</v>
      </c>
      <c r="J56" s="8" t="n">
        <v>0.02492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24.92</v>
      </c>
      <c r="N56" s="9" t="n">
        <v>2833.2</v>
      </c>
      <c r="O56" s="9" t="n">
        <v>408019.76</v>
      </c>
    </row>
    <row r="57" customFormat="false" ht="15" hidden="false" customHeight="false" outlineLevel="0" collapsed="false">
      <c r="A57" s="6" t="n">
        <v>52</v>
      </c>
      <c r="B57" s="5" t="s">
        <v>74</v>
      </c>
      <c r="C57" s="5" t="s">
        <v>473</v>
      </c>
      <c r="D57" s="5" t="s">
        <v>474</v>
      </c>
      <c r="E57" s="5" t="s">
        <v>81</v>
      </c>
      <c r="F57" s="11" t="n">
        <v>112874.7</v>
      </c>
      <c r="G57" s="12" t="n">
        <v>2.616</v>
      </c>
      <c r="H57" s="12" t="n">
        <v>2.5839</v>
      </c>
      <c r="J57" s="8" t="n">
        <v>0.0319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31.9</v>
      </c>
      <c r="N57" s="9" t="n">
        <v>3601.17</v>
      </c>
      <c r="O57" s="9" t="n">
        <v>411620.94</v>
      </c>
    </row>
    <row r="58" customFormat="false" ht="15" hidden="false" customHeight="false" outlineLevel="0" collapsed="false">
      <c r="A58" s="6" t="n">
        <v>53</v>
      </c>
      <c r="B58" s="5" t="s">
        <v>74</v>
      </c>
      <c r="C58" s="5" t="s">
        <v>474</v>
      </c>
      <c r="D58" s="5" t="s">
        <v>475</v>
      </c>
      <c r="E58" s="5" t="s">
        <v>77</v>
      </c>
      <c r="F58" s="11" t="n">
        <v>106791.99</v>
      </c>
      <c r="G58" s="12" t="n">
        <v>2.5839</v>
      </c>
      <c r="H58" s="12" t="n">
        <v>2.536</v>
      </c>
      <c r="I58" s="5" t="s">
        <v>78</v>
      </c>
      <c r="J58" s="8" t="n">
        <v>-0.16548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1</v>
      </c>
      <c r="M58" s="14" t="n">
        <v>-165.48</v>
      </c>
      <c r="N58" s="9" t="n">
        <v>-17671.98</v>
      </c>
      <c r="O58" s="9" t="n">
        <v>393948.96</v>
      </c>
    </row>
    <row r="59" customFormat="false" ht="15" hidden="false" customHeight="false" outlineLevel="0" collapsed="false">
      <c r="A59" s="6" t="n">
        <v>54</v>
      </c>
      <c r="B59" s="5" t="s">
        <v>74</v>
      </c>
      <c r="C59" s="5" t="s">
        <v>475</v>
      </c>
      <c r="D59" s="5" t="s">
        <v>476</v>
      </c>
      <c r="E59" s="5" t="s">
        <v>81</v>
      </c>
      <c r="F59" s="11" t="n">
        <v>139979.34</v>
      </c>
      <c r="G59" s="12" t="n">
        <v>2.536</v>
      </c>
      <c r="H59" s="12" t="n">
        <v>2.6269</v>
      </c>
      <c r="J59" s="8" t="n">
        <v>-0.09123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2</v>
      </c>
      <c r="M59" s="14" t="n">
        <v>-91.23</v>
      </c>
      <c r="N59" s="9" t="n">
        <v>-12770.22</v>
      </c>
      <c r="O59" s="9" t="n">
        <v>381178.73</v>
      </c>
    </row>
    <row r="60" customFormat="false" ht="15" hidden="false" customHeight="false" outlineLevel="0" collapsed="false">
      <c r="A60" s="6" t="n">
        <v>55</v>
      </c>
      <c r="B60" s="5" t="s">
        <v>74</v>
      </c>
      <c r="C60" s="5" t="s">
        <v>476</v>
      </c>
      <c r="D60" s="5" t="s">
        <v>477</v>
      </c>
      <c r="E60" s="5" t="s">
        <v>77</v>
      </c>
      <c r="F60" s="11" t="n">
        <v>147180.61</v>
      </c>
      <c r="G60" s="12" t="n">
        <v>2.6269</v>
      </c>
      <c r="H60" s="12" t="n">
        <v>2.6506</v>
      </c>
      <c r="J60" s="8" t="n">
        <v>0.02345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23.45</v>
      </c>
      <c r="N60" s="9" t="n">
        <v>3450.9</v>
      </c>
      <c r="O60" s="9" t="n">
        <v>384629.64</v>
      </c>
    </row>
    <row r="61" customFormat="false" ht="15" hidden="false" customHeight="false" outlineLevel="0" collapsed="false">
      <c r="A61" s="6" t="n">
        <v>56</v>
      </c>
      <c r="B61" s="5" t="s">
        <v>74</v>
      </c>
      <c r="C61" s="5" t="s">
        <v>477</v>
      </c>
      <c r="D61" s="5" t="s">
        <v>478</v>
      </c>
      <c r="E61" s="5" t="s">
        <v>81</v>
      </c>
      <c r="F61" s="11" t="n">
        <v>127981.9</v>
      </c>
      <c r="G61" s="12" t="n">
        <v>2.6506</v>
      </c>
      <c r="H61" s="12" t="n">
        <v>2.6604</v>
      </c>
      <c r="J61" s="8" t="n">
        <v>-0.01004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1</v>
      </c>
      <c r="M61" s="14" t="n">
        <v>-10.04</v>
      </c>
      <c r="N61" s="9" t="n">
        <v>-1285.4</v>
      </c>
      <c r="O61" s="9" t="n">
        <v>383344.24</v>
      </c>
    </row>
    <row r="62" customFormat="false" ht="15" hidden="false" customHeight="false" outlineLevel="0" collapsed="false">
      <c r="A62" s="6" t="n">
        <v>57</v>
      </c>
      <c r="B62" s="5" t="s">
        <v>74</v>
      </c>
      <c r="C62" s="5" t="s">
        <v>478</v>
      </c>
      <c r="D62" s="5" t="s">
        <v>479</v>
      </c>
      <c r="E62" s="5" t="s">
        <v>77</v>
      </c>
      <c r="F62" s="11" t="n">
        <v>27340.38</v>
      </c>
      <c r="G62" s="12" t="n">
        <v>2.6604</v>
      </c>
      <c r="H62" s="12" t="n">
        <v>3.5684</v>
      </c>
      <c r="I62" s="5" t="s">
        <v>78</v>
      </c>
      <c r="J62" s="8" t="n">
        <v>0.49462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494.62</v>
      </c>
      <c r="N62" s="9" t="n">
        <v>13523.1</v>
      </c>
      <c r="O62" s="9" t="n">
        <v>396867.33</v>
      </c>
    </row>
    <row r="63" customFormat="false" ht="15" hidden="false" customHeight="false" outlineLevel="0" collapsed="false">
      <c r="A63" s="6" t="n">
        <v>58</v>
      </c>
      <c r="B63" s="5" t="s">
        <v>74</v>
      </c>
      <c r="C63" s="5" t="s">
        <v>479</v>
      </c>
      <c r="D63" s="5" t="s">
        <v>352</v>
      </c>
      <c r="E63" s="5" t="s">
        <v>77</v>
      </c>
      <c r="F63" s="11" t="n">
        <v>82958.69</v>
      </c>
      <c r="G63" s="12" t="n">
        <v>3.0736</v>
      </c>
      <c r="H63" s="12" t="n">
        <v>3.2443</v>
      </c>
      <c r="J63" s="8" t="n">
        <v>0.17033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170.33</v>
      </c>
      <c r="N63" s="9" t="n">
        <v>14129.97</v>
      </c>
      <c r="O63" s="9" t="n">
        <v>410997.3</v>
      </c>
    </row>
    <row r="64" customFormat="false" ht="15" hidden="false" customHeight="false" outlineLevel="0" collapsed="false">
      <c r="A64" s="6" t="n">
        <v>59</v>
      </c>
      <c r="B64" s="5" t="s">
        <v>74</v>
      </c>
      <c r="C64" s="5" t="s">
        <v>352</v>
      </c>
      <c r="D64" s="5" t="s">
        <v>480</v>
      </c>
      <c r="E64" s="5" t="s">
        <v>81</v>
      </c>
      <c r="F64" s="11" t="n">
        <v>96874.08</v>
      </c>
      <c r="G64" s="12" t="n">
        <v>3.2443</v>
      </c>
      <c r="H64" s="12" t="n">
        <v>3.2367</v>
      </c>
      <c r="J64" s="8" t="n">
        <v>0.00732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7.32</v>
      </c>
      <c r="N64" s="9" t="n">
        <v>709.25</v>
      </c>
      <c r="O64" s="9" t="n">
        <v>411706.54</v>
      </c>
    </row>
    <row r="65" customFormat="false" ht="15" hidden="false" customHeight="false" outlineLevel="0" collapsed="false">
      <c r="A65" s="6" t="n">
        <v>60</v>
      </c>
      <c r="B65" s="5" t="s">
        <v>74</v>
      </c>
      <c r="C65" s="5" t="s">
        <v>480</v>
      </c>
      <c r="D65" s="5" t="s">
        <v>481</v>
      </c>
      <c r="E65" s="5" t="s">
        <v>77</v>
      </c>
      <c r="F65" s="11" t="n">
        <v>97490</v>
      </c>
      <c r="G65" s="12" t="n">
        <v>3.2367</v>
      </c>
      <c r="H65" s="12" t="n">
        <v>3.1375</v>
      </c>
      <c r="J65" s="8" t="n">
        <v>-0.09952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1</v>
      </c>
      <c r="M65" s="14" t="n">
        <v>-99.52</v>
      </c>
      <c r="N65" s="9" t="n">
        <v>-9702.12</v>
      </c>
      <c r="O65" s="9" t="n">
        <v>402004.42</v>
      </c>
    </row>
    <row r="66" customFormat="false" ht="15" hidden="false" customHeight="false" outlineLevel="0" collapsed="false">
      <c r="A66" s="6" t="n">
        <v>61</v>
      </c>
      <c r="B66" s="5" t="s">
        <v>74</v>
      </c>
      <c r="C66" s="5" t="s">
        <v>481</v>
      </c>
      <c r="D66" s="5" t="s">
        <v>482</v>
      </c>
      <c r="E66" s="5" t="s">
        <v>81</v>
      </c>
      <c r="F66" s="11" t="n">
        <v>98989.92</v>
      </c>
      <c r="G66" s="12" t="n">
        <v>3.1375</v>
      </c>
      <c r="H66" s="12" t="n">
        <v>3.1995</v>
      </c>
      <c r="J66" s="8" t="n">
        <v>-0.06238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2</v>
      </c>
      <c r="M66" s="14" t="n">
        <v>-62.38</v>
      </c>
      <c r="N66" s="9" t="n">
        <v>-6175.17</v>
      </c>
      <c r="O66" s="9" t="n">
        <v>395829.26</v>
      </c>
    </row>
    <row r="67" customFormat="false" ht="15" hidden="false" customHeight="false" outlineLevel="0" collapsed="false">
      <c r="A67" s="6" t="n">
        <v>62</v>
      </c>
      <c r="B67" s="5" t="s">
        <v>74</v>
      </c>
      <c r="C67" s="5" t="s">
        <v>482</v>
      </c>
      <c r="D67" s="5" t="s">
        <v>483</v>
      </c>
      <c r="E67" s="5" t="s">
        <v>77</v>
      </c>
      <c r="F67" s="11" t="n">
        <v>102808.51</v>
      </c>
      <c r="G67" s="12" t="n">
        <v>3.1995</v>
      </c>
      <c r="H67" s="12" t="n">
        <v>3.1472</v>
      </c>
      <c r="J67" s="8" t="n">
        <v>-0.05258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3</v>
      </c>
      <c r="M67" s="14" t="n">
        <v>-52.58</v>
      </c>
      <c r="N67" s="9" t="n">
        <v>-5405.52</v>
      </c>
      <c r="O67" s="9" t="n">
        <v>390423.74</v>
      </c>
    </row>
    <row r="68" customFormat="false" ht="15" hidden="false" customHeight="false" outlineLevel="0" collapsed="false">
      <c r="A68" s="6" t="n">
        <v>63</v>
      </c>
      <c r="B68" s="5" t="s">
        <v>74</v>
      </c>
      <c r="C68" s="5" t="s">
        <v>483</v>
      </c>
      <c r="D68" s="5" t="s">
        <v>484</v>
      </c>
      <c r="E68" s="5" t="s">
        <v>81</v>
      </c>
      <c r="F68" s="11" t="n">
        <v>95011.03</v>
      </c>
      <c r="G68" s="12" t="n">
        <v>3.1472</v>
      </c>
      <c r="H68" s="12" t="n">
        <v>3.2009</v>
      </c>
      <c r="J68" s="8" t="n">
        <v>-0.05394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4</v>
      </c>
      <c r="M68" s="14" t="n">
        <v>-53.94</v>
      </c>
      <c r="N68" s="9" t="n">
        <v>-5125.05</v>
      </c>
      <c r="O68" s="9" t="n">
        <v>385298.69</v>
      </c>
    </row>
    <row r="69" customFormat="false" ht="15" hidden="false" customHeight="false" outlineLevel="0" collapsed="false">
      <c r="A69" s="6" t="n">
        <v>64</v>
      </c>
      <c r="B69" s="5" t="s">
        <v>74</v>
      </c>
      <c r="C69" s="5" t="s">
        <v>484</v>
      </c>
      <c r="D69" s="5" t="s">
        <v>485</v>
      </c>
      <c r="E69" s="5" t="s">
        <v>77</v>
      </c>
      <c r="F69" s="11" t="n">
        <v>93565.96</v>
      </c>
      <c r="G69" s="12" t="n">
        <v>3.2009</v>
      </c>
      <c r="H69" s="12" t="n">
        <v>3.0145</v>
      </c>
      <c r="J69" s="8" t="n">
        <v>-0.18668</v>
      </c>
      <c r="K69" s="13" t="str">
        <f aca="false">IF(J69&gt;0,"прибыль",IF(J69&lt;0,"убыток","ноль"))</f>
        <v>убыток</v>
      </c>
      <c r="L69" s="13" t="n">
        <f aca="false">IF(C69="",L68,IF(J69&lt;0,L68+1,0))</f>
        <v>5</v>
      </c>
      <c r="M69" s="14" t="n">
        <v>-186.68</v>
      </c>
      <c r="N69" s="9" t="n">
        <v>-17466.78</v>
      </c>
      <c r="O69" s="9" t="n">
        <v>367831.91</v>
      </c>
    </row>
    <row r="70" customFormat="false" ht="15" hidden="false" customHeight="false" outlineLevel="0" collapsed="false">
      <c r="A70" s="6" t="n">
        <v>65</v>
      </c>
      <c r="B70" s="5" t="s">
        <v>74</v>
      </c>
      <c r="C70" s="5" t="s">
        <v>485</v>
      </c>
      <c r="D70" s="5" t="s">
        <v>486</v>
      </c>
      <c r="E70" s="5" t="s">
        <v>81</v>
      </c>
      <c r="F70" s="11" t="n">
        <v>46349.22</v>
      </c>
      <c r="G70" s="12" t="n">
        <v>2.8054</v>
      </c>
      <c r="H70" s="12" t="n">
        <v>2.5309</v>
      </c>
      <c r="I70" s="5" t="s">
        <v>78</v>
      </c>
      <c r="J70" s="8" t="n">
        <v>0.33733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337.33</v>
      </c>
      <c r="N70" s="9" t="n">
        <v>15635.03</v>
      </c>
      <c r="O70" s="9" t="n">
        <v>383466.94</v>
      </c>
    </row>
    <row r="71" customFormat="false" ht="15" hidden="false" customHeight="false" outlineLevel="0" collapsed="false">
      <c r="A71" s="6" t="n">
        <v>66</v>
      </c>
      <c r="B71" s="5" t="s">
        <v>74</v>
      </c>
      <c r="C71" s="5" t="s">
        <v>486</v>
      </c>
      <c r="D71" s="5" t="s">
        <v>487</v>
      </c>
      <c r="E71" s="5" t="s">
        <v>81</v>
      </c>
      <c r="F71" s="11" t="n">
        <v>34598.58</v>
      </c>
      <c r="G71" s="12" t="n">
        <v>2.8687</v>
      </c>
      <c r="H71" s="12" t="n">
        <v>2.5838</v>
      </c>
      <c r="J71" s="8" t="n">
        <v>0.28471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284.71</v>
      </c>
      <c r="N71" s="9" t="n">
        <v>9850.71</v>
      </c>
      <c r="O71" s="9" t="n">
        <v>393317.65</v>
      </c>
    </row>
    <row r="72" customFormat="false" ht="15" hidden="false" customHeight="false" outlineLevel="0" collapsed="false">
      <c r="A72" s="6" t="n">
        <v>67</v>
      </c>
      <c r="B72" s="5" t="s">
        <v>74</v>
      </c>
      <c r="C72" s="5" t="s">
        <v>487</v>
      </c>
      <c r="D72" s="5" t="s">
        <v>488</v>
      </c>
      <c r="E72" s="5" t="s">
        <v>81</v>
      </c>
      <c r="F72" s="11" t="n">
        <v>29561.11</v>
      </c>
      <c r="G72" s="12" t="n">
        <v>2.8687</v>
      </c>
      <c r="H72" s="12" t="n">
        <v>2.8111</v>
      </c>
      <c r="I72" s="5" t="s">
        <v>78</v>
      </c>
      <c r="J72" s="8" t="n">
        <v>-0.01232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1</v>
      </c>
      <c r="M72" s="14" t="n">
        <v>-12.32</v>
      </c>
      <c r="N72" s="9" t="n">
        <v>-364.15</v>
      </c>
      <c r="O72" s="9" t="n">
        <v>392953.49</v>
      </c>
    </row>
    <row r="73" customFormat="false" ht="15" hidden="false" customHeight="false" outlineLevel="0" collapsed="false">
      <c r="A73" s="6" t="n">
        <v>68</v>
      </c>
      <c r="B73" s="5" t="s">
        <v>74</v>
      </c>
      <c r="C73" s="5" t="s">
        <v>488</v>
      </c>
      <c r="D73" s="5" t="s">
        <v>489</v>
      </c>
      <c r="E73" s="5" t="s">
        <v>81</v>
      </c>
      <c r="F73" s="11" t="n">
        <v>86699.97</v>
      </c>
      <c r="G73" s="12" t="n">
        <v>2.7989</v>
      </c>
      <c r="H73" s="12" t="n">
        <v>3.1533</v>
      </c>
      <c r="J73" s="8" t="n">
        <v>-0.35474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2</v>
      </c>
      <c r="M73" s="14" t="n">
        <v>-354.74</v>
      </c>
      <c r="N73" s="9" t="n">
        <v>-30756.07</v>
      </c>
      <c r="O73" s="9" t="n">
        <v>362197.42</v>
      </c>
    </row>
    <row r="74" customFormat="false" ht="15" hidden="false" customHeight="false" outlineLevel="0" collapsed="false">
      <c r="A74" s="6" t="n">
        <v>69</v>
      </c>
      <c r="B74" s="5" t="s">
        <v>74</v>
      </c>
      <c r="C74" s="5" t="s">
        <v>489</v>
      </c>
      <c r="D74" s="5" t="s">
        <v>490</v>
      </c>
      <c r="E74" s="5" t="s">
        <v>77</v>
      </c>
      <c r="F74" s="11" t="n">
        <v>86768.57</v>
      </c>
      <c r="G74" s="12" t="n">
        <v>3.1533</v>
      </c>
      <c r="H74" s="12" t="n">
        <v>2.8215</v>
      </c>
      <c r="J74" s="8" t="n">
        <v>-0.3321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3</v>
      </c>
      <c r="M74" s="14" t="n">
        <v>-332.1</v>
      </c>
      <c r="N74" s="9" t="n">
        <v>-28815.86</v>
      </c>
      <c r="O74" s="9" t="n">
        <v>333381.56</v>
      </c>
    </row>
    <row r="75" customFormat="false" ht="15" hidden="false" customHeight="false" outlineLevel="0" collapsed="false">
      <c r="A75" s="6" t="n">
        <v>70</v>
      </c>
      <c r="B75" s="5" t="s">
        <v>491</v>
      </c>
      <c r="C75" s="5" t="s">
        <v>490</v>
      </c>
      <c r="D75" s="5" t="s">
        <v>492</v>
      </c>
      <c r="E75" s="5" t="s">
        <v>81</v>
      </c>
      <c r="F75" s="11" t="n">
        <v>33224.12</v>
      </c>
      <c r="G75" s="12" t="n">
        <v>2.3371</v>
      </c>
      <c r="H75" s="12" t="n">
        <v>2.0333</v>
      </c>
      <c r="I75" s="5" t="s">
        <v>78</v>
      </c>
      <c r="J75" s="8" t="n">
        <v>0.61734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617.34</v>
      </c>
      <c r="N75" s="9" t="n">
        <v>20510.43</v>
      </c>
      <c r="O75" s="9" t="n">
        <v>353891.99</v>
      </c>
    </row>
    <row r="76" customFormat="false" ht="15" hidden="false" customHeight="false" outlineLevel="0" collapsed="false">
      <c r="A76" s="6" t="n">
        <v>71</v>
      </c>
      <c r="B76" s="5" t="s">
        <v>288</v>
      </c>
      <c r="C76" s="5" t="s">
        <v>492</v>
      </c>
      <c r="D76" s="5" t="s">
        <v>493</v>
      </c>
      <c r="E76" s="5" t="s">
        <v>81</v>
      </c>
      <c r="F76" s="11" t="n">
        <v>31668.05</v>
      </c>
      <c r="G76" s="12" t="n">
        <v>2.6511</v>
      </c>
      <c r="H76" s="12" t="n">
        <v>2.6708</v>
      </c>
      <c r="J76" s="8" t="n">
        <v>-0.01991</v>
      </c>
      <c r="K76" s="13" t="str">
        <f aca="false">IF(J76&gt;0,"прибыль",IF(J76&lt;0,"убыток","ноль"))</f>
        <v>убыток</v>
      </c>
      <c r="L76" s="13" t="n">
        <f aca="false">IF(C76="",L75,IF(J76&lt;0,L75+1,0))</f>
        <v>1</v>
      </c>
      <c r="M76" s="14" t="n">
        <v>-19.91</v>
      </c>
      <c r="N76" s="9" t="n">
        <v>-630.43</v>
      </c>
      <c r="O76" s="9" t="n">
        <v>353261.56</v>
      </c>
    </row>
    <row r="77" customFormat="false" ht="15" hidden="false" customHeight="false" outlineLevel="0" collapsed="false">
      <c r="A77" s="6" t="n">
        <v>72</v>
      </c>
      <c r="B77" s="5" t="s">
        <v>288</v>
      </c>
      <c r="C77" s="5" t="s">
        <v>493</v>
      </c>
      <c r="D77" s="5" t="s">
        <v>494</v>
      </c>
      <c r="E77" s="5" t="s">
        <v>81</v>
      </c>
      <c r="F77" s="11" t="n">
        <v>89697.17</v>
      </c>
      <c r="G77" s="12" t="n">
        <v>2.6511</v>
      </c>
      <c r="H77" s="12" t="n">
        <v>3.0417</v>
      </c>
      <c r="I77" s="5" t="s">
        <v>78</v>
      </c>
      <c r="J77" s="8" t="n">
        <v>-0.3193</v>
      </c>
      <c r="K77" s="13" t="str">
        <f aca="false">IF(J77&gt;0,"прибыль",IF(J77&lt;0,"убыток","ноль"))</f>
        <v>убыток</v>
      </c>
      <c r="L77" s="13" t="n">
        <f aca="false">IF(C77="",L76,IF(J77&lt;0,L76+1,0))</f>
        <v>2</v>
      </c>
      <c r="M77" s="14" t="n">
        <v>-319.3</v>
      </c>
      <c r="N77" s="9" t="n">
        <v>-28640.69</v>
      </c>
      <c r="O77" s="9" t="n">
        <v>324620.87</v>
      </c>
    </row>
    <row r="78" customFormat="false" ht="15" hidden="false" customHeight="false" outlineLevel="0" collapsed="false">
      <c r="A78" s="6" t="n">
        <v>73</v>
      </c>
      <c r="B78" s="5" t="s">
        <v>288</v>
      </c>
      <c r="C78" s="5" t="s">
        <v>494</v>
      </c>
      <c r="D78" s="5" t="s">
        <v>495</v>
      </c>
      <c r="E78" s="5" t="s">
        <v>77</v>
      </c>
      <c r="F78" s="11" t="n">
        <v>75870.26</v>
      </c>
      <c r="G78" s="12" t="n">
        <v>3.0417</v>
      </c>
      <c r="H78" s="12" t="n">
        <v>2.9178</v>
      </c>
      <c r="J78" s="8" t="n">
        <v>-0.12421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3</v>
      </c>
      <c r="M78" s="14" t="n">
        <v>-124.21</v>
      </c>
      <c r="N78" s="9" t="n">
        <v>-9423.57</v>
      </c>
      <c r="O78" s="9" t="n">
        <v>315197.3</v>
      </c>
    </row>
    <row r="79" customFormat="false" ht="15" hidden="false" customHeight="false" outlineLevel="0" collapsed="false">
      <c r="A79" s="6" t="n">
        <v>74</v>
      </c>
      <c r="B79" s="5" t="s">
        <v>288</v>
      </c>
      <c r="C79" s="5" t="s">
        <v>495</v>
      </c>
      <c r="D79" s="5" t="s">
        <v>496</v>
      </c>
      <c r="E79" s="5" t="s">
        <v>81</v>
      </c>
      <c r="F79" s="11" t="n">
        <v>73143.74</v>
      </c>
      <c r="G79" s="12" t="n">
        <v>2.9178</v>
      </c>
      <c r="H79" s="12" t="n">
        <v>2.8989</v>
      </c>
      <c r="J79" s="8" t="n">
        <v>0.01867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18.67</v>
      </c>
      <c r="N79" s="9" t="n">
        <v>1365.42</v>
      </c>
      <c r="O79" s="9" t="n">
        <v>316562.72</v>
      </c>
    </row>
    <row r="80" customFormat="false" ht="15" hidden="false" customHeight="false" outlineLevel="0" collapsed="false">
      <c r="A80" s="6" t="n">
        <v>75</v>
      </c>
      <c r="B80" s="5" t="s">
        <v>288</v>
      </c>
      <c r="C80" s="5" t="s">
        <v>496</v>
      </c>
      <c r="D80" s="5" t="s">
        <v>497</v>
      </c>
      <c r="E80" s="5" t="s">
        <v>77</v>
      </c>
      <c r="F80" s="11" t="n">
        <v>76153.93</v>
      </c>
      <c r="G80" s="12" t="n">
        <v>2.8989</v>
      </c>
      <c r="H80" s="12" t="n">
        <v>2.7285</v>
      </c>
      <c r="J80" s="8" t="n">
        <v>-0.17069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1</v>
      </c>
      <c r="M80" s="14" t="n">
        <v>-170.69</v>
      </c>
      <c r="N80" s="9" t="n">
        <v>-12998.52</v>
      </c>
      <c r="O80" s="9" t="n">
        <v>303564.19</v>
      </c>
    </row>
    <row r="81" customFormat="false" ht="15" hidden="false" customHeight="false" outlineLevel="0" collapsed="false">
      <c r="A81" s="6" t="n">
        <v>76</v>
      </c>
      <c r="B81" s="5" t="s">
        <v>288</v>
      </c>
      <c r="C81" s="5" t="s">
        <v>497</v>
      </c>
      <c r="D81" s="5" t="s">
        <v>498</v>
      </c>
      <c r="E81" s="5" t="s">
        <v>81</v>
      </c>
      <c r="F81" s="11" t="n">
        <v>79699.74</v>
      </c>
      <c r="G81" s="12" t="n">
        <v>2.7285</v>
      </c>
      <c r="H81" s="12" t="n">
        <v>2.6973</v>
      </c>
      <c r="J81" s="8" t="n">
        <v>0.03088</v>
      </c>
      <c r="K81" s="13" t="str">
        <f aca="false">IF(J81&gt;0,"прибыль",IF(J81&lt;0,"убыток","ноль"))</f>
        <v>прибыль</v>
      </c>
      <c r="L81" s="13" t="n">
        <f aca="false">IF(C81="",L80,IF(J81&lt;0,L80+1,0))</f>
        <v>0</v>
      </c>
      <c r="M81" s="14" t="n">
        <v>30.88</v>
      </c>
      <c r="N81" s="9" t="n">
        <v>2461.48</v>
      </c>
      <c r="O81" s="9" t="n">
        <v>306025.67</v>
      </c>
    </row>
    <row r="82" customFormat="false" ht="15" hidden="false" customHeight="false" outlineLevel="0" collapsed="false">
      <c r="A82" s="6" t="n">
        <v>77</v>
      </c>
      <c r="B82" s="5" t="s">
        <v>288</v>
      </c>
      <c r="C82" s="5" t="s">
        <v>498</v>
      </c>
      <c r="D82" s="5" t="s">
        <v>499</v>
      </c>
      <c r="E82" s="5" t="s">
        <v>77</v>
      </c>
      <c r="F82" s="11" t="n">
        <v>0</v>
      </c>
      <c r="G82" s="12" t="n">
        <v>2.6973</v>
      </c>
      <c r="H82" s="12" t="n">
        <v>2.8157</v>
      </c>
      <c r="J82" s="8" t="n">
        <v>0.11823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118.23</v>
      </c>
      <c r="N82" s="9" t="n">
        <v>0</v>
      </c>
      <c r="O82" s="9" t="n">
        <v>306025.67</v>
      </c>
    </row>
    <row r="83" customFormat="false" ht="15" hidden="false" customHeight="false" outlineLevel="0" collapsed="false">
      <c r="A83" s="6" t="n">
        <v>78</v>
      </c>
      <c r="B83" s="5" t="s">
        <v>288</v>
      </c>
      <c r="C83" s="5" t="s">
        <v>499</v>
      </c>
      <c r="D83" s="5" t="s">
        <v>500</v>
      </c>
      <c r="E83" s="5" t="s">
        <v>77</v>
      </c>
      <c r="F83" s="11" t="n">
        <v>82245.74</v>
      </c>
      <c r="G83" s="12" t="n">
        <v>2.6973</v>
      </c>
      <c r="H83" s="12" t="n">
        <v>2.4746</v>
      </c>
      <c r="I83" s="5" t="s">
        <v>78</v>
      </c>
      <c r="J83" s="8" t="n">
        <v>-0.22885</v>
      </c>
      <c r="K83" s="13" t="str">
        <f aca="false">IF(J83&gt;0,"прибыль",IF(J83&lt;0,"убыток","ноль"))</f>
        <v>убыток</v>
      </c>
      <c r="L83" s="13" t="n">
        <f aca="false">IF(C83="",L82,IF(J83&lt;0,L82+1,0))</f>
        <v>1</v>
      </c>
      <c r="M83" s="14" t="n">
        <v>-228.85</v>
      </c>
      <c r="N83" s="9" t="n">
        <v>-18822.14</v>
      </c>
      <c r="O83" s="9" t="n">
        <v>287203.53</v>
      </c>
    </row>
    <row r="84" customFormat="false" ht="15" hidden="false" customHeight="false" outlineLevel="0" collapsed="false">
      <c r="A84" s="6" t="n">
        <v>79</v>
      </c>
      <c r="B84" s="5" t="s">
        <v>288</v>
      </c>
      <c r="C84" s="5" t="s">
        <v>500</v>
      </c>
      <c r="D84" s="5" t="s">
        <v>501</v>
      </c>
      <c r="E84" s="5" t="s">
        <v>81</v>
      </c>
      <c r="F84" s="11" t="n">
        <v>138415.67</v>
      </c>
      <c r="G84" s="12" t="n">
        <v>2.4384</v>
      </c>
      <c r="H84" s="12" t="n">
        <v>2.2448</v>
      </c>
      <c r="I84" s="5" t="s">
        <v>78</v>
      </c>
      <c r="J84" s="8" t="n">
        <v>0.28086</v>
      </c>
      <c r="K84" s="13" t="str">
        <f aca="false">IF(J84&gt;0,"прибыль",IF(J84&lt;0,"убыток","ноль"))</f>
        <v>прибыль</v>
      </c>
      <c r="L84" s="13" t="n">
        <f aca="false">IF(C84="",L83,IF(J84&lt;0,L83+1,0))</f>
        <v>0</v>
      </c>
      <c r="M84" s="14" t="n">
        <v>280.86</v>
      </c>
      <c r="N84" s="9" t="n">
        <v>38874.96</v>
      </c>
      <c r="O84" s="9" t="n">
        <v>326078.49</v>
      </c>
    </row>
    <row r="85" customFormat="false" ht="15" hidden="false" customHeight="false" outlineLevel="0" collapsed="false">
      <c r="A85" s="6" t="n">
        <v>80</v>
      </c>
      <c r="B85" s="5" t="s">
        <v>288</v>
      </c>
      <c r="C85" s="5" t="s">
        <v>501</v>
      </c>
      <c r="D85" s="5" t="s">
        <v>502</v>
      </c>
      <c r="E85" s="5" t="s">
        <v>77</v>
      </c>
      <c r="F85" s="11" t="n">
        <v>143993.05</v>
      </c>
      <c r="G85" s="12" t="n">
        <v>2.2448</v>
      </c>
      <c r="H85" s="12" t="n">
        <v>2.2113</v>
      </c>
      <c r="J85" s="8" t="n">
        <v>-0.03378</v>
      </c>
      <c r="K85" s="13" t="str">
        <f aca="false">IF(J85&gt;0,"прибыль",IF(J85&lt;0,"убыток","ноль"))</f>
        <v>убыток</v>
      </c>
      <c r="L85" s="13" t="n">
        <f aca="false">IF(C85="",L84,IF(J85&lt;0,L84+1,0))</f>
        <v>1</v>
      </c>
      <c r="M85" s="14" t="n">
        <v>-33.78</v>
      </c>
      <c r="N85" s="9" t="n">
        <v>-4863.61</v>
      </c>
      <c r="O85" s="9" t="n">
        <v>321214.88</v>
      </c>
    </row>
    <row r="86" customFormat="false" ht="15" hidden="false" customHeight="false" outlineLevel="0" collapsed="false">
      <c r="A86" s="6" t="n">
        <v>81</v>
      </c>
      <c r="B86" s="5" t="s">
        <v>288</v>
      </c>
      <c r="C86" s="5" t="s">
        <v>502</v>
      </c>
      <c r="D86" s="5" t="s">
        <v>503</v>
      </c>
      <c r="E86" s="5" t="s">
        <v>81</v>
      </c>
      <c r="F86" s="11" t="n">
        <v>150688.16</v>
      </c>
      <c r="G86" s="12" t="n">
        <v>2.2113</v>
      </c>
      <c r="H86" s="12" t="n">
        <v>2.1886</v>
      </c>
      <c r="J86" s="8" t="n">
        <v>0.02243</v>
      </c>
      <c r="K86" s="13" t="str">
        <f aca="false">IF(J86&gt;0,"прибыль",IF(J86&lt;0,"убыток","ноль"))</f>
        <v>прибыль</v>
      </c>
      <c r="L86" s="13" t="n">
        <f aca="false">IF(C86="",L85,IF(J86&lt;0,L85+1,0))</f>
        <v>0</v>
      </c>
      <c r="M86" s="14" t="n">
        <v>22.43</v>
      </c>
      <c r="N86" s="9" t="n">
        <v>3380.59</v>
      </c>
      <c r="O86" s="9" t="n">
        <v>324595.47</v>
      </c>
    </row>
    <row r="87" customFormat="false" ht="15" hidden="false" customHeight="false" outlineLevel="0" collapsed="false">
      <c r="A87" s="6" t="n">
        <v>82</v>
      </c>
      <c r="B87" s="5" t="s">
        <v>288</v>
      </c>
      <c r="C87" s="5" t="s">
        <v>503</v>
      </c>
      <c r="D87" s="5" t="s">
        <v>504</v>
      </c>
      <c r="E87" s="5" t="s">
        <v>77</v>
      </c>
      <c r="F87" s="11" t="n">
        <v>153009.86</v>
      </c>
      <c r="G87" s="12" t="n">
        <v>2.1886</v>
      </c>
      <c r="H87" s="12" t="n">
        <v>2.0634</v>
      </c>
      <c r="J87" s="8" t="n">
        <v>-0.12548</v>
      </c>
      <c r="K87" s="13" t="str">
        <f aca="false">IF(J87&gt;0,"прибыль",IF(J87&lt;0,"убыток","ноль"))</f>
        <v>убыток</v>
      </c>
      <c r="L87" s="13" t="n">
        <f aca="false">IF(C87="",L86,IF(J87&lt;0,L86+1,0))</f>
        <v>1</v>
      </c>
      <c r="M87" s="14" t="n">
        <v>-125.48</v>
      </c>
      <c r="N87" s="9" t="n">
        <v>-19199.07</v>
      </c>
      <c r="O87" s="9" t="n">
        <v>305396.4</v>
      </c>
    </row>
    <row r="88" customFormat="false" ht="15" hidden="false" customHeight="false" outlineLevel="0" collapsed="false">
      <c r="A88" s="6" t="n">
        <v>83</v>
      </c>
      <c r="B88" s="5" t="s">
        <v>288</v>
      </c>
      <c r="C88" s="5" t="s">
        <v>504</v>
      </c>
      <c r="D88" s="5" t="s">
        <v>505</v>
      </c>
      <c r="E88" s="5" t="s">
        <v>81</v>
      </c>
      <c r="F88" s="11" t="n">
        <v>31495.18</v>
      </c>
      <c r="G88" s="12" t="n">
        <v>2.0634</v>
      </c>
      <c r="H88" s="12" t="n">
        <v>2.6512</v>
      </c>
      <c r="I88" s="5" t="s">
        <v>78</v>
      </c>
      <c r="J88" s="8" t="n">
        <v>-0.33319</v>
      </c>
      <c r="K88" s="13" t="str">
        <f aca="false">IF(J88&gt;0,"прибыль",IF(J88&lt;0,"убыток","ноль"))</f>
        <v>убыток</v>
      </c>
      <c r="L88" s="13" t="n">
        <f aca="false">IF(C88="",L87,IF(J88&lt;0,L87+1,0))</f>
        <v>2</v>
      </c>
      <c r="M88" s="14" t="n">
        <v>-333.19</v>
      </c>
      <c r="N88" s="9" t="n">
        <v>-10493.87</v>
      </c>
      <c r="O88" s="9" t="n">
        <v>294902.53</v>
      </c>
    </row>
    <row r="89" customFormat="false" ht="15" hidden="false" customHeight="false" outlineLevel="0" collapsed="false">
      <c r="A89" s="6" t="n">
        <v>84</v>
      </c>
      <c r="B89" s="5" t="s">
        <v>288</v>
      </c>
      <c r="C89" s="5" t="s">
        <v>505</v>
      </c>
      <c r="D89" s="5" t="s">
        <v>506</v>
      </c>
      <c r="E89" s="5" t="s">
        <v>81</v>
      </c>
      <c r="F89" s="11" t="n">
        <v>20269.03</v>
      </c>
      <c r="G89" s="12" t="n">
        <v>2.2891</v>
      </c>
      <c r="H89" s="12" t="n">
        <v>2.9619</v>
      </c>
      <c r="I89" s="5" t="s">
        <v>78</v>
      </c>
      <c r="J89" s="8" t="n">
        <v>0.04435</v>
      </c>
      <c r="K89" s="13" t="str">
        <f aca="false">IF(J89&gt;0,"прибыль",IF(J89&lt;0,"убыток","ноль"))</f>
        <v>прибыль</v>
      </c>
      <c r="L89" s="13" t="n">
        <f aca="false">IF(C89="",L88,IF(J89&lt;0,L88+1,0))</f>
        <v>0</v>
      </c>
      <c r="M89" s="14" t="n">
        <v>44.35</v>
      </c>
      <c r="N89" s="9" t="n">
        <v>898.88</v>
      </c>
      <c r="O89" s="9" t="n">
        <v>295801.41</v>
      </c>
    </row>
    <row r="90" customFormat="false" ht="15" hidden="false" customHeight="false" outlineLevel="0" collapsed="false">
      <c r="A90" s="6" t="n">
        <v>85</v>
      </c>
      <c r="B90" s="5" t="s">
        <v>288</v>
      </c>
      <c r="C90" s="5" t="s">
        <v>506</v>
      </c>
      <c r="D90" s="5" t="s">
        <v>507</v>
      </c>
      <c r="E90" s="5" t="s">
        <v>81</v>
      </c>
      <c r="F90" s="11" t="n">
        <v>76593.96</v>
      </c>
      <c r="G90" s="12" t="n">
        <v>3.0065</v>
      </c>
      <c r="H90" s="12" t="n">
        <v>3.3215</v>
      </c>
      <c r="J90" s="8" t="n">
        <v>-0.31534</v>
      </c>
      <c r="K90" s="13" t="str">
        <f aca="false">IF(J90&gt;0,"прибыль",IF(J90&lt;0,"убыток","ноль"))</f>
        <v>убыток</v>
      </c>
      <c r="L90" s="13" t="n">
        <f aca="false">IF(C90="",L89,IF(J90&lt;0,L89+1,0))</f>
        <v>1</v>
      </c>
      <c r="M90" s="14" t="n">
        <v>-315.34</v>
      </c>
      <c r="N90" s="9" t="n">
        <v>-24153.45</v>
      </c>
      <c r="O90" s="9" t="n">
        <v>271647.96</v>
      </c>
    </row>
    <row r="91" customFormat="false" ht="15" hidden="false" customHeight="false" outlineLevel="0" collapsed="false">
      <c r="A91" s="6" t="n">
        <v>86</v>
      </c>
      <c r="B91" s="5" t="s">
        <v>288</v>
      </c>
      <c r="C91" s="5" t="s">
        <v>507</v>
      </c>
      <c r="D91" s="5" t="s">
        <v>508</v>
      </c>
      <c r="E91" s="5" t="s">
        <v>77</v>
      </c>
      <c r="F91" s="11" t="n">
        <v>62809.09</v>
      </c>
      <c r="G91" s="12" t="n">
        <v>3.3215</v>
      </c>
      <c r="H91" s="12" t="n">
        <v>3.3609</v>
      </c>
      <c r="J91" s="8" t="n">
        <v>0.03903</v>
      </c>
      <c r="K91" s="13" t="str">
        <f aca="false">IF(J91&gt;0,"прибыль",IF(J91&lt;0,"убыток","ноль"))</f>
        <v>прибыль</v>
      </c>
      <c r="L91" s="13" t="n">
        <f aca="false">IF(C91="",L90,IF(J91&lt;0,L90+1,0))</f>
        <v>0</v>
      </c>
      <c r="M91" s="14" t="n">
        <v>39.03</v>
      </c>
      <c r="N91" s="9" t="n">
        <v>2451.44</v>
      </c>
      <c r="O91" s="9" t="n">
        <v>274099.4</v>
      </c>
    </row>
    <row r="92" customFormat="false" ht="15" hidden="false" customHeight="false" outlineLevel="0" collapsed="false">
      <c r="A92" s="6" t="n">
        <v>87</v>
      </c>
      <c r="B92" s="5" t="s">
        <v>288</v>
      </c>
      <c r="C92" s="5" t="s">
        <v>508</v>
      </c>
      <c r="D92" s="5" t="s">
        <v>509</v>
      </c>
      <c r="E92" s="5" t="s">
        <v>81</v>
      </c>
      <c r="F92" s="11" t="n">
        <v>61239.28</v>
      </c>
      <c r="G92" s="12" t="n">
        <v>3.3609</v>
      </c>
      <c r="H92" s="12" t="n">
        <v>3.3738</v>
      </c>
      <c r="I92" s="5" t="s">
        <v>78</v>
      </c>
      <c r="J92" s="8" t="n">
        <v>-0.01818</v>
      </c>
      <c r="K92" s="13" t="str">
        <f aca="false">IF(J92&gt;0,"прибыль",IF(J92&lt;0,"убыток","ноль"))</f>
        <v>убыток</v>
      </c>
      <c r="L92" s="13" t="n">
        <f aca="false">IF(C92="",L91,IF(J92&lt;0,L91+1,0))</f>
        <v>1</v>
      </c>
      <c r="M92" s="14" t="n">
        <v>-18.18</v>
      </c>
      <c r="N92" s="9" t="n">
        <v>-1113.16</v>
      </c>
      <c r="O92" s="9" t="n">
        <v>272986.24</v>
      </c>
    </row>
    <row r="93" customFormat="false" ht="15" hidden="false" customHeight="false" outlineLevel="0" collapsed="false">
      <c r="A93" s="6" t="n">
        <v>88</v>
      </c>
      <c r="B93" s="5" t="s">
        <v>288</v>
      </c>
      <c r="C93" s="5" t="s">
        <v>509</v>
      </c>
      <c r="D93" s="5" t="s">
        <v>510</v>
      </c>
      <c r="E93" s="5" t="s">
        <v>77</v>
      </c>
      <c r="F93" s="11" t="n">
        <v>59155.28</v>
      </c>
      <c r="G93" s="12" t="n">
        <v>3.3738</v>
      </c>
      <c r="H93" s="12" t="n">
        <v>3.2154</v>
      </c>
      <c r="J93" s="8" t="n">
        <v>-0.15871</v>
      </c>
      <c r="K93" s="13" t="str">
        <f aca="false">IF(J93&gt;0,"прибыль",IF(J93&lt;0,"убыток","ноль"))</f>
        <v>убыток</v>
      </c>
      <c r="L93" s="13" t="n">
        <f aca="false">IF(C93="",L92,IF(J93&lt;0,L92+1,0))</f>
        <v>2</v>
      </c>
      <c r="M93" s="14" t="n">
        <v>-158.71</v>
      </c>
      <c r="N93" s="9" t="n">
        <v>-9388.54</v>
      </c>
      <c r="O93" s="9" t="n">
        <v>263597.7</v>
      </c>
    </row>
    <row r="94" customFormat="false" ht="15" hidden="false" customHeight="false" outlineLevel="0" collapsed="false">
      <c r="A94" s="6" t="n">
        <v>89</v>
      </c>
      <c r="B94" s="5" t="s">
        <v>288</v>
      </c>
      <c r="C94" s="5" t="s">
        <v>510</v>
      </c>
      <c r="D94" s="5" t="s">
        <v>511</v>
      </c>
      <c r="E94" s="5" t="s">
        <v>81</v>
      </c>
      <c r="F94" s="11" t="n">
        <v>60338.11</v>
      </c>
      <c r="G94" s="12" t="n">
        <v>3.2154</v>
      </c>
      <c r="H94" s="12" t="n">
        <v>3.3297</v>
      </c>
      <c r="J94" s="8" t="n">
        <v>-0.11466</v>
      </c>
      <c r="K94" s="13" t="str">
        <f aca="false">IF(J94&gt;0,"прибыль",IF(J94&lt;0,"убыток","ноль"))</f>
        <v>убыток</v>
      </c>
      <c r="L94" s="13" t="n">
        <f aca="false">IF(C94="",L93,IF(J94&lt;0,L93+1,0))</f>
        <v>3</v>
      </c>
      <c r="M94" s="14" t="n">
        <v>-114.66</v>
      </c>
      <c r="N94" s="9" t="n">
        <v>-6918.29</v>
      </c>
      <c r="O94" s="9" t="n">
        <v>256679.41</v>
      </c>
    </row>
    <row r="95" customFormat="false" ht="15" hidden="false" customHeight="false" outlineLevel="0" collapsed="false">
      <c r="A95" s="6" t="n">
        <v>90</v>
      </c>
      <c r="B95" s="5" t="s">
        <v>288</v>
      </c>
      <c r="C95" s="5" t="s">
        <v>511</v>
      </c>
      <c r="D95" s="5" t="s">
        <v>512</v>
      </c>
      <c r="E95" s="5" t="s">
        <v>77</v>
      </c>
      <c r="F95" s="11" t="n">
        <v>0</v>
      </c>
      <c r="G95" s="12" t="n">
        <v>3.3297</v>
      </c>
      <c r="H95" s="12" t="n">
        <v>3.1767</v>
      </c>
      <c r="J95" s="8" t="n">
        <v>-0.15314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4</v>
      </c>
      <c r="M95" s="14" t="n">
        <v>-153.14</v>
      </c>
      <c r="N95" s="9" t="n">
        <v>0</v>
      </c>
      <c r="O95" s="9" t="n">
        <v>256679.41</v>
      </c>
    </row>
    <row r="96" customFormat="false" ht="15" hidden="false" customHeight="false" outlineLevel="0" collapsed="false">
      <c r="A96" s="6" t="n">
        <v>91</v>
      </c>
      <c r="B96" s="5" t="s">
        <v>288</v>
      </c>
      <c r="C96" s="5" t="s">
        <v>512</v>
      </c>
      <c r="D96" s="5" t="s">
        <v>513</v>
      </c>
      <c r="E96" s="5" t="s">
        <v>77</v>
      </c>
      <c r="F96" s="11" t="n">
        <v>59880.11</v>
      </c>
      <c r="G96" s="12" t="n">
        <v>3.3297</v>
      </c>
      <c r="H96" s="12" t="n">
        <v>3.0455</v>
      </c>
      <c r="J96" s="8" t="n">
        <v>-0.28455</v>
      </c>
      <c r="K96" s="13" t="str">
        <f aca="false">IF(J96&gt;0,"прибыль",IF(J96&lt;0,"убыток","ноль"))</f>
        <v>убыток</v>
      </c>
      <c r="L96" s="13" t="n">
        <f aca="false">IF(C96="",L95,IF(J96&lt;0,L95+1,0))</f>
        <v>5</v>
      </c>
      <c r="M96" s="14" t="n">
        <v>-284.55</v>
      </c>
      <c r="N96" s="9" t="n">
        <v>-17038.75</v>
      </c>
      <c r="O96" s="9" t="n">
        <v>239640.66</v>
      </c>
    </row>
    <row r="97" customFormat="false" ht="15" hidden="false" customHeight="false" outlineLevel="0" collapsed="false">
      <c r="A97" s="6" t="n">
        <v>92</v>
      </c>
      <c r="B97" s="5" t="s">
        <v>288</v>
      </c>
      <c r="C97" s="5" t="s">
        <v>513</v>
      </c>
      <c r="D97" s="5" t="s">
        <v>514</v>
      </c>
      <c r="E97" s="5" t="s">
        <v>81</v>
      </c>
      <c r="F97" s="11" t="n">
        <v>60129.49</v>
      </c>
      <c r="G97" s="12" t="n">
        <v>3.0455</v>
      </c>
      <c r="H97" s="12" t="n">
        <v>3.0946</v>
      </c>
      <c r="J97" s="8" t="n">
        <v>-0.04943</v>
      </c>
      <c r="K97" s="13" t="str">
        <f aca="false">IF(J97&gt;0,"прибыль",IF(J97&lt;0,"убыток","ноль"))</f>
        <v>убыток</v>
      </c>
      <c r="L97" s="13" t="n">
        <f aca="false">IF(C97="",L96,IF(J97&lt;0,L96+1,0))</f>
        <v>6</v>
      </c>
      <c r="M97" s="14" t="n">
        <v>-49.43</v>
      </c>
      <c r="N97" s="9" t="n">
        <v>-2972.47</v>
      </c>
      <c r="O97" s="9" t="n">
        <v>236668.19</v>
      </c>
    </row>
    <row r="98" customFormat="false" ht="15" hidden="false" customHeight="false" outlineLevel="0" collapsed="false">
      <c r="A98" s="6" t="n">
        <v>93</v>
      </c>
      <c r="B98" s="5" t="s">
        <v>288</v>
      </c>
      <c r="C98" s="5" t="s">
        <v>514</v>
      </c>
      <c r="D98" s="5" t="s">
        <v>378</v>
      </c>
      <c r="E98" s="5" t="s">
        <v>77</v>
      </c>
      <c r="F98" s="11" t="n">
        <v>14245.47</v>
      </c>
      <c r="G98" s="12" t="n">
        <v>3.0946</v>
      </c>
      <c r="H98" s="12" t="n">
        <v>3.6566</v>
      </c>
      <c r="I98" s="5" t="s">
        <v>78</v>
      </c>
      <c r="J98" s="8" t="n">
        <v>0.82834</v>
      </c>
      <c r="K98" s="13" t="str">
        <f aca="false">IF(J98&gt;0,"прибыль",IF(J98&lt;0,"убыток","ноль"))</f>
        <v>прибыль</v>
      </c>
      <c r="L98" s="13" t="n">
        <f aca="false">IF(C98="",L97,IF(J98&lt;0,L97+1,0))</f>
        <v>0</v>
      </c>
      <c r="M98" s="14" t="n">
        <v>828.34</v>
      </c>
      <c r="N98" s="9" t="n">
        <v>11800.11</v>
      </c>
      <c r="O98" s="9" t="n">
        <v>248468.29</v>
      </c>
    </row>
    <row r="99" customFormat="false" ht="15" hidden="false" customHeight="false" outlineLevel="0" collapsed="false">
      <c r="A99" s="6" t="n">
        <v>94</v>
      </c>
      <c r="B99" s="5" t="s">
        <v>288</v>
      </c>
      <c r="C99" s="5" t="s">
        <v>378</v>
      </c>
      <c r="D99" s="5" t="s">
        <v>515</v>
      </c>
      <c r="E99" s="5" t="s">
        <v>77</v>
      </c>
      <c r="F99" s="11" t="n">
        <v>10722.28</v>
      </c>
      <c r="G99" s="12" t="n">
        <v>2.828</v>
      </c>
      <c r="H99" s="12" t="n">
        <v>3.598</v>
      </c>
      <c r="J99" s="8" t="n">
        <v>0.76977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769.77</v>
      </c>
      <c r="N99" s="9" t="n">
        <v>8253.73</v>
      </c>
      <c r="O99" s="9" t="n">
        <v>256722.03</v>
      </c>
    </row>
    <row r="100" customFormat="false" ht="15" hidden="false" customHeight="false" outlineLevel="0" collapsed="false">
      <c r="A100" s="6" t="n">
        <v>95</v>
      </c>
      <c r="B100" s="5" t="s">
        <v>288</v>
      </c>
      <c r="C100" s="5" t="s">
        <v>515</v>
      </c>
      <c r="D100" s="5" t="s">
        <v>516</v>
      </c>
      <c r="E100" s="5" t="s">
        <v>77</v>
      </c>
      <c r="F100" s="11" t="n">
        <v>10814.88</v>
      </c>
      <c r="G100" s="12" t="n">
        <v>2.9576</v>
      </c>
      <c r="H100" s="12" t="n">
        <v>4.352</v>
      </c>
      <c r="I100" s="5" t="s">
        <v>78</v>
      </c>
      <c r="J100" s="8" t="n">
        <v>1.60626</v>
      </c>
      <c r="K100" s="13" t="str">
        <f aca="false">IF(J100&gt;0,"прибыль",IF(J100&lt;0,"убыток","ноль"))</f>
        <v>прибыль</v>
      </c>
      <c r="L100" s="13" t="n">
        <f aca="false">IF(C100="",L99,IF(J100&lt;0,L99+1,0))</f>
        <v>0</v>
      </c>
      <c r="M100" s="14" t="n">
        <v>1606.26</v>
      </c>
      <c r="N100" s="9" t="n">
        <v>17371.47</v>
      </c>
      <c r="O100" s="9" t="n">
        <v>274093.5</v>
      </c>
    </row>
    <row r="101" customFormat="false" ht="15" hidden="false" customHeight="false" outlineLevel="0" collapsed="false">
      <c r="A101" s="6" t="n">
        <v>96</v>
      </c>
      <c r="B101" s="5" t="s">
        <v>288</v>
      </c>
      <c r="C101" s="5" t="s">
        <v>516</v>
      </c>
      <c r="D101" s="5" t="s">
        <v>517</v>
      </c>
      <c r="E101" s="5" t="s">
        <v>77</v>
      </c>
      <c r="F101" s="11" t="n">
        <v>71239.28</v>
      </c>
      <c r="G101" s="12" t="n">
        <v>3.2372</v>
      </c>
      <c r="H101" s="12" t="n">
        <v>3.3682</v>
      </c>
      <c r="I101" s="5" t="s">
        <v>78</v>
      </c>
      <c r="J101" s="8" t="n">
        <v>-0.19807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1</v>
      </c>
      <c r="M101" s="14" t="n">
        <v>-198.07</v>
      </c>
      <c r="N101" s="9" t="n">
        <v>-14110.49</v>
      </c>
      <c r="O101" s="9" t="n">
        <v>259983.01</v>
      </c>
    </row>
    <row r="102" customFormat="false" ht="15" hidden="false" customHeight="false" outlineLevel="0" collapsed="false">
      <c r="A102" s="6" t="n">
        <v>97</v>
      </c>
      <c r="B102" s="5" t="s">
        <v>288</v>
      </c>
      <c r="C102" s="5" t="s">
        <v>517</v>
      </c>
      <c r="D102" s="5" t="s">
        <v>518</v>
      </c>
      <c r="E102" s="5" t="s">
        <v>81</v>
      </c>
      <c r="F102" s="11" t="n">
        <v>0</v>
      </c>
      <c r="G102" s="12" t="n">
        <v>3.3682</v>
      </c>
      <c r="H102" s="12" t="n">
        <v>3.4368</v>
      </c>
      <c r="J102" s="8" t="n">
        <v>-0.06881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2</v>
      </c>
      <c r="M102" s="14" t="n">
        <v>-68.81</v>
      </c>
      <c r="N102" s="9" t="n">
        <v>0</v>
      </c>
      <c r="O102" s="9" t="n">
        <v>259983.01</v>
      </c>
    </row>
    <row r="103" customFormat="false" ht="15" hidden="false" customHeight="false" outlineLevel="0" collapsed="false">
      <c r="A103" s="6" t="n">
        <v>98</v>
      </c>
      <c r="B103" s="5" t="s">
        <v>288</v>
      </c>
      <c r="C103" s="5" t="s">
        <v>518</v>
      </c>
      <c r="D103" s="5" t="s">
        <v>519</v>
      </c>
      <c r="E103" s="5" t="s">
        <v>81</v>
      </c>
      <c r="F103" s="11" t="n">
        <v>79293.32</v>
      </c>
      <c r="G103" s="12" t="n">
        <v>3.3682</v>
      </c>
      <c r="H103" s="12" t="n">
        <v>3.6703</v>
      </c>
      <c r="J103" s="8" t="n">
        <v>-0.30242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3</v>
      </c>
      <c r="M103" s="14" t="n">
        <v>-302.42</v>
      </c>
      <c r="N103" s="9" t="n">
        <v>-23980.28</v>
      </c>
      <c r="O103" s="9" t="n">
        <v>236002.73</v>
      </c>
    </row>
    <row r="104" customFormat="false" ht="15" hidden="false" customHeight="false" outlineLevel="0" collapsed="false">
      <c r="A104" s="6" t="n">
        <v>99</v>
      </c>
      <c r="B104" s="5" t="s">
        <v>288</v>
      </c>
      <c r="C104" s="5" t="s">
        <v>519</v>
      </c>
      <c r="D104" s="5" t="s">
        <v>520</v>
      </c>
      <c r="E104" s="5" t="s">
        <v>77</v>
      </c>
      <c r="F104" s="11" t="n">
        <v>64234.6</v>
      </c>
      <c r="G104" s="12" t="n">
        <v>3.6703</v>
      </c>
      <c r="H104" s="12" t="n">
        <v>3.6043</v>
      </c>
      <c r="J104" s="8" t="n">
        <v>-0.06637</v>
      </c>
      <c r="K104" s="13" t="str">
        <f aca="false">IF(J104&gt;0,"прибыль",IF(J104&lt;0,"убыток","ноль"))</f>
        <v>убыток</v>
      </c>
      <c r="L104" s="13" t="n">
        <f aca="false">IF(C104="",L103,IF(J104&lt;0,L103+1,0))</f>
        <v>4</v>
      </c>
      <c r="M104" s="14" t="n">
        <v>-66.37</v>
      </c>
      <c r="N104" s="9" t="n">
        <v>-4263.44</v>
      </c>
      <c r="O104" s="9" t="n">
        <v>231739.29</v>
      </c>
    </row>
    <row r="105" customFormat="false" ht="15" hidden="false" customHeight="false" outlineLevel="0" collapsed="false">
      <c r="A105" s="6" t="n">
        <v>100</v>
      </c>
      <c r="B105" s="5" t="s">
        <v>288</v>
      </c>
      <c r="C105" s="5" t="s">
        <v>520</v>
      </c>
      <c r="D105" s="5" t="s">
        <v>521</v>
      </c>
      <c r="E105" s="5" t="s">
        <v>81</v>
      </c>
      <c r="F105" s="11" t="n">
        <v>70004.95</v>
      </c>
      <c r="G105" s="12" t="n">
        <v>3.6043</v>
      </c>
      <c r="H105" s="12" t="n">
        <v>3.6407</v>
      </c>
      <c r="J105" s="8" t="n">
        <v>-0.03676</v>
      </c>
      <c r="K105" s="13" t="str">
        <f aca="false">IF(J105&gt;0,"прибыль",IF(J105&lt;0,"убыток","ноль"))</f>
        <v>убыток</v>
      </c>
      <c r="L105" s="13" t="n">
        <f aca="false">IF(C105="",L104,IF(J105&lt;0,L104+1,0))</f>
        <v>5</v>
      </c>
      <c r="M105" s="14" t="n">
        <v>-36.76</v>
      </c>
      <c r="N105" s="9" t="n">
        <v>-2573.73</v>
      </c>
      <c r="O105" s="9" t="n">
        <v>229165.56</v>
      </c>
    </row>
    <row r="106" customFormat="false" ht="15" hidden="false" customHeight="false" outlineLevel="0" collapsed="false">
      <c r="A106" s="6" t="n">
        <v>101</v>
      </c>
      <c r="B106" s="5" t="s">
        <v>288</v>
      </c>
      <c r="C106" s="5" t="s">
        <v>521</v>
      </c>
      <c r="D106" s="5" t="s">
        <v>522</v>
      </c>
      <c r="E106" s="5" t="s">
        <v>77</v>
      </c>
      <c r="F106" s="11" t="n">
        <v>85480.81</v>
      </c>
      <c r="G106" s="12" t="n">
        <v>3.6518</v>
      </c>
      <c r="H106" s="12" t="n">
        <v>3.5947</v>
      </c>
      <c r="J106" s="8" t="n">
        <v>-0.05756</v>
      </c>
      <c r="K106" s="13" t="str">
        <f aca="false">IF(J106&gt;0,"прибыль",IF(J106&lt;0,"убыток","ноль"))</f>
        <v>убыток</v>
      </c>
      <c r="L106" s="13" t="n">
        <f aca="false">IF(C106="",L105,IF(J106&lt;0,L105+1,0))</f>
        <v>6</v>
      </c>
      <c r="M106" s="14" t="n">
        <v>-57.56</v>
      </c>
      <c r="N106" s="9" t="n">
        <v>-4920.32</v>
      </c>
      <c r="O106" s="9" t="n">
        <v>224245.24</v>
      </c>
    </row>
    <row r="107" customFormat="false" ht="15" hidden="false" customHeight="false" outlineLevel="0" collapsed="false">
      <c r="A107" s="6" t="n">
        <v>102</v>
      </c>
      <c r="B107" s="5" t="s">
        <v>288</v>
      </c>
      <c r="C107" s="5" t="s">
        <v>522</v>
      </c>
      <c r="D107" s="5" t="s">
        <v>523</v>
      </c>
      <c r="E107" s="5" t="s">
        <v>81</v>
      </c>
      <c r="F107" s="11" t="n">
        <v>86783.05</v>
      </c>
      <c r="G107" s="12" t="n">
        <v>3.5947</v>
      </c>
      <c r="H107" s="12" t="n">
        <v>3.471</v>
      </c>
      <c r="J107" s="8" t="n">
        <v>0.12327</v>
      </c>
      <c r="K107" s="13" t="str">
        <f aca="false">IF(J107&gt;0,"прибыль",IF(J107&lt;0,"убыток","ноль"))</f>
        <v>прибыль</v>
      </c>
      <c r="L107" s="13" t="n">
        <f aca="false">IF(C107="",L106,IF(J107&lt;0,L106+1,0))</f>
        <v>0</v>
      </c>
      <c r="M107" s="14" t="n">
        <v>123.27</v>
      </c>
      <c r="N107" s="9" t="n">
        <v>10697.5</v>
      </c>
      <c r="O107" s="9" t="n">
        <v>234942.74</v>
      </c>
    </row>
    <row r="108" customFormat="false" ht="15" hidden="false" customHeight="false" outlineLevel="0" collapsed="false">
      <c r="A108" s="6" t="n">
        <v>103</v>
      </c>
      <c r="B108" s="5" t="s">
        <v>288</v>
      </c>
      <c r="C108" s="5" t="s">
        <v>523</v>
      </c>
      <c r="D108" s="5" t="s">
        <v>524</v>
      </c>
      <c r="E108" s="5" t="s">
        <v>77</v>
      </c>
      <c r="F108" s="11" t="n">
        <v>92083.19</v>
      </c>
      <c r="G108" s="12" t="n">
        <v>3.471</v>
      </c>
      <c r="H108" s="12" t="n">
        <v>3.3601</v>
      </c>
      <c r="J108" s="8" t="n">
        <v>-0.11129</v>
      </c>
      <c r="K108" s="13" t="str">
        <f aca="false">IF(J108&gt;0,"прибыль",IF(J108&lt;0,"убыток","ноль"))</f>
        <v>убыток</v>
      </c>
      <c r="L108" s="13" t="n">
        <f aca="false">IF(C108="",L107,IF(J108&lt;0,L107+1,0))</f>
        <v>1</v>
      </c>
      <c r="M108" s="14" t="n">
        <v>-111.29</v>
      </c>
      <c r="N108" s="9" t="n">
        <v>-10247.62</v>
      </c>
      <c r="O108" s="9" t="n">
        <v>224695.12</v>
      </c>
    </row>
    <row r="109" customFormat="false" ht="15" hidden="false" customHeight="false" outlineLevel="0" collapsed="false">
      <c r="A109" s="6" t="n">
        <v>104</v>
      </c>
      <c r="B109" s="5" t="s">
        <v>288</v>
      </c>
      <c r="C109" s="5" t="s">
        <v>524</v>
      </c>
      <c r="D109" s="5" t="s">
        <v>525</v>
      </c>
      <c r="E109" s="5" t="s">
        <v>81</v>
      </c>
      <c r="F109" s="11" t="n">
        <v>25503.79</v>
      </c>
      <c r="G109" s="12" t="n">
        <v>3.3601</v>
      </c>
      <c r="H109" s="12" t="n">
        <v>3.3706</v>
      </c>
      <c r="J109" s="8" t="n">
        <v>-0.01073</v>
      </c>
      <c r="K109" s="13" t="str">
        <f aca="false">IF(J109&gt;0,"прибыль",IF(J109&lt;0,"убыток","ноль"))</f>
        <v>убыток</v>
      </c>
      <c r="L109" s="13" t="n">
        <f aca="false">IF(C109="",L108,IF(J109&lt;0,L108+1,0))</f>
        <v>2</v>
      </c>
      <c r="M109" s="14" t="n">
        <v>-10.73</v>
      </c>
      <c r="N109" s="9" t="n">
        <v>-273.61</v>
      </c>
      <c r="O109" s="9" t="n">
        <v>224421.51</v>
      </c>
    </row>
    <row r="110" customFormat="false" ht="15" hidden="false" customHeight="false" outlineLevel="0" collapsed="false">
      <c r="A110" s="6" t="n">
        <v>105</v>
      </c>
      <c r="B110" s="5" t="s">
        <v>288</v>
      </c>
      <c r="C110" s="5" t="s">
        <v>525</v>
      </c>
      <c r="D110" s="5" t="s">
        <v>526</v>
      </c>
      <c r="E110" s="5" t="s">
        <v>81</v>
      </c>
      <c r="F110" s="11" t="n">
        <v>64988.04</v>
      </c>
      <c r="G110" s="12" t="n">
        <v>3.3601</v>
      </c>
      <c r="H110" s="12" t="n">
        <v>3.7601</v>
      </c>
      <c r="I110" s="5" t="s">
        <v>78</v>
      </c>
      <c r="J110" s="8" t="n">
        <v>-0.24609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3</v>
      </c>
      <c r="M110" s="14" t="n">
        <v>-246.09</v>
      </c>
      <c r="N110" s="9" t="n">
        <v>-15992.73</v>
      </c>
      <c r="O110" s="9" t="n">
        <v>208428.78</v>
      </c>
    </row>
    <row r="111" customFormat="false" ht="15" hidden="false" customHeight="false" outlineLevel="0" collapsed="false">
      <c r="A111" s="6" t="n">
        <v>106</v>
      </c>
      <c r="B111" s="5" t="s">
        <v>288</v>
      </c>
      <c r="C111" s="5" t="s">
        <v>526</v>
      </c>
      <c r="D111" s="5" t="s">
        <v>527</v>
      </c>
      <c r="E111" s="5" t="s">
        <v>77</v>
      </c>
      <c r="F111" s="11" t="n">
        <v>65718.29</v>
      </c>
      <c r="G111" s="12" t="n">
        <v>3.7601</v>
      </c>
      <c r="H111" s="12" t="n">
        <v>3.5282</v>
      </c>
      <c r="J111" s="8" t="n">
        <v>-0.23226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4</v>
      </c>
      <c r="M111" s="14" t="n">
        <v>-232.26</v>
      </c>
      <c r="N111" s="9" t="n">
        <v>-15263.47</v>
      </c>
      <c r="O111" s="9" t="n">
        <v>193165.32</v>
      </c>
    </row>
    <row r="112" customFormat="false" ht="15" hidden="false" customHeight="false" outlineLevel="0" collapsed="false">
      <c r="A112" s="6" t="n">
        <v>107</v>
      </c>
      <c r="B112" s="5" t="s">
        <v>288</v>
      </c>
      <c r="C112" s="5" t="s">
        <v>527</v>
      </c>
      <c r="D112" s="5" t="s">
        <v>528</v>
      </c>
      <c r="E112" s="5" t="s">
        <v>81</v>
      </c>
      <c r="F112" s="11" t="n">
        <v>68056.33</v>
      </c>
      <c r="G112" s="12" t="n">
        <v>3.5282</v>
      </c>
      <c r="H112" s="12" t="n">
        <v>3.9919</v>
      </c>
      <c r="J112" s="8" t="n">
        <v>-0.46414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5</v>
      </c>
      <c r="M112" s="14" t="n">
        <v>-464.14</v>
      </c>
      <c r="N112" s="9" t="n">
        <v>-31587.45</v>
      </c>
      <c r="O112" s="9" t="n">
        <v>161577.86</v>
      </c>
    </row>
    <row r="113" customFormat="false" ht="15" hidden="false" customHeight="false" outlineLevel="0" collapsed="false">
      <c r="A113" s="6" t="n">
        <v>108</v>
      </c>
      <c r="B113" s="5" t="s">
        <v>288</v>
      </c>
      <c r="C113" s="5" t="s">
        <v>528</v>
      </c>
      <c r="D113" s="5" t="s">
        <v>529</v>
      </c>
      <c r="E113" s="5" t="s">
        <v>77</v>
      </c>
      <c r="F113" s="11" t="n">
        <v>81339.51</v>
      </c>
      <c r="G113" s="12" t="n">
        <v>3.9919</v>
      </c>
      <c r="H113" s="12" t="n">
        <v>3.893</v>
      </c>
      <c r="J113" s="8" t="n">
        <v>-0.09925</v>
      </c>
      <c r="K113" s="13" t="str">
        <f aca="false">IF(J113&gt;0,"прибыль",IF(J113&lt;0,"убыток","ноль"))</f>
        <v>убыток</v>
      </c>
      <c r="L113" s="13" t="n">
        <f aca="false">IF(C113="",L112,IF(J113&lt;0,L112+1,0))</f>
        <v>6</v>
      </c>
      <c r="M113" s="14" t="n">
        <v>-99.25</v>
      </c>
      <c r="N113" s="9" t="n">
        <v>-8072.69</v>
      </c>
      <c r="O113" s="9" t="n">
        <v>153505.17</v>
      </c>
    </row>
    <row r="114" customFormat="false" ht="15" hidden="false" customHeight="false" outlineLevel="0" collapsed="false">
      <c r="A114" s="6" t="n">
        <v>109</v>
      </c>
      <c r="B114" s="5" t="s">
        <v>288</v>
      </c>
      <c r="C114" s="5" t="s">
        <v>529</v>
      </c>
      <c r="D114" s="5" t="s">
        <v>398</v>
      </c>
      <c r="E114" s="5" t="s">
        <v>81</v>
      </c>
      <c r="F114" s="11" t="n">
        <v>35758.43</v>
      </c>
      <c r="G114" s="12" t="n">
        <v>3.0692</v>
      </c>
      <c r="H114" s="12" t="n">
        <v>3.4499</v>
      </c>
      <c r="I114" s="5" t="s">
        <v>78</v>
      </c>
      <c r="J114" s="8" t="n">
        <v>0.61236</v>
      </c>
      <c r="K114" s="13" t="str">
        <f aca="false">IF(J114&gt;0,"прибыль",IF(J114&lt;0,"убыток","ноль"))</f>
        <v>прибыль</v>
      </c>
      <c r="L114" s="13" t="n">
        <f aca="false">IF(C114="",L113,IF(J114&lt;0,L113+1,0))</f>
        <v>0</v>
      </c>
      <c r="M114" s="14" t="n">
        <v>612.36</v>
      </c>
      <c r="N114" s="9" t="n">
        <v>21896.91</v>
      </c>
      <c r="O114" s="9" t="n">
        <v>175402.08</v>
      </c>
    </row>
    <row r="115" customFormat="false" ht="15" hidden="false" customHeight="false" outlineLevel="0" collapsed="false">
      <c r="A115" s="6" t="n">
        <v>110</v>
      </c>
      <c r="B115" s="5" t="s">
        <v>288</v>
      </c>
      <c r="C115" s="5" t="s">
        <v>398</v>
      </c>
      <c r="D115" s="5" t="s">
        <v>530</v>
      </c>
      <c r="E115" s="5" t="s">
        <v>81</v>
      </c>
      <c r="F115" s="11" t="n">
        <v>38163.98</v>
      </c>
      <c r="G115" s="12" t="n">
        <v>4.0629</v>
      </c>
      <c r="H115" s="12" t="n">
        <v>3.3948</v>
      </c>
      <c r="J115" s="8" t="n">
        <v>0.66793</v>
      </c>
      <c r="K115" s="13" t="str">
        <f aca="false">IF(J115&gt;0,"прибыль",IF(J115&lt;0,"убыток","ноль"))</f>
        <v>прибыль</v>
      </c>
      <c r="L115" s="13" t="n">
        <f aca="false">IF(C115="",L114,IF(J115&lt;0,L114+1,0))</f>
        <v>0</v>
      </c>
      <c r="M115" s="14" t="n">
        <v>667.93</v>
      </c>
      <c r="N115" s="9" t="n">
        <v>25490.72</v>
      </c>
      <c r="O115" s="9" t="n">
        <v>200892.79</v>
      </c>
    </row>
    <row r="116" customFormat="false" ht="15" hidden="false" customHeight="false" outlineLevel="0" collapsed="false">
      <c r="A116" s="6" t="n">
        <v>111</v>
      </c>
      <c r="B116" s="5" t="s">
        <v>288</v>
      </c>
      <c r="C116" s="5" t="s">
        <v>530</v>
      </c>
      <c r="D116" s="5" t="s">
        <v>531</v>
      </c>
      <c r="E116" s="5" t="s">
        <v>81</v>
      </c>
      <c r="F116" s="11" t="n">
        <v>69523.86</v>
      </c>
      <c r="G116" s="12" t="n">
        <v>4.0629</v>
      </c>
      <c r="H116" s="12" t="n">
        <v>4.4086</v>
      </c>
      <c r="I116" s="5" t="s">
        <v>78</v>
      </c>
      <c r="J116" s="8" t="n">
        <v>0.25003</v>
      </c>
      <c r="K116" s="13" t="str">
        <f aca="false">IF(J116&gt;0,"прибыль",IF(J116&lt;0,"убыток","ноль"))</f>
        <v>прибыль</v>
      </c>
      <c r="L116" s="13" t="n">
        <f aca="false">IF(C116="",L115,IF(J116&lt;0,L115+1,0))</f>
        <v>0</v>
      </c>
      <c r="M116" s="14" t="n">
        <v>250.03</v>
      </c>
      <c r="N116" s="9" t="n">
        <v>17383.33</v>
      </c>
      <c r="O116" s="9" t="n">
        <v>218276.12</v>
      </c>
    </row>
    <row r="117" customFormat="false" ht="15" hidden="false" customHeight="false" outlineLevel="0" collapsed="false">
      <c r="A117" s="6" t="n">
        <v>112</v>
      </c>
      <c r="B117" s="5" t="s">
        <v>288</v>
      </c>
      <c r="C117" s="5" t="s">
        <v>531</v>
      </c>
      <c r="D117" s="5" t="s">
        <v>532</v>
      </c>
      <c r="E117" s="5" t="s">
        <v>77</v>
      </c>
      <c r="F117" s="11" t="n">
        <v>0</v>
      </c>
      <c r="G117" s="12" t="n">
        <v>4.4086</v>
      </c>
      <c r="H117" s="12" t="n">
        <v>4.3026</v>
      </c>
      <c r="J117" s="8" t="n">
        <v>-0.10628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1</v>
      </c>
      <c r="M117" s="14" t="n">
        <v>-106.28</v>
      </c>
      <c r="N117" s="9" t="n">
        <v>0</v>
      </c>
      <c r="O117" s="9" t="n">
        <v>218276.12</v>
      </c>
    </row>
    <row r="118" customFormat="false" ht="15" hidden="false" customHeight="false" outlineLevel="0" collapsed="false">
      <c r="A118" s="6" t="n">
        <v>113</v>
      </c>
      <c r="B118" s="5" t="s">
        <v>288</v>
      </c>
      <c r="C118" s="5" t="s">
        <v>532</v>
      </c>
      <c r="D118" s="5" t="s">
        <v>533</v>
      </c>
      <c r="E118" s="5" t="s">
        <v>77</v>
      </c>
      <c r="F118" s="11" t="n">
        <v>26534.69</v>
      </c>
      <c r="G118" s="12" t="n">
        <v>4.4551</v>
      </c>
      <c r="H118" s="12" t="n">
        <v>4.8374</v>
      </c>
      <c r="I118" s="5" t="s">
        <v>78</v>
      </c>
      <c r="J118" s="8" t="n">
        <v>0.4308</v>
      </c>
      <c r="K118" s="13" t="str">
        <f aca="false">IF(J118&gt;0,"прибыль",IF(J118&lt;0,"убыток","ноль"))</f>
        <v>прибыль</v>
      </c>
      <c r="L118" s="13" t="n">
        <f aca="false">IF(C118="",L117,IF(J118&lt;0,L117+1,0))</f>
        <v>0</v>
      </c>
      <c r="M118" s="14" t="n">
        <v>430.8</v>
      </c>
      <c r="N118" s="9" t="n">
        <v>11431.24</v>
      </c>
      <c r="O118" s="9" t="n">
        <v>229707.36</v>
      </c>
    </row>
    <row r="119" customFormat="false" ht="15" hidden="false" customHeight="false" outlineLevel="0" collapsed="false">
      <c r="A119" s="6" t="n">
        <v>114</v>
      </c>
      <c r="B119" s="5" t="s">
        <v>288</v>
      </c>
      <c r="C119" s="5" t="s">
        <v>533</v>
      </c>
      <c r="D119" s="5" t="s">
        <v>534</v>
      </c>
      <c r="E119" s="5" t="s">
        <v>77</v>
      </c>
      <c r="F119" s="11" t="n">
        <v>64344.33</v>
      </c>
      <c r="G119" s="12" t="n">
        <v>4.4062</v>
      </c>
      <c r="H119" s="12" t="n">
        <v>3.8913</v>
      </c>
      <c r="J119" s="8" t="n">
        <v>-0.51523</v>
      </c>
      <c r="K119" s="13" t="str">
        <f aca="false">IF(J119&gt;0,"прибыль",IF(J119&lt;0,"убыток","ноль"))</f>
        <v>убыток</v>
      </c>
      <c r="L119" s="13" t="n">
        <f aca="false">IF(C119="",L118,IF(J119&lt;0,L118+1,0))</f>
        <v>1</v>
      </c>
      <c r="M119" s="14" t="n">
        <v>-515.23</v>
      </c>
      <c r="N119" s="9" t="n">
        <v>-33152.13</v>
      </c>
      <c r="O119" s="9" t="n">
        <v>196555.23</v>
      </c>
    </row>
    <row r="120" customFormat="false" ht="15" hidden="false" customHeight="false" outlineLevel="0" collapsed="false">
      <c r="A120" s="6" t="n">
        <v>115</v>
      </c>
      <c r="B120" s="5" t="s">
        <v>288</v>
      </c>
      <c r="C120" s="5" t="s">
        <v>534</v>
      </c>
      <c r="D120" s="5" t="s">
        <v>535</v>
      </c>
      <c r="E120" s="5" t="s">
        <v>81</v>
      </c>
      <c r="F120" s="11" t="n">
        <v>61149.07</v>
      </c>
      <c r="G120" s="12" t="n">
        <v>3.8913</v>
      </c>
      <c r="H120" s="12" t="n">
        <v>4.0241</v>
      </c>
      <c r="J120" s="8" t="n">
        <v>-0.13319</v>
      </c>
      <c r="K120" s="13" t="str">
        <f aca="false">IF(J120&gt;0,"прибыль",IF(J120&lt;0,"убыток","ноль"))</f>
        <v>убыток</v>
      </c>
      <c r="L120" s="13" t="n">
        <f aca="false">IF(C120="",L119,IF(J120&lt;0,L119+1,0))</f>
        <v>2</v>
      </c>
      <c r="M120" s="14" t="n">
        <v>-133.19</v>
      </c>
      <c r="N120" s="9" t="n">
        <v>-8144.63</v>
      </c>
      <c r="O120" s="9" t="n">
        <v>188410.6</v>
      </c>
    </row>
    <row r="121" customFormat="false" ht="15" hidden="false" customHeight="false" outlineLevel="0" collapsed="false">
      <c r="A121" s="6" t="n">
        <v>116</v>
      </c>
      <c r="B121" s="5" t="s">
        <v>288</v>
      </c>
      <c r="C121" s="5" t="s">
        <v>535</v>
      </c>
      <c r="D121" s="5" t="s">
        <v>536</v>
      </c>
      <c r="E121" s="5" t="s">
        <v>77</v>
      </c>
      <c r="F121" s="11" t="n">
        <v>13147.15</v>
      </c>
      <c r="G121" s="12" t="n">
        <v>4.0241</v>
      </c>
      <c r="H121" s="12" t="n">
        <v>4.3985</v>
      </c>
      <c r="J121" s="8" t="n">
        <v>0.37418</v>
      </c>
      <c r="K121" s="13" t="str">
        <f aca="false">IF(J121&gt;0,"прибыль",IF(J121&lt;0,"убыток","ноль"))</f>
        <v>прибыль</v>
      </c>
      <c r="L121" s="13" t="n">
        <f aca="false">IF(C121="",L120,IF(J121&lt;0,L120+1,0))</f>
        <v>0</v>
      </c>
      <c r="M121" s="14" t="n">
        <v>374.18</v>
      </c>
      <c r="N121" s="9" t="n">
        <v>4919.4</v>
      </c>
      <c r="O121" s="9" t="n">
        <v>193330</v>
      </c>
    </row>
    <row r="122" customFormat="false" ht="15" hidden="false" customHeight="false" outlineLevel="0" collapsed="false">
      <c r="A122" s="6" t="n">
        <v>117</v>
      </c>
      <c r="B122" s="5" t="s">
        <v>288</v>
      </c>
      <c r="C122" s="5" t="s">
        <v>536</v>
      </c>
      <c r="D122" s="5" t="s">
        <v>406</v>
      </c>
      <c r="E122" s="5" t="s">
        <v>77</v>
      </c>
      <c r="F122" s="11" t="n">
        <v>60459.97</v>
      </c>
      <c r="G122" s="12" t="n">
        <v>3.9859</v>
      </c>
      <c r="H122" s="12" t="n">
        <v>3.2136</v>
      </c>
      <c r="I122" s="5" t="s">
        <v>78</v>
      </c>
      <c r="J122" s="8" t="n">
        <v>-0.40941</v>
      </c>
      <c r="K122" s="13" t="str">
        <f aca="false">IF(J122&gt;0,"прибыль",IF(J122&lt;0,"убыток","ноль"))</f>
        <v>убыток</v>
      </c>
      <c r="L122" s="13" t="n">
        <f aca="false">IF(C122="",L121,IF(J122&lt;0,L121+1,0))</f>
        <v>1</v>
      </c>
      <c r="M122" s="14" t="n">
        <v>-409.41</v>
      </c>
      <c r="N122" s="9" t="n">
        <v>-24753.21</v>
      </c>
      <c r="O122" s="9" t="n">
        <v>168576.79</v>
      </c>
    </row>
    <row r="123" customFormat="false" ht="15" hidden="false" customHeight="false" outlineLevel="0" collapsed="false">
      <c r="A123" s="6" t="n">
        <v>118</v>
      </c>
      <c r="B123" s="5" t="s">
        <v>288</v>
      </c>
      <c r="C123" s="5" t="s">
        <v>406</v>
      </c>
      <c r="D123" s="5" t="s">
        <v>407</v>
      </c>
      <c r="E123" s="5" t="s">
        <v>81</v>
      </c>
      <c r="F123" s="11" t="n">
        <v>62908.55</v>
      </c>
      <c r="G123" s="12" t="n">
        <v>3.2136</v>
      </c>
      <c r="H123" s="12" t="n">
        <v>3.3764</v>
      </c>
      <c r="J123" s="8" t="n">
        <v>-0.16311</v>
      </c>
      <c r="K123" s="13" t="str">
        <f aca="false">IF(J123&gt;0,"прибыль",IF(J123&lt;0,"убыток","ноль"))</f>
        <v>убыток</v>
      </c>
      <c r="L123" s="13" t="n">
        <f aca="false">IF(C123="",L122,IF(J123&lt;0,L122+1,0))</f>
        <v>2</v>
      </c>
      <c r="M123" s="14" t="n">
        <v>-163.11</v>
      </c>
      <c r="N123" s="9" t="n">
        <v>-10260.75</v>
      </c>
      <c r="O123" s="9" t="n">
        <v>158316.04</v>
      </c>
    </row>
    <row r="124" customFormat="false" ht="15" hidden="false" customHeight="false" outlineLevel="0" collapsed="false">
      <c r="A124" s="6" t="n">
        <v>119</v>
      </c>
      <c r="B124" s="5" t="s">
        <v>288</v>
      </c>
      <c r="C124" s="5" t="s">
        <v>407</v>
      </c>
      <c r="D124" s="5" t="s">
        <v>537</v>
      </c>
      <c r="E124" s="5" t="s">
        <v>77</v>
      </c>
      <c r="F124" s="11" t="n">
        <v>54236.64</v>
      </c>
      <c r="G124" s="12" t="n">
        <v>3.3764</v>
      </c>
      <c r="H124" s="12" t="n">
        <v>3.1289</v>
      </c>
      <c r="J124" s="8" t="n">
        <v>-0.24776</v>
      </c>
      <c r="K124" s="13" t="str">
        <f aca="false">IF(J124&gt;0,"прибыль",IF(J124&lt;0,"убыток","ноль"))</f>
        <v>убыток</v>
      </c>
      <c r="L124" s="13" t="n">
        <f aca="false">IF(C124="",L123,IF(J124&lt;0,L123+1,0))</f>
        <v>3</v>
      </c>
      <c r="M124" s="14" t="n">
        <v>-247.76</v>
      </c>
      <c r="N124" s="9" t="n">
        <v>-13437.86</v>
      </c>
      <c r="O124" s="9" t="n">
        <v>144878.18</v>
      </c>
    </row>
    <row r="125" customFormat="false" ht="15" hidden="false" customHeight="false" outlineLevel="0" collapsed="false">
      <c r="A125" s="6" t="n">
        <v>120</v>
      </c>
      <c r="B125" s="5" t="s">
        <v>288</v>
      </c>
      <c r="C125" s="5" t="s">
        <v>537</v>
      </c>
      <c r="D125" s="5" t="s">
        <v>538</v>
      </c>
      <c r="E125" s="5" t="s">
        <v>81</v>
      </c>
      <c r="F125" s="11" t="n">
        <v>0</v>
      </c>
      <c r="G125" s="12" t="n">
        <v>3.1289</v>
      </c>
      <c r="H125" s="12" t="n">
        <v>3.18</v>
      </c>
      <c r="J125" s="8" t="n">
        <v>-0.05125</v>
      </c>
      <c r="K125" s="13" t="str">
        <f aca="false">IF(J125&gt;0,"прибыль",IF(J125&lt;0,"убыток","ноль"))</f>
        <v>убыток</v>
      </c>
      <c r="L125" s="13" t="n">
        <f aca="false">IF(C125="",L124,IF(J125&lt;0,L124+1,0))</f>
        <v>4</v>
      </c>
      <c r="M125" s="14" t="n">
        <v>-51.25</v>
      </c>
      <c r="N125" s="9" t="n">
        <v>0</v>
      </c>
      <c r="O125" s="9" t="n">
        <v>144878.18</v>
      </c>
    </row>
    <row r="126" customFormat="false" ht="15" hidden="false" customHeight="false" outlineLevel="0" collapsed="false">
      <c r="A126" s="6" t="n">
        <v>121</v>
      </c>
      <c r="B126" s="5" t="s">
        <v>288</v>
      </c>
      <c r="C126" s="5" t="s">
        <v>538</v>
      </c>
      <c r="D126" s="5" t="s">
        <v>539</v>
      </c>
      <c r="E126" s="5" t="s">
        <v>81</v>
      </c>
      <c r="F126" s="11" t="n">
        <v>57180.6</v>
      </c>
      <c r="G126" s="12" t="n">
        <v>3.1289</v>
      </c>
      <c r="H126" s="12" t="n">
        <v>3.6836</v>
      </c>
      <c r="J126" s="8" t="n">
        <v>-0.55494</v>
      </c>
      <c r="K126" s="13" t="str">
        <f aca="false">IF(J126&gt;0,"прибыль",IF(J126&lt;0,"убыток","ноль"))</f>
        <v>убыток</v>
      </c>
      <c r="L126" s="13" t="n">
        <f aca="false">IF(C126="",L125,IF(J126&lt;0,L125+1,0))</f>
        <v>5</v>
      </c>
      <c r="M126" s="14" t="n">
        <v>-554.94</v>
      </c>
      <c r="N126" s="9" t="n">
        <v>-31731.87</v>
      </c>
      <c r="O126" s="9" t="n">
        <v>113146.32</v>
      </c>
    </row>
    <row r="127" customFormat="false" ht="15" hidden="false" customHeight="false" outlineLevel="0" collapsed="false">
      <c r="A127" s="6" t="n">
        <v>122</v>
      </c>
      <c r="B127" s="5" t="s">
        <v>288</v>
      </c>
      <c r="C127" s="5" t="s">
        <v>539</v>
      </c>
      <c r="D127" s="5" t="s">
        <v>540</v>
      </c>
      <c r="E127" s="5" t="s">
        <v>77</v>
      </c>
      <c r="F127" s="11" t="n">
        <v>22014.04</v>
      </c>
      <c r="G127" s="12" t="n">
        <v>3.6836</v>
      </c>
      <c r="H127" s="12" t="n">
        <v>5.3178</v>
      </c>
      <c r="J127" s="8" t="n">
        <v>1.63403</v>
      </c>
      <c r="K127" s="13" t="str">
        <f aca="false">IF(J127&gt;0,"прибыль",IF(J127&lt;0,"убыток","ноль"))</f>
        <v>прибыль</v>
      </c>
      <c r="L127" s="13" t="n">
        <f aca="false">IF(C127="",L126,IF(J127&lt;0,L126+1,0))</f>
        <v>0</v>
      </c>
      <c r="M127" s="14" t="n">
        <v>1634.03</v>
      </c>
      <c r="N127" s="9" t="n">
        <v>35971.53</v>
      </c>
      <c r="O127" s="9" t="n">
        <v>149117.85</v>
      </c>
    </row>
    <row r="128" customFormat="false" ht="15" hidden="false" customHeight="false" outlineLevel="0" collapsed="false">
      <c r="A128" s="6" t="n">
        <v>123</v>
      </c>
      <c r="B128" s="5" t="s">
        <v>288</v>
      </c>
      <c r="C128" s="5" t="s">
        <v>540</v>
      </c>
      <c r="D128" s="5" t="s">
        <v>541</v>
      </c>
      <c r="E128" s="5" t="s">
        <v>77</v>
      </c>
      <c r="F128" s="11" t="n">
        <v>7837.08</v>
      </c>
      <c r="G128" s="12" t="n">
        <v>3.6836</v>
      </c>
      <c r="H128" s="12" t="n">
        <v>6.5138</v>
      </c>
      <c r="J128" s="8" t="n">
        <v>2.8299</v>
      </c>
      <c r="K128" s="13" t="str">
        <f aca="false">IF(J128&gt;0,"прибыль",IF(J128&lt;0,"убыток","ноль"))</f>
        <v>прибыль</v>
      </c>
      <c r="L128" s="13" t="n">
        <f aca="false">IF(C128="",L127,IF(J128&lt;0,L127+1,0))</f>
        <v>0</v>
      </c>
      <c r="M128" s="14" t="n">
        <v>2829.9</v>
      </c>
      <c r="N128" s="9" t="n">
        <v>22178.18</v>
      </c>
      <c r="O128" s="9" t="n">
        <v>171296.04</v>
      </c>
    </row>
    <row r="129" customFormat="false" ht="15" hidden="false" customHeight="false" outlineLevel="0" collapsed="false">
      <c r="A129" s="6" t="n">
        <v>124</v>
      </c>
      <c r="B129" s="5" t="s">
        <v>288</v>
      </c>
      <c r="C129" s="5" t="s">
        <v>541</v>
      </c>
      <c r="D129" s="5" t="s">
        <v>542</v>
      </c>
      <c r="E129" s="5" t="s">
        <v>77</v>
      </c>
      <c r="F129" s="11" t="n">
        <v>31750.08</v>
      </c>
      <c r="G129" s="12" t="n">
        <v>4.9504</v>
      </c>
      <c r="H129" s="12" t="n">
        <v>3.2783</v>
      </c>
      <c r="I129" s="5" t="s">
        <v>78</v>
      </c>
      <c r="J129" s="8" t="n">
        <v>0.56652</v>
      </c>
      <c r="K129" s="13" t="str">
        <f aca="false">IF(J129&gt;0,"прибыль",IF(J129&lt;0,"убыток","ноль"))</f>
        <v>прибыль</v>
      </c>
      <c r="L129" s="13" t="n">
        <f aca="false">IF(C129="",L128,IF(J129&lt;0,L128+1,0))</f>
        <v>0</v>
      </c>
      <c r="M129" s="14" t="n">
        <v>566.52</v>
      </c>
      <c r="N129" s="9" t="n">
        <v>17987.12</v>
      </c>
      <c r="O129" s="9" t="n">
        <v>189283.15</v>
      </c>
    </row>
    <row r="130" customFormat="false" ht="15" hidden="false" customHeight="false" outlineLevel="0" collapsed="false">
      <c r="A130" s="6" t="n">
        <v>125</v>
      </c>
      <c r="B130" s="5" t="s">
        <v>288</v>
      </c>
      <c r="C130" s="5" t="s">
        <v>542</v>
      </c>
      <c r="D130" s="5" t="s">
        <v>543</v>
      </c>
      <c r="E130" s="5" t="s">
        <v>77</v>
      </c>
      <c r="F130" s="11" t="n">
        <v>202140.11</v>
      </c>
      <c r="G130" s="12" t="n">
        <v>2.6686</v>
      </c>
      <c r="H130" s="12" t="n">
        <v>2.5468</v>
      </c>
      <c r="I130" s="5" t="s">
        <v>78</v>
      </c>
      <c r="J130" s="8" t="n">
        <v>-0.21645</v>
      </c>
      <c r="K130" s="13" t="str">
        <f aca="false">IF(J130&gt;0,"прибыль",IF(J130&lt;0,"убыток","ноль"))</f>
        <v>убыток</v>
      </c>
      <c r="L130" s="13" t="n">
        <f aca="false">IF(C130="",L129,IF(J130&lt;0,L129+1,0))</f>
        <v>1</v>
      </c>
      <c r="M130" s="14" t="n">
        <v>-216.45</v>
      </c>
      <c r="N130" s="9" t="n">
        <v>-43753.9</v>
      </c>
      <c r="O130" s="9" t="n">
        <v>145529.25</v>
      </c>
    </row>
    <row r="131" customFormat="false" ht="15" hidden="false" customHeight="false" outlineLevel="0" collapsed="false">
      <c r="A131" s="6" t="n">
        <v>126</v>
      </c>
      <c r="B131" s="5" t="s">
        <v>288</v>
      </c>
      <c r="C131" s="5" t="s">
        <v>543</v>
      </c>
      <c r="D131" s="5" t="s">
        <v>413</v>
      </c>
      <c r="E131" s="5" t="s">
        <v>81</v>
      </c>
      <c r="F131" s="11" t="n">
        <v>50205.95</v>
      </c>
      <c r="G131" s="12" t="n">
        <v>2.5468</v>
      </c>
      <c r="H131" s="12" t="n">
        <v>2.9505</v>
      </c>
      <c r="I131" s="5" t="s">
        <v>78</v>
      </c>
      <c r="J131" s="8" t="n">
        <v>-0.238</v>
      </c>
      <c r="K131" s="13" t="str">
        <f aca="false">IF(J131&gt;0,"прибыль",IF(J131&lt;0,"убыток","ноль"))</f>
        <v>убыток</v>
      </c>
      <c r="L131" s="13" t="n">
        <f aca="false">IF(C131="",L130,IF(J131&lt;0,L130+1,0))</f>
        <v>2</v>
      </c>
      <c r="M131" s="14" t="n">
        <v>-238</v>
      </c>
      <c r="N131" s="9" t="n">
        <v>-11948.99</v>
      </c>
      <c r="O131" s="9" t="n">
        <v>133580.26</v>
      </c>
    </row>
    <row r="132" customFormat="false" ht="15" hidden="false" customHeight="false" outlineLevel="0" collapsed="false">
      <c r="A132" s="6" t="n">
        <v>127</v>
      </c>
      <c r="B132" s="5" t="s">
        <v>288</v>
      </c>
      <c r="C132" s="5" t="s">
        <v>413</v>
      </c>
      <c r="D132" s="5" t="s">
        <v>544</v>
      </c>
      <c r="E132" s="5" t="s">
        <v>81</v>
      </c>
      <c r="F132" s="11" t="n">
        <v>119526.83</v>
      </c>
      <c r="G132" s="12" t="n">
        <v>2.7127</v>
      </c>
      <c r="H132" s="12" t="n">
        <v>3.2463</v>
      </c>
      <c r="I132" s="5" t="s">
        <v>78</v>
      </c>
      <c r="J132" s="8" t="n">
        <v>-0.37383</v>
      </c>
      <c r="K132" s="13" t="str">
        <f aca="false">IF(J132&gt;0,"прибыль",IF(J132&lt;0,"убыток","ноль"))</f>
        <v>убыток</v>
      </c>
      <c r="L132" s="13" t="n">
        <f aca="false">IF(C132="",L131,IF(J132&lt;0,L131+1,0))</f>
        <v>3</v>
      </c>
      <c r="M132" s="14" t="n">
        <v>-373.83</v>
      </c>
      <c r="N132" s="9" t="n">
        <v>-44682.82</v>
      </c>
      <c r="O132" s="9" t="n">
        <v>88897.44</v>
      </c>
    </row>
    <row r="133" customFormat="false" ht="15" hidden="false" customHeight="false" outlineLevel="0" collapsed="false">
      <c r="A133" s="6" t="n">
        <v>128</v>
      </c>
      <c r="B133" s="5" t="s">
        <v>288</v>
      </c>
      <c r="C133" s="5" t="s">
        <v>544</v>
      </c>
      <c r="D133" s="5" t="s">
        <v>545</v>
      </c>
      <c r="E133" s="5" t="s">
        <v>77</v>
      </c>
      <c r="F133" s="11" t="n">
        <v>139645.94</v>
      </c>
      <c r="G133" s="12" t="n">
        <v>3.2463</v>
      </c>
      <c r="H133" s="12" t="n">
        <v>3.233</v>
      </c>
      <c r="J133" s="8" t="n">
        <v>-0.01363</v>
      </c>
      <c r="K133" s="13" t="str">
        <f aca="false">IF(J133&gt;0,"прибыль",IF(J133&lt;0,"убыток","ноль"))</f>
        <v>убыток</v>
      </c>
      <c r="L133" s="13" t="n">
        <f aca="false">IF(C133="",L132,IF(J133&lt;0,L132+1,0))</f>
        <v>4</v>
      </c>
      <c r="M133" s="14" t="n">
        <v>-13.63</v>
      </c>
      <c r="N133" s="9" t="n">
        <v>-1903.94</v>
      </c>
      <c r="O133" s="9" t="n">
        <v>86993.5</v>
      </c>
    </row>
    <row r="134" customFormat="false" ht="15" hidden="false" customHeight="false" outlineLevel="0" collapsed="false">
      <c r="A134" s="6" t="n">
        <v>129</v>
      </c>
      <c r="B134" s="5" t="s">
        <v>288</v>
      </c>
      <c r="C134" s="5" t="s">
        <v>545</v>
      </c>
      <c r="D134" s="5" t="s">
        <v>421</v>
      </c>
      <c r="E134" s="5" t="s">
        <v>81</v>
      </c>
      <c r="F134" s="11" t="n">
        <v>0</v>
      </c>
      <c r="G134" s="12" t="n">
        <v>3.233</v>
      </c>
      <c r="H134" s="12" t="n">
        <v>3.0244</v>
      </c>
      <c r="J134" s="8" t="n">
        <v>0.20837</v>
      </c>
      <c r="K134" s="13" t="str">
        <f aca="false">IF(J134&gt;0,"прибыль",IF(J134&lt;0,"убыток","ноль"))</f>
        <v>прибыль</v>
      </c>
      <c r="L134" s="13" t="n">
        <f aca="false">IF(C134="",L133,IF(J134&lt;0,L133+1,0))</f>
        <v>0</v>
      </c>
      <c r="M134" s="14" t="n">
        <v>208.37</v>
      </c>
      <c r="N134" s="9" t="n">
        <v>0</v>
      </c>
      <c r="O134" s="9" t="n">
        <v>86993.5</v>
      </c>
    </row>
    <row r="135" customFormat="false" ht="15" hidden="false" customHeight="false" outlineLevel="0" collapsed="false">
      <c r="A135" s="6" t="n">
        <v>130</v>
      </c>
      <c r="B135" s="5" t="s">
        <v>288</v>
      </c>
      <c r="C135" s="5" t="s">
        <v>421</v>
      </c>
      <c r="D135" s="5" t="s">
        <v>546</v>
      </c>
      <c r="E135" s="5" t="s">
        <v>81</v>
      </c>
      <c r="F135" s="11" t="n">
        <v>96926.78</v>
      </c>
      <c r="G135" s="12" t="n">
        <v>3.0281</v>
      </c>
      <c r="H135" s="12" t="n">
        <v>3.0273</v>
      </c>
      <c r="I135" s="5" t="s">
        <v>78</v>
      </c>
      <c r="J135" s="8" t="n">
        <v>0.19387</v>
      </c>
      <c r="K135" s="13" t="str">
        <f aca="false">IF(J135&gt;0,"прибыль",IF(J135&lt;0,"убыток","ноль"))</f>
        <v>прибыль</v>
      </c>
      <c r="L135" s="13" t="n">
        <f aca="false">IF(C135="",L134,IF(J135&lt;0,L134+1,0))</f>
        <v>0</v>
      </c>
      <c r="M135" s="14" t="n">
        <v>193.87</v>
      </c>
      <c r="N135" s="9" t="n">
        <v>18790.78</v>
      </c>
      <c r="O135" s="9" t="n">
        <v>105784.28</v>
      </c>
    </row>
    <row r="136" customFormat="false" ht="15" hidden="false" customHeight="false" outlineLevel="0" collapsed="false">
      <c r="A136" s="6" t="n">
        <v>131</v>
      </c>
      <c r="B136" s="5" t="s">
        <v>288</v>
      </c>
      <c r="C136" s="5" t="s">
        <v>546</v>
      </c>
      <c r="D136" s="5" t="s">
        <v>547</v>
      </c>
      <c r="E136" s="5" t="s">
        <v>81</v>
      </c>
      <c r="F136" s="11" t="n">
        <v>28105.28</v>
      </c>
      <c r="G136" s="12" t="n">
        <v>3.2215</v>
      </c>
      <c r="H136" s="12" t="n">
        <v>3.1882</v>
      </c>
      <c r="J136" s="8" t="n">
        <v>0.03312</v>
      </c>
      <c r="K136" s="13" t="str">
        <f aca="false">IF(J136&gt;0,"прибыль",IF(J136&lt;0,"убыток","ноль"))</f>
        <v>прибыль</v>
      </c>
      <c r="L136" s="13" t="n">
        <f aca="false">IF(C136="",L135,IF(J136&lt;0,L135+1,0))</f>
        <v>0</v>
      </c>
      <c r="M136" s="14" t="n">
        <v>33.12</v>
      </c>
      <c r="N136" s="9" t="n">
        <v>930.76</v>
      </c>
      <c r="O136" s="9" t="n">
        <v>106715.05</v>
      </c>
    </row>
    <row r="137" customFormat="false" ht="15" hidden="false" customHeight="false" outlineLevel="0" collapsed="false">
      <c r="A137" s="6" t="n">
        <v>132</v>
      </c>
      <c r="B137" s="5" t="s">
        <v>288</v>
      </c>
      <c r="D137" s="5" t="s">
        <v>428</v>
      </c>
      <c r="E137" s="5" t="s">
        <v>81</v>
      </c>
      <c r="F137" s="11" t="n">
        <v>107897.23</v>
      </c>
      <c r="H137" s="12" t="n">
        <v>3.043</v>
      </c>
      <c r="J137" s="8" t="n">
        <v>0.12808</v>
      </c>
      <c r="K137" s="13" t="str">
        <f aca="false">IF(J137&gt;0,"прибыль",IF(J137&lt;0,"убыток","ноль"))</f>
        <v>прибыль</v>
      </c>
      <c r="L137" s="13" t="n">
        <f aca="false">IF(C137="",L136,IF(J137&lt;0,L136+1,0))</f>
        <v>0</v>
      </c>
      <c r="M137" s="14" t="n">
        <v>128.08</v>
      </c>
      <c r="N137" s="9" t="n">
        <v>13819.21</v>
      </c>
      <c r="O137" s="9" t="n">
        <v>120534.26</v>
      </c>
      <c r="P137" s="5" t="s">
        <v>429</v>
      </c>
    </row>
  </sheetData>
  <autoFilter ref="A5:P1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548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549</v>
      </c>
      <c r="D6" s="5" t="s">
        <v>550</v>
      </c>
      <c r="E6" s="5" t="s">
        <v>77</v>
      </c>
      <c r="F6" s="11" t="n">
        <v>7841.95</v>
      </c>
      <c r="G6" s="12" t="n">
        <v>123.889</v>
      </c>
      <c r="H6" s="12" t="n">
        <v>118.5931</v>
      </c>
      <c r="I6" s="5" t="s">
        <v>78</v>
      </c>
      <c r="J6" s="8" t="n">
        <v>-4.05397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-405.4</v>
      </c>
      <c r="N6" s="9" t="n">
        <v>-31791.02</v>
      </c>
      <c r="O6" s="9" t="n">
        <v>-31791.02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550</v>
      </c>
      <c r="D7" s="5" t="s">
        <v>551</v>
      </c>
      <c r="E7" s="5" t="s">
        <v>81</v>
      </c>
      <c r="F7" s="11" t="n">
        <v>2449.33</v>
      </c>
      <c r="G7" s="12" t="n">
        <v>117.4575</v>
      </c>
      <c r="H7" s="12" t="n">
        <v>96.9713</v>
      </c>
      <c r="I7" s="5" t="s">
        <v>78</v>
      </c>
      <c r="J7" s="8" t="n">
        <v>15.38046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1538.05</v>
      </c>
      <c r="N7" s="9" t="n">
        <v>37671.91</v>
      </c>
      <c r="O7" s="9" t="n">
        <v>5880.89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551</v>
      </c>
      <c r="D8" s="5" t="s">
        <v>86</v>
      </c>
      <c r="E8" s="5" t="s">
        <v>81</v>
      </c>
      <c r="F8" s="11" t="n">
        <v>1692.35</v>
      </c>
      <c r="G8" s="12" t="n">
        <v>112.3607</v>
      </c>
      <c r="H8" s="12" t="n">
        <v>90.9197</v>
      </c>
      <c r="I8" s="5" t="s">
        <v>78</v>
      </c>
      <c r="J8" s="8" t="n">
        <v>22.38723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2238.72</v>
      </c>
      <c r="N8" s="9" t="n">
        <v>37886.99</v>
      </c>
      <c r="O8" s="9" t="n">
        <v>43767.88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86</v>
      </c>
      <c r="D9" s="5" t="s">
        <v>87</v>
      </c>
      <c r="E9" s="5" t="s">
        <v>81</v>
      </c>
      <c r="F9" s="11" t="n">
        <v>1465.1</v>
      </c>
      <c r="G9" s="12" t="n">
        <v>113.3115</v>
      </c>
      <c r="H9" s="12" t="n">
        <v>97.171</v>
      </c>
      <c r="J9" s="8" t="n">
        <v>16.13558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1613.56</v>
      </c>
      <c r="N9" s="9" t="n">
        <v>23640.17</v>
      </c>
      <c r="O9" s="9" t="n">
        <v>67408.05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87</v>
      </c>
      <c r="D10" s="5" t="s">
        <v>552</v>
      </c>
      <c r="E10" s="5" t="s">
        <v>81</v>
      </c>
      <c r="F10" s="11" t="n">
        <v>4144.45</v>
      </c>
      <c r="G10" s="12" t="n">
        <v>113.3115</v>
      </c>
      <c r="H10" s="12" t="n">
        <v>106.6737</v>
      </c>
      <c r="I10" s="5" t="s">
        <v>78</v>
      </c>
      <c r="J10" s="8" t="n">
        <v>6.6478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664.78</v>
      </c>
      <c r="N10" s="9" t="n">
        <v>27551.47</v>
      </c>
      <c r="O10" s="9" t="n">
        <v>94959.52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552</v>
      </c>
      <c r="D11" s="5" t="s">
        <v>91</v>
      </c>
      <c r="E11" s="5" t="s">
        <v>77</v>
      </c>
      <c r="F11" s="11" t="n">
        <v>3465.61</v>
      </c>
      <c r="G11" s="12" t="n">
        <v>110.9674</v>
      </c>
      <c r="H11" s="12" t="n">
        <v>107.7963</v>
      </c>
      <c r="I11" s="5" t="s">
        <v>78</v>
      </c>
      <c r="J11" s="8" t="n">
        <v>-0.34778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1</v>
      </c>
      <c r="M11" s="14" t="n">
        <v>-34.78</v>
      </c>
      <c r="N11" s="9" t="n">
        <v>-1205.26</v>
      </c>
      <c r="O11" s="9" t="n">
        <v>93754.26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91</v>
      </c>
      <c r="D12" s="5" t="s">
        <v>92</v>
      </c>
      <c r="E12" s="5" t="s">
        <v>77</v>
      </c>
      <c r="F12" s="11" t="n">
        <v>1514.88</v>
      </c>
      <c r="G12" s="12" t="n">
        <v>108.131</v>
      </c>
      <c r="H12" s="12" t="n">
        <v>112.2918</v>
      </c>
      <c r="J12" s="8" t="n">
        <v>4.15518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415.52</v>
      </c>
      <c r="N12" s="9" t="n">
        <v>6294.61</v>
      </c>
      <c r="O12" s="9" t="n">
        <v>100048.87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92</v>
      </c>
      <c r="D13" s="5" t="s">
        <v>553</v>
      </c>
      <c r="E13" s="5" t="s">
        <v>77</v>
      </c>
      <c r="F13" s="11" t="n">
        <v>5003.41</v>
      </c>
      <c r="G13" s="12" t="n">
        <v>108.131</v>
      </c>
      <c r="H13" s="12" t="n">
        <v>109.2428</v>
      </c>
      <c r="I13" s="5" t="s">
        <v>78</v>
      </c>
      <c r="J13" s="8" t="n">
        <v>2.53865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253.86</v>
      </c>
      <c r="N13" s="9" t="n">
        <v>12701.9</v>
      </c>
      <c r="O13" s="9" t="n">
        <v>112750.77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553</v>
      </c>
      <c r="D14" s="5" t="s">
        <v>98</v>
      </c>
      <c r="E14" s="5" t="s">
        <v>81</v>
      </c>
      <c r="F14" s="11" t="n">
        <v>3025.61</v>
      </c>
      <c r="G14" s="12" t="n">
        <v>108.8396</v>
      </c>
      <c r="H14" s="12" t="n">
        <v>110.8192</v>
      </c>
      <c r="J14" s="8" t="n">
        <v>-1.99031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1</v>
      </c>
      <c r="M14" s="14" t="n">
        <v>-199.03</v>
      </c>
      <c r="N14" s="9" t="n">
        <v>-6021.9</v>
      </c>
      <c r="O14" s="9" t="n">
        <v>106728.88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98</v>
      </c>
      <c r="D15" s="5" t="s">
        <v>554</v>
      </c>
      <c r="E15" s="5" t="s">
        <v>81</v>
      </c>
      <c r="F15" s="11" t="n">
        <v>5499.29</v>
      </c>
      <c r="G15" s="12" t="n">
        <v>108.8396</v>
      </c>
      <c r="H15" s="12" t="n">
        <v>110.8732</v>
      </c>
      <c r="I15" s="5" t="s">
        <v>78</v>
      </c>
      <c r="J15" s="8" t="n">
        <v>-3.77257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2</v>
      </c>
      <c r="M15" s="14" t="n">
        <v>-377.26</v>
      </c>
      <c r="N15" s="9" t="n">
        <v>-20746.5</v>
      </c>
      <c r="O15" s="9" t="n">
        <v>85982.38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554</v>
      </c>
      <c r="D16" s="5" t="s">
        <v>555</v>
      </c>
      <c r="E16" s="5" t="s">
        <v>77</v>
      </c>
      <c r="F16" s="11" t="n">
        <v>2135.35</v>
      </c>
      <c r="G16" s="12" t="n">
        <v>109.9905</v>
      </c>
      <c r="H16" s="12" t="n">
        <v>110.4083</v>
      </c>
      <c r="I16" s="5" t="s">
        <v>78</v>
      </c>
      <c r="J16" s="8" t="n">
        <v>1.52891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152.89</v>
      </c>
      <c r="N16" s="9" t="n">
        <v>3264.76</v>
      </c>
      <c r="O16" s="9" t="n">
        <v>89247.14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555</v>
      </c>
      <c r="D17" s="5" t="s">
        <v>103</v>
      </c>
      <c r="E17" s="5" t="s">
        <v>77</v>
      </c>
      <c r="F17" s="11" t="n">
        <v>3436.81</v>
      </c>
      <c r="G17" s="12" t="n">
        <v>112.7547</v>
      </c>
      <c r="H17" s="12" t="n">
        <v>115.1254</v>
      </c>
      <c r="I17" s="5" t="s">
        <v>78</v>
      </c>
      <c r="J17" s="8" t="n">
        <v>2.44872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244.87</v>
      </c>
      <c r="N17" s="9" t="n">
        <v>8415.79</v>
      </c>
      <c r="O17" s="9" t="n">
        <v>97662.93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103</v>
      </c>
      <c r="D18" s="5" t="s">
        <v>556</v>
      </c>
      <c r="E18" s="5" t="s">
        <v>77</v>
      </c>
      <c r="F18" s="11" t="n">
        <v>11593.73</v>
      </c>
      <c r="G18" s="12" t="n">
        <v>112.6589</v>
      </c>
      <c r="H18" s="12" t="n">
        <v>109.2263</v>
      </c>
      <c r="I18" s="5" t="s">
        <v>78</v>
      </c>
      <c r="J18" s="8" t="n">
        <v>-3.9275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1</v>
      </c>
      <c r="M18" s="14" t="n">
        <v>-392.75</v>
      </c>
      <c r="N18" s="9" t="n">
        <v>-45534.4</v>
      </c>
      <c r="O18" s="9" t="n">
        <v>52128.53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556</v>
      </c>
      <c r="D19" s="5" t="s">
        <v>105</v>
      </c>
      <c r="E19" s="5" t="s">
        <v>81</v>
      </c>
      <c r="F19" s="11" t="n">
        <v>3548.5</v>
      </c>
      <c r="G19" s="12" t="n">
        <v>108.9412</v>
      </c>
      <c r="H19" s="12" t="n">
        <v>107.3781</v>
      </c>
      <c r="J19" s="8" t="n">
        <v>1.55416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155.42</v>
      </c>
      <c r="N19" s="9" t="n">
        <v>5514.93</v>
      </c>
      <c r="O19" s="9" t="n">
        <v>57643.46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105</v>
      </c>
      <c r="D20" s="5" t="s">
        <v>106</v>
      </c>
      <c r="E20" s="5" t="s">
        <v>81</v>
      </c>
      <c r="F20" s="11" t="n">
        <v>2188.67</v>
      </c>
      <c r="G20" s="12" t="n">
        <v>108.9412</v>
      </c>
      <c r="H20" s="12" t="n">
        <v>100.3583</v>
      </c>
      <c r="J20" s="8" t="n">
        <v>8.5779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857.79</v>
      </c>
      <c r="N20" s="9" t="n">
        <v>18774.18</v>
      </c>
      <c r="O20" s="9" t="n">
        <v>76417.64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106</v>
      </c>
      <c r="D21" s="5" t="s">
        <v>107</v>
      </c>
      <c r="E21" s="5" t="s">
        <v>81</v>
      </c>
      <c r="F21" s="11" t="n">
        <v>2106.04</v>
      </c>
      <c r="G21" s="12" t="n">
        <v>107.7515</v>
      </c>
      <c r="H21" s="12" t="n">
        <v>103.2269</v>
      </c>
      <c r="I21" s="5" t="s">
        <v>78</v>
      </c>
      <c r="J21" s="8" t="n">
        <v>5.06932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506.93</v>
      </c>
      <c r="N21" s="9" t="n">
        <v>10676.16</v>
      </c>
      <c r="O21" s="9" t="n">
        <v>87093.79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107</v>
      </c>
      <c r="D22" s="5" t="s">
        <v>557</v>
      </c>
      <c r="E22" s="5" t="s">
        <v>81</v>
      </c>
      <c r="F22" s="11" t="n">
        <v>8243.94</v>
      </c>
      <c r="G22" s="12" t="n">
        <v>108.3077</v>
      </c>
      <c r="H22" s="12" t="n">
        <v>109.4921</v>
      </c>
      <c r="I22" s="5" t="s">
        <v>78</v>
      </c>
      <c r="J22" s="8" t="n">
        <v>0.22734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22.73</v>
      </c>
      <c r="N22" s="9" t="n">
        <v>1874.21</v>
      </c>
      <c r="O22" s="9" t="n">
        <v>88968.01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557</v>
      </c>
      <c r="D23" s="5" t="s">
        <v>111</v>
      </c>
      <c r="E23" s="5" t="s">
        <v>77</v>
      </c>
      <c r="F23" s="11" t="n">
        <v>4998.49</v>
      </c>
      <c r="G23" s="12" t="n">
        <v>109.4956</v>
      </c>
      <c r="H23" s="12" t="n">
        <v>114.261</v>
      </c>
      <c r="I23" s="5" t="s">
        <v>78</v>
      </c>
      <c r="J23" s="8" t="n">
        <v>6.38691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638.69</v>
      </c>
      <c r="N23" s="9" t="n">
        <v>31924.93</v>
      </c>
      <c r="O23" s="9" t="n">
        <v>120892.93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111</v>
      </c>
      <c r="D24" s="5" t="s">
        <v>112</v>
      </c>
      <c r="E24" s="5" t="s">
        <v>77</v>
      </c>
      <c r="F24" s="11" t="n">
        <v>1763.73</v>
      </c>
      <c r="G24" s="12" t="n">
        <v>107.8624</v>
      </c>
      <c r="H24" s="12" t="n">
        <v>107.7106</v>
      </c>
      <c r="I24" s="5" t="s">
        <v>78</v>
      </c>
      <c r="J24" s="8" t="n">
        <v>2.18867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218.87</v>
      </c>
      <c r="N24" s="9" t="n">
        <v>3860.21</v>
      </c>
      <c r="O24" s="9" t="n">
        <v>124753.14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112</v>
      </c>
      <c r="D25" s="5" t="s">
        <v>558</v>
      </c>
      <c r="E25" s="5" t="s">
        <v>77</v>
      </c>
      <c r="F25" s="11" t="n">
        <v>9306.95</v>
      </c>
      <c r="G25" s="12" t="n">
        <v>107.0364</v>
      </c>
      <c r="H25" s="12" t="n">
        <v>106.2561</v>
      </c>
      <c r="I25" s="5" t="s">
        <v>78</v>
      </c>
      <c r="J25" s="8" t="n">
        <v>1.09939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109.94</v>
      </c>
      <c r="N25" s="9" t="n">
        <v>10231.92</v>
      </c>
      <c r="O25" s="9" t="n">
        <v>134985.07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558</v>
      </c>
      <c r="D26" s="5" t="s">
        <v>559</v>
      </c>
      <c r="E26" s="5" t="s">
        <v>81</v>
      </c>
      <c r="F26" s="11" t="n">
        <v>0</v>
      </c>
      <c r="G26" s="12" t="n">
        <v>106.2561</v>
      </c>
      <c r="H26" s="12" t="n">
        <v>106.0435</v>
      </c>
      <c r="J26" s="8" t="n">
        <v>0.20731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20.73</v>
      </c>
      <c r="N26" s="9" t="n">
        <v>0</v>
      </c>
      <c r="O26" s="9" t="n">
        <v>134985.07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559</v>
      </c>
      <c r="D27" s="5" t="s">
        <v>560</v>
      </c>
      <c r="E27" s="5" t="s">
        <v>81</v>
      </c>
      <c r="F27" s="11" t="n">
        <v>7545.94</v>
      </c>
      <c r="G27" s="12" t="n">
        <v>106.2561</v>
      </c>
      <c r="H27" s="12" t="n">
        <v>110.1445</v>
      </c>
      <c r="I27" s="5" t="s">
        <v>78</v>
      </c>
      <c r="J27" s="8" t="n">
        <v>-4.17346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1</v>
      </c>
      <c r="M27" s="14" t="n">
        <v>-417.35</v>
      </c>
      <c r="N27" s="9" t="n">
        <v>-31492.7</v>
      </c>
      <c r="O27" s="9" t="n">
        <v>103492.37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560</v>
      </c>
      <c r="D28" s="5" t="s">
        <v>561</v>
      </c>
      <c r="E28" s="5" t="s">
        <v>77</v>
      </c>
      <c r="F28" s="11" t="n">
        <v>9458.43</v>
      </c>
      <c r="G28" s="12" t="n">
        <v>110.4454</v>
      </c>
      <c r="H28" s="12" t="n">
        <v>106.2731</v>
      </c>
      <c r="I28" s="5" t="s">
        <v>78</v>
      </c>
      <c r="J28" s="8" t="n">
        <v>-1.73778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2</v>
      </c>
      <c r="M28" s="14" t="n">
        <v>-173.78</v>
      </c>
      <c r="N28" s="9" t="n">
        <v>-16436.7</v>
      </c>
      <c r="O28" s="9" t="n">
        <v>87055.67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561</v>
      </c>
      <c r="D29" s="5" t="s">
        <v>122</v>
      </c>
      <c r="E29" s="5" t="s">
        <v>81</v>
      </c>
      <c r="F29" s="11" t="n">
        <v>2756.74</v>
      </c>
      <c r="G29" s="12" t="n">
        <v>106.1485</v>
      </c>
      <c r="H29" s="12" t="n">
        <v>109.4568</v>
      </c>
      <c r="J29" s="8" t="n">
        <v>-3.32316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3</v>
      </c>
      <c r="M29" s="14" t="n">
        <v>-332.32</v>
      </c>
      <c r="N29" s="9" t="n">
        <v>-9161.11</v>
      </c>
      <c r="O29" s="9" t="n">
        <v>77894.57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122</v>
      </c>
      <c r="D30" s="5" t="s">
        <v>562</v>
      </c>
      <c r="E30" s="5" t="s">
        <v>81</v>
      </c>
      <c r="F30" s="11" t="n">
        <v>10570.66</v>
      </c>
      <c r="G30" s="12" t="n">
        <v>106.1485</v>
      </c>
      <c r="H30" s="12" t="n">
        <v>110.6244</v>
      </c>
      <c r="I30" s="5" t="s">
        <v>78</v>
      </c>
      <c r="J30" s="8" t="n">
        <v>-4.16518</v>
      </c>
      <c r="K30" s="13" t="str">
        <f aca="false">IF(J30&gt;0,"прибыль",IF(J30&lt;0,"убыток","ноль"))</f>
        <v>убыток</v>
      </c>
      <c r="L30" s="13" t="n">
        <f aca="false">IF(C30="",L29,IF(J30&lt;0,L29+1,0))</f>
        <v>4</v>
      </c>
      <c r="M30" s="14" t="n">
        <v>-416.52</v>
      </c>
      <c r="N30" s="9" t="n">
        <v>-44028.67</v>
      </c>
      <c r="O30" s="9" t="n">
        <v>33865.89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562</v>
      </c>
      <c r="D31" s="5" t="s">
        <v>563</v>
      </c>
      <c r="E31" s="5" t="s">
        <v>77</v>
      </c>
      <c r="F31" s="11" t="n">
        <v>2363.77</v>
      </c>
      <c r="G31" s="12" t="n">
        <v>110.6244</v>
      </c>
      <c r="H31" s="12" t="n">
        <v>108.4061</v>
      </c>
      <c r="I31" s="5" t="s">
        <v>78</v>
      </c>
      <c r="J31" s="8" t="n">
        <v>-0.73836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5</v>
      </c>
      <c r="M31" s="14" t="n">
        <v>-73.84</v>
      </c>
      <c r="N31" s="9" t="n">
        <v>-1745.31</v>
      </c>
      <c r="O31" s="9" t="n">
        <v>32120.59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563</v>
      </c>
      <c r="D32" s="5" t="s">
        <v>133</v>
      </c>
      <c r="E32" s="5" t="s">
        <v>77</v>
      </c>
      <c r="F32" s="11" t="n">
        <v>7532.51</v>
      </c>
      <c r="G32" s="12" t="n">
        <v>109.4862</v>
      </c>
      <c r="H32" s="12" t="n">
        <v>113.2917</v>
      </c>
      <c r="I32" s="5" t="s">
        <v>78</v>
      </c>
      <c r="J32" s="8" t="n">
        <v>4.35851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435.85</v>
      </c>
      <c r="N32" s="9" t="n">
        <v>32830.48</v>
      </c>
      <c r="O32" s="9" t="n">
        <v>64951.07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133</v>
      </c>
      <c r="D33" s="5" t="s">
        <v>564</v>
      </c>
      <c r="E33" s="5" t="s">
        <v>77</v>
      </c>
      <c r="F33" s="11" t="n">
        <v>12954.64</v>
      </c>
      <c r="G33" s="12" t="n">
        <v>108.5301</v>
      </c>
      <c r="H33" s="12" t="n">
        <v>107.7835</v>
      </c>
      <c r="I33" s="5" t="s">
        <v>78</v>
      </c>
      <c r="J33" s="8" t="n">
        <v>-2.62631</v>
      </c>
      <c r="K33" s="13" t="str">
        <f aca="false">IF(J33&gt;0,"прибыль",IF(J33&lt;0,"убыток","ноль"))</f>
        <v>убыток</v>
      </c>
      <c r="L33" s="13" t="n">
        <f aca="false">IF(C33="",L32,IF(J33&lt;0,L32+1,0))</f>
        <v>1</v>
      </c>
      <c r="M33" s="14" t="n">
        <v>-262.63</v>
      </c>
      <c r="N33" s="9" t="n">
        <v>-34022.92</v>
      </c>
      <c r="O33" s="9" t="n">
        <v>30928.15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564</v>
      </c>
      <c r="D34" s="5" t="s">
        <v>565</v>
      </c>
      <c r="E34" s="5" t="s">
        <v>81</v>
      </c>
      <c r="F34" s="11" t="n">
        <v>2873.15</v>
      </c>
      <c r="G34" s="12" t="n">
        <v>107.7835</v>
      </c>
      <c r="H34" s="12" t="n">
        <v>102.3138</v>
      </c>
      <c r="J34" s="8" t="n">
        <v>5.46461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546.46</v>
      </c>
      <c r="N34" s="9" t="n">
        <v>15700.67</v>
      </c>
      <c r="O34" s="9" t="n">
        <v>46628.82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565</v>
      </c>
      <c r="D35" s="5" t="s">
        <v>136</v>
      </c>
      <c r="E35" s="5" t="s">
        <v>81</v>
      </c>
      <c r="F35" s="11" t="n">
        <v>3642.92</v>
      </c>
      <c r="G35" s="12" t="n">
        <v>103.7109</v>
      </c>
      <c r="H35" s="12" t="n">
        <v>85.2819</v>
      </c>
      <c r="I35" s="5" t="s">
        <v>78</v>
      </c>
      <c r="J35" s="8" t="n">
        <v>22.32035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2232.04</v>
      </c>
      <c r="N35" s="9" t="n">
        <v>81311.29</v>
      </c>
      <c r="O35" s="9" t="n">
        <v>127940.12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136</v>
      </c>
      <c r="D36" s="5" t="s">
        <v>137</v>
      </c>
      <c r="E36" s="5" t="s">
        <v>81</v>
      </c>
      <c r="F36" s="11" t="n">
        <v>2029.61</v>
      </c>
      <c r="G36" s="12" t="n">
        <v>107.6108</v>
      </c>
      <c r="H36" s="12" t="n">
        <v>87.1156</v>
      </c>
      <c r="I36" s="5" t="s">
        <v>78</v>
      </c>
      <c r="J36" s="8" t="n">
        <v>22.706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2270.6</v>
      </c>
      <c r="N36" s="9" t="n">
        <v>46084.22</v>
      </c>
      <c r="O36" s="9" t="n">
        <v>174024.34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137</v>
      </c>
      <c r="D37" s="5" t="s">
        <v>138</v>
      </c>
      <c r="E37" s="5" t="s">
        <v>81</v>
      </c>
      <c r="F37" s="11" t="n">
        <v>2204.07</v>
      </c>
      <c r="G37" s="12" t="n">
        <v>102.7889</v>
      </c>
      <c r="H37" s="12" t="n">
        <v>72.5912</v>
      </c>
      <c r="I37" s="5" t="s">
        <v>78</v>
      </c>
      <c r="J37" s="8" t="n">
        <v>32.56965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3256.96</v>
      </c>
      <c r="N37" s="9" t="n">
        <v>71785.9</v>
      </c>
      <c r="O37" s="9" t="n">
        <v>245810.24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138</v>
      </c>
      <c r="D38" s="5" t="s">
        <v>139</v>
      </c>
      <c r="E38" s="5" t="s">
        <v>81</v>
      </c>
      <c r="F38" s="11" t="n">
        <v>1744.32</v>
      </c>
      <c r="G38" s="12" t="n">
        <v>105.1689</v>
      </c>
      <c r="H38" s="12" t="n">
        <v>61.657</v>
      </c>
      <c r="I38" s="5" t="s">
        <v>78</v>
      </c>
      <c r="J38" s="8" t="n">
        <v>45.61922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4561.92</v>
      </c>
      <c r="N38" s="9" t="n">
        <v>79574.37</v>
      </c>
      <c r="O38" s="9" t="n">
        <v>325384.61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139</v>
      </c>
      <c r="D39" s="5" t="s">
        <v>140</v>
      </c>
      <c r="E39" s="5" t="s">
        <v>81</v>
      </c>
      <c r="F39" s="11" t="n">
        <v>2114.7</v>
      </c>
      <c r="G39" s="12" t="n">
        <v>95.9603</v>
      </c>
      <c r="H39" s="12" t="n">
        <v>55.0057</v>
      </c>
      <c r="I39" s="5" t="s">
        <v>78</v>
      </c>
      <c r="J39" s="8" t="n">
        <v>45.51806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4551.81</v>
      </c>
      <c r="N39" s="9" t="n">
        <v>96257.25</v>
      </c>
      <c r="O39" s="9" t="n">
        <v>421641.86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140</v>
      </c>
      <c r="D40" s="5" t="s">
        <v>566</v>
      </c>
      <c r="E40" s="5" t="s">
        <v>81</v>
      </c>
      <c r="F40" s="11" t="n">
        <v>5987</v>
      </c>
      <c r="G40" s="12" t="n">
        <v>92.3668</v>
      </c>
      <c r="H40" s="12" t="n">
        <v>54.5425</v>
      </c>
      <c r="I40" s="5" t="s">
        <v>78</v>
      </c>
      <c r="J40" s="8" t="n">
        <v>44.54454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4454.45</v>
      </c>
      <c r="N40" s="9" t="n">
        <v>266688.18</v>
      </c>
      <c r="O40" s="9" t="n">
        <v>688330.04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566</v>
      </c>
      <c r="D41" s="5" t="s">
        <v>142</v>
      </c>
      <c r="E41" s="5" t="s">
        <v>77</v>
      </c>
      <c r="F41" s="11" t="n">
        <v>6110.35</v>
      </c>
      <c r="G41" s="12" t="n">
        <v>54.5425</v>
      </c>
      <c r="H41" s="12" t="n">
        <v>53.2035</v>
      </c>
      <c r="J41" s="8" t="n">
        <v>-1.34454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1</v>
      </c>
      <c r="M41" s="14" t="n">
        <v>-134.45</v>
      </c>
      <c r="N41" s="9" t="n">
        <v>-8215.59</v>
      </c>
      <c r="O41" s="9" t="n">
        <v>680114.46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142</v>
      </c>
      <c r="D42" s="5" t="s">
        <v>567</v>
      </c>
      <c r="E42" s="5" t="s">
        <v>81</v>
      </c>
      <c r="F42" s="11" t="n">
        <v>1683.51</v>
      </c>
      <c r="G42" s="12" t="n">
        <v>53.2035</v>
      </c>
      <c r="H42" s="12" t="n">
        <v>57.941</v>
      </c>
      <c r="I42" s="5" t="s">
        <v>78</v>
      </c>
      <c r="J42" s="8" t="n">
        <v>-4.98934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2</v>
      </c>
      <c r="M42" s="14" t="n">
        <v>-498.93</v>
      </c>
      <c r="N42" s="9" t="n">
        <v>-8399.63</v>
      </c>
      <c r="O42" s="9" t="n">
        <v>671714.83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567</v>
      </c>
      <c r="D43" s="5" t="s">
        <v>148</v>
      </c>
      <c r="E43" s="5" t="s">
        <v>81</v>
      </c>
      <c r="F43" s="11" t="n">
        <v>5670.52</v>
      </c>
      <c r="G43" s="12" t="n">
        <v>54.119</v>
      </c>
      <c r="H43" s="12" t="n">
        <v>64.6107</v>
      </c>
      <c r="I43" s="5" t="s">
        <v>78</v>
      </c>
      <c r="J43" s="8" t="n">
        <v>-7.56024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3</v>
      </c>
      <c r="M43" s="14" t="n">
        <v>-756.02</v>
      </c>
      <c r="N43" s="9" t="n">
        <v>-42870.46</v>
      </c>
      <c r="O43" s="9" t="n">
        <v>628844.37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148</v>
      </c>
      <c r="D44" s="5" t="s">
        <v>568</v>
      </c>
      <c r="E44" s="5" t="s">
        <v>77</v>
      </c>
      <c r="F44" s="11" t="n">
        <v>7818.19</v>
      </c>
      <c r="G44" s="12" t="n">
        <v>65.1695</v>
      </c>
      <c r="H44" s="12" t="n">
        <v>63.2353</v>
      </c>
      <c r="I44" s="5" t="s">
        <v>78</v>
      </c>
      <c r="J44" s="8" t="n">
        <v>-3.5246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4</v>
      </c>
      <c r="M44" s="14" t="n">
        <v>-352.46</v>
      </c>
      <c r="N44" s="9" t="n">
        <v>-27556.01</v>
      </c>
      <c r="O44" s="9" t="n">
        <v>601288.37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568</v>
      </c>
      <c r="D45" s="5" t="s">
        <v>154</v>
      </c>
      <c r="E45" s="5" t="s">
        <v>81</v>
      </c>
      <c r="F45" s="11" t="n">
        <v>0</v>
      </c>
      <c r="G45" s="12" t="n">
        <v>63.2353</v>
      </c>
      <c r="H45" s="12" t="n">
        <v>64.5878</v>
      </c>
      <c r="J45" s="8" t="n">
        <v>-1.35578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5</v>
      </c>
      <c r="M45" s="14" t="n">
        <v>-135.58</v>
      </c>
      <c r="N45" s="9" t="n">
        <v>0</v>
      </c>
      <c r="O45" s="9" t="n">
        <v>601288.37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154</v>
      </c>
      <c r="D46" s="5" t="s">
        <v>156</v>
      </c>
      <c r="E46" s="5" t="s">
        <v>81</v>
      </c>
      <c r="F46" s="11" t="n">
        <v>5088.76</v>
      </c>
      <c r="G46" s="12" t="n">
        <v>59.961</v>
      </c>
      <c r="H46" s="12" t="n">
        <v>47.5888</v>
      </c>
      <c r="I46" s="5" t="s">
        <v>78</v>
      </c>
      <c r="J46" s="8" t="n">
        <v>11.42065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1142.06</v>
      </c>
      <c r="N46" s="9" t="n">
        <v>58116.92</v>
      </c>
      <c r="O46" s="9" t="n">
        <v>659405.29</v>
      </c>
    </row>
    <row r="47" customFormat="false" ht="15" hidden="false" customHeight="false" outlineLevel="0" collapsed="false">
      <c r="A47" s="6" t="n">
        <v>42</v>
      </c>
      <c r="B47" s="5" t="s">
        <v>74</v>
      </c>
      <c r="C47" s="5" t="s">
        <v>156</v>
      </c>
      <c r="D47" s="5" t="s">
        <v>157</v>
      </c>
      <c r="E47" s="5" t="s">
        <v>81</v>
      </c>
      <c r="F47" s="11" t="n">
        <v>1396.2</v>
      </c>
      <c r="G47" s="12" t="n">
        <v>59.014</v>
      </c>
      <c r="H47" s="12" t="n">
        <v>48.7705</v>
      </c>
      <c r="J47" s="8" t="n">
        <v>10.24101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1024.1</v>
      </c>
      <c r="N47" s="9" t="n">
        <v>14298.54</v>
      </c>
      <c r="O47" s="9" t="n">
        <v>673703.83</v>
      </c>
    </row>
    <row r="48" customFormat="false" ht="15" hidden="false" customHeight="false" outlineLevel="0" collapsed="false">
      <c r="A48" s="6" t="n">
        <v>43</v>
      </c>
      <c r="B48" s="5" t="s">
        <v>74</v>
      </c>
      <c r="C48" s="5" t="s">
        <v>157</v>
      </c>
      <c r="D48" s="5" t="s">
        <v>569</v>
      </c>
      <c r="E48" s="5" t="s">
        <v>81</v>
      </c>
      <c r="F48" s="11" t="n">
        <v>2958.7</v>
      </c>
      <c r="G48" s="12" t="n">
        <v>47.9408</v>
      </c>
      <c r="H48" s="12" t="n">
        <v>29.6072</v>
      </c>
      <c r="I48" s="5" t="s">
        <v>78</v>
      </c>
      <c r="J48" s="8" t="n">
        <v>21.5752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2157.52</v>
      </c>
      <c r="N48" s="9" t="n">
        <v>63834.52</v>
      </c>
      <c r="O48" s="9" t="n">
        <v>737538.35</v>
      </c>
    </row>
    <row r="49" customFormat="false" ht="15" hidden="false" customHeight="false" outlineLevel="0" collapsed="false">
      <c r="A49" s="6" t="n">
        <v>44</v>
      </c>
      <c r="B49" s="5" t="s">
        <v>74</v>
      </c>
      <c r="C49" s="5" t="s">
        <v>569</v>
      </c>
      <c r="D49" s="5" t="s">
        <v>164</v>
      </c>
      <c r="E49" s="5" t="s">
        <v>81</v>
      </c>
      <c r="F49" s="11" t="n">
        <v>2110.83</v>
      </c>
      <c r="G49" s="12" t="n">
        <v>51.1899</v>
      </c>
      <c r="H49" s="12" t="n">
        <v>32.2216</v>
      </c>
      <c r="J49" s="8" t="n">
        <v>18.9667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1896.67</v>
      </c>
      <c r="N49" s="9" t="n">
        <v>40035.51</v>
      </c>
      <c r="O49" s="9" t="n">
        <v>777573.85</v>
      </c>
    </row>
    <row r="50" customFormat="false" ht="15" hidden="false" customHeight="false" outlineLevel="0" collapsed="false">
      <c r="A50" s="6" t="n">
        <v>45</v>
      </c>
      <c r="B50" s="5" t="s">
        <v>74</v>
      </c>
      <c r="C50" s="5" t="s">
        <v>164</v>
      </c>
      <c r="D50" s="5" t="s">
        <v>165</v>
      </c>
      <c r="E50" s="5" t="s">
        <v>81</v>
      </c>
      <c r="F50" s="11" t="n">
        <v>2067.18</v>
      </c>
      <c r="G50" s="12" t="n">
        <v>51.1899</v>
      </c>
      <c r="H50" s="12" t="n">
        <v>35.5734</v>
      </c>
      <c r="I50" s="5" t="s">
        <v>78</v>
      </c>
      <c r="J50" s="8" t="n">
        <v>14.68482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1468.48</v>
      </c>
      <c r="N50" s="9" t="n">
        <v>30356.19</v>
      </c>
      <c r="O50" s="9" t="n">
        <v>807930.04</v>
      </c>
    </row>
    <row r="51" customFormat="false" ht="15" hidden="false" customHeight="false" outlineLevel="0" collapsed="false">
      <c r="A51" s="6" t="n">
        <v>46</v>
      </c>
      <c r="B51" s="5" t="s">
        <v>74</v>
      </c>
      <c r="C51" s="5" t="s">
        <v>165</v>
      </c>
      <c r="D51" s="5" t="s">
        <v>570</v>
      </c>
      <c r="E51" s="5" t="s">
        <v>81</v>
      </c>
      <c r="F51" s="11" t="n">
        <v>6994.08</v>
      </c>
      <c r="G51" s="12" t="n">
        <v>46.908</v>
      </c>
      <c r="H51" s="12" t="n">
        <v>35.3191</v>
      </c>
      <c r="J51" s="8" t="n">
        <v>11.58506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1158.51</v>
      </c>
      <c r="N51" s="9" t="n">
        <v>81026.83</v>
      </c>
      <c r="O51" s="9" t="n">
        <v>888956.87</v>
      </c>
    </row>
    <row r="52" customFormat="false" ht="15" hidden="false" customHeight="false" outlineLevel="0" collapsed="false">
      <c r="A52" s="6" t="n">
        <v>47</v>
      </c>
      <c r="B52" s="5" t="s">
        <v>74</v>
      </c>
      <c r="C52" s="5" t="s">
        <v>570</v>
      </c>
      <c r="D52" s="5" t="s">
        <v>169</v>
      </c>
      <c r="E52" s="5" t="s">
        <v>77</v>
      </c>
      <c r="F52" s="11" t="n">
        <v>2552.12</v>
      </c>
      <c r="G52" s="12" t="n">
        <v>37.062</v>
      </c>
      <c r="H52" s="12" t="n">
        <v>42.7196</v>
      </c>
      <c r="I52" s="5" t="s">
        <v>78</v>
      </c>
      <c r="J52" s="8" t="n">
        <v>5.68169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568.17</v>
      </c>
      <c r="N52" s="9" t="n">
        <v>14500.36</v>
      </c>
      <c r="O52" s="9" t="n">
        <v>903457.23</v>
      </c>
    </row>
    <row r="53" customFormat="false" ht="15" hidden="false" customHeight="false" outlineLevel="0" collapsed="false">
      <c r="A53" s="6" t="n">
        <v>48</v>
      </c>
      <c r="B53" s="5" t="s">
        <v>74</v>
      </c>
      <c r="C53" s="5" t="s">
        <v>169</v>
      </c>
      <c r="D53" s="5" t="s">
        <v>170</v>
      </c>
      <c r="E53" s="5" t="s">
        <v>77</v>
      </c>
      <c r="F53" s="11" t="n">
        <v>4693.29</v>
      </c>
      <c r="G53" s="12" t="n">
        <v>41.4215</v>
      </c>
      <c r="H53" s="12" t="n">
        <v>49.2282</v>
      </c>
      <c r="I53" s="5" t="s">
        <v>78</v>
      </c>
      <c r="J53" s="8" t="n">
        <v>8.25205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825.2</v>
      </c>
      <c r="N53" s="9" t="n">
        <v>38729.22</v>
      </c>
      <c r="O53" s="9" t="n">
        <v>942186.45</v>
      </c>
    </row>
    <row r="54" customFormat="false" ht="15" hidden="false" customHeight="false" outlineLevel="0" collapsed="false">
      <c r="A54" s="6" t="n">
        <v>49</v>
      </c>
      <c r="B54" s="5" t="s">
        <v>74</v>
      </c>
      <c r="C54" s="5" t="s">
        <v>170</v>
      </c>
      <c r="D54" s="5" t="s">
        <v>171</v>
      </c>
      <c r="E54" s="5" t="s">
        <v>77</v>
      </c>
      <c r="F54" s="11" t="n">
        <v>2169.08</v>
      </c>
      <c r="G54" s="12" t="n">
        <v>40.9712</v>
      </c>
      <c r="H54" s="12" t="n">
        <v>48.6752</v>
      </c>
      <c r="J54" s="8" t="n">
        <v>7.70163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770.16</v>
      </c>
      <c r="N54" s="9" t="n">
        <v>16705.43</v>
      </c>
      <c r="O54" s="9" t="n">
        <v>958891.88</v>
      </c>
    </row>
    <row r="55" customFormat="false" ht="15" hidden="false" customHeight="false" outlineLevel="0" collapsed="false">
      <c r="A55" s="6" t="n">
        <v>50</v>
      </c>
      <c r="B55" s="5" t="s">
        <v>74</v>
      </c>
      <c r="C55" s="5" t="s">
        <v>171</v>
      </c>
      <c r="D55" s="5" t="s">
        <v>571</v>
      </c>
      <c r="E55" s="5" t="s">
        <v>77</v>
      </c>
      <c r="F55" s="11" t="n">
        <v>7643.45</v>
      </c>
      <c r="G55" s="12" t="n">
        <v>40.9712</v>
      </c>
      <c r="H55" s="12" t="n">
        <v>46.8418</v>
      </c>
      <c r="I55" s="5" t="s">
        <v>78</v>
      </c>
      <c r="J55" s="8" t="n">
        <v>5.26597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526.6</v>
      </c>
      <c r="N55" s="9" t="n">
        <v>40250.15</v>
      </c>
      <c r="O55" s="9" t="n">
        <v>999142.03</v>
      </c>
    </row>
    <row r="56" customFormat="false" ht="15" hidden="false" customHeight="false" outlineLevel="0" collapsed="false">
      <c r="A56" s="6" t="n">
        <v>51</v>
      </c>
      <c r="B56" s="5" t="s">
        <v>74</v>
      </c>
      <c r="C56" s="5" t="s">
        <v>571</v>
      </c>
      <c r="D56" s="5" t="s">
        <v>572</v>
      </c>
      <c r="E56" s="5" t="s">
        <v>81</v>
      </c>
      <c r="F56" s="11" t="n">
        <v>2619.1</v>
      </c>
      <c r="G56" s="12" t="n">
        <v>46.051</v>
      </c>
      <c r="H56" s="12" t="n">
        <v>47.2828</v>
      </c>
      <c r="I56" s="5" t="s">
        <v>78</v>
      </c>
      <c r="J56" s="8" t="n">
        <v>-1.42281</v>
      </c>
      <c r="K56" s="13" t="str">
        <f aca="false">IF(J56&gt;0,"прибыль",IF(J56&lt;0,"убыток","ноль"))</f>
        <v>убыток</v>
      </c>
      <c r="L56" s="13" t="n">
        <f aca="false">IF(C56="",L55,IF(J56&lt;0,L55+1,0))</f>
        <v>1</v>
      </c>
      <c r="M56" s="14" t="n">
        <v>-142.28</v>
      </c>
      <c r="N56" s="9" t="n">
        <v>-3726.49</v>
      </c>
      <c r="O56" s="9" t="n">
        <v>995415.54</v>
      </c>
    </row>
    <row r="57" customFormat="false" ht="15" hidden="false" customHeight="false" outlineLevel="0" collapsed="false">
      <c r="A57" s="6" t="n">
        <v>52</v>
      </c>
      <c r="B57" s="5" t="s">
        <v>74</v>
      </c>
      <c r="C57" s="5" t="s">
        <v>572</v>
      </c>
      <c r="D57" s="5" t="s">
        <v>179</v>
      </c>
      <c r="E57" s="5" t="s">
        <v>81</v>
      </c>
      <c r="F57" s="11" t="n">
        <v>9582.67</v>
      </c>
      <c r="G57" s="12" t="n">
        <v>45.8666</v>
      </c>
      <c r="H57" s="12" t="n">
        <v>47.0229</v>
      </c>
      <c r="J57" s="8" t="n">
        <v>-1.16105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2</v>
      </c>
      <c r="M57" s="14" t="n">
        <v>-116.11</v>
      </c>
      <c r="N57" s="9" t="n">
        <v>-11125.98</v>
      </c>
      <c r="O57" s="9" t="n">
        <v>984289.55</v>
      </c>
    </row>
    <row r="58" customFormat="false" ht="15" hidden="false" customHeight="false" outlineLevel="0" collapsed="false">
      <c r="A58" s="6" t="n">
        <v>53</v>
      </c>
      <c r="B58" s="5" t="s">
        <v>74</v>
      </c>
      <c r="C58" s="5" t="s">
        <v>179</v>
      </c>
      <c r="D58" s="5" t="s">
        <v>573</v>
      </c>
      <c r="E58" s="5" t="s">
        <v>77</v>
      </c>
      <c r="F58" s="11" t="n">
        <v>17106.61</v>
      </c>
      <c r="G58" s="12" t="n">
        <v>47.5838</v>
      </c>
      <c r="H58" s="12" t="n">
        <v>45.646</v>
      </c>
      <c r="I58" s="5" t="s">
        <v>78</v>
      </c>
      <c r="J58" s="8" t="n">
        <v>-1.85691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3</v>
      </c>
      <c r="M58" s="14" t="n">
        <v>-185.69</v>
      </c>
      <c r="N58" s="9" t="n">
        <v>-31765.44</v>
      </c>
      <c r="O58" s="9" t="n">
        <v>952524.11</v>
      </c>
    </row>
    <row r="59" customFormat="false" ht="15" hidden="false" customHeight="false" outlineLevel="0" collapsed="false">
      <c r="A59" s="6" t="n">
        <v>54</v>
      </c>
      <c r="B59" s="5" t="s">
        <v>74</v>
      </c>
      <c r="C59" s="5" t="s">
        <v>573</v>
      </c>
      <c r="D59" s="5" t="s">
        <v>182</v>
      </c>
      <c r="E59" s="5" t="s">
        <v>81</v>
      </c>
      <c r="F59" s="11" t="n">
        <v>5252.36</v>
      </c>
      <c r="G59" s="12" t="n">
        <v>45.646</v>
      </c>
      <c r="H59" s="12" t="n">
        <v>47.1802</v>
      </c>
      <c r="J59" s="8" t="n">
        <v>-1.53663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4</v>
      </c>
      <c r="M59" s="14" t="n">
        <v>-153.66</v>
      </c>
      <c r="N59" s="9" t="n">
        <v>-8070.95</v>
      </c>
      <c r="O59" s="9" t="n">
        <v>944453.16</v>
      </c>
    </row>
    <row r="60" customFormat="false" ht="15" hidden="false" customHeight="false" outlineLevel="0" collapsed="false">
      <c r="A60" s="6" t="n">
        <v>55</v>
      </c>
      <c r="B60" s="5" t="s">
        <v>74</v>
      </c>
      <c r="C60" s="5" t="s">
        <v>182</v>
      </c>
      <c r="D60" s="5" t="s">
        <v>185</v>
      </c>
      <c r="E60" s="5" t="s">
        <v>81</v>
      </c>
      <c r="F60" s="11" t="n">
        <v>4116.23</v>
      </c>
      <c r="G60" s="12" t="n">
        <v>45.646</v>
      </c>
      <c r="H60" s="12" t="n">
        <v>50.5328</v>
      </c>
      <c r="J60" s="8" t="n">
        <v>-4.88939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5</v>
      </c>
      <c r="M60" s="14" t="n">
        <v>-488.94</v>
      </c>
      <c r="N60" s="9" t="n">
        <v>-20125.83</v>
      </c>
      <c r="O60" s="9" t="n">
        <v>924327.32</v>
      </c>
    </row>
    <row r="61" customFormat="false" ht="15" hidden="false" customHeight="false" outlineLevel="0" collapsed="false">
      <c r="A61" s="6" t="n">
        <v>56</v>
      </c>
      <c r="B61" s="5" t="s">
        <v>74</v>
      </c>
      <c r="C61" s="5" t="s">
        <v>185</v>
      </c>
      <c r="D61" s="5" t="s">
        <v>574</v>
      </c>
      <c r="E61" s="5" t="s">
        <v>81</v>
      </c>
      <c r="F61" s="11" t="n">
        <v>5584.41</v>
      </c>
      <c r="G61" s="12" t="n">
        <v>45.646</v>
      </c>
      <c r="H61" s="12" t="n">
        <v>56.2419</v>
      </c>
      <c r="I61" s="5" t="s">
        <v>78</v>
      </c>
      <c r="J61" s="8" t="n">
        <v>-7.19153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6</v>
      </c>
      <c r="M61" s="14" t="n">
        <v>-719.15</v>
      </c>
      <c r="N61" s="9" t="n">
        <v>-40160.45</v>
      </c>
      <c r="O61" s="9" t="n">
        <v>884166.87</v>
      </c>
    </row>
    <row r="62" customFormat="false" ht="15" hidden="false" customHeight="false" outlineLevel="0" collapsed="false">
      <c r="A62" s="6" t="n">
        <v>57</v>
      </c>
      <c r="B62" s="5" t="s">
        <v>74</v>
      </c>
      <c r="C62" s="5" t="s">
        <v>574</v>
      </c>
      <c r="D62" s="5" t="s">
        <v>189</v>
      </c>
      <c r="E62" s="5" t="s">
        <v>77</v>
      </c>
      <c r="F62" s="11" t="n">
        <v>3160.89</v>
      </c>
      <c r="G62" s="12" t="n">
        <v>56.6279</v>
      </c>
      <c r="H62" s="12" t="n">
        <v>55.1288</v>
      </c>
      <c r="J62" s="8" t="n">
        <v>-1.50857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7</v>
      </c>
      <c r="M62" s="14" t="n">
        <v>-150.86</v>
      </c>
      <c r="N62" s="9" t="n">
        <v>-4768.42</v>
      </c>
      <c r="O62" s="9" t="n">
        <v>879398.45</v>
      </c>
    </row>
    <row r="63" customFormat="false" ht="15" hidden="false" customHeight="false" outlineLevel="0" collapsed="false">
      <c r="A63" s="6" t="n">
        <v>58</v>
      </c>
      <c r="B63" s="5" t="s">
        <v>74</v>
      </c>
      <c r="C63" s="5" t="s">
        <v>189</v>
      </c>
      <c r="D63" s="5" t="s">
        <v>575</v>
      </c>
      <c r="E63" s="5" t="s">
        <v>77</v>
      </c>
      <c r="F63" s="11" t="n">
        <v>16168.78</v>
      </c>
      <c r="G63" s="12" t="n">
        <v>55.9249</v>
      </c>
      <c r="H63" s="12" t="n">
        <v>56.6927</v>
      </c>
      <c r="I63" s="5" t="s">
        <v>78</v>
      </c>
      <c r="J63" s="8" t="n">
        <v>-0.1127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8</v>
      </c>
      <c r="M63" s="14" t="n">
        <v>-11.27</v>
      </c>
      <c r="N63" s="9" t="n">
        <v>-1822.24</v>
      </c>
      <c r="O63" s="9" t="n">
        <v>877576.21</v>
      </c>
    </row>
    <row r="64" customFormat="false" ht="15" hidden="false" customHeight="false" outlineLevel="0" collapsed="false">
      <c r="A64" s="6" t="n">
        <v>59</v>
      </c>
      <c r="B64" s="5" t="s">
        <v>74</v>
      </c>
      <c r="C64" s="5" t="s">
        <v>575</v>
      </c>
      <c r="D64" s="5" t="s">
        <v>194</v>
      </c>
      <c r="E64" s="5" t="s">
        <v>81</v>
      </c>
      <c r="F64" s="11" t="n">
        <v>4630.9</v>
      </c>
      <c r="G64" s="12" t="n">
        <v>56.6927</v>
      </c>
      <c r="H64" s="12" t="n">
        <v>52.6598</v>
      </c>
      <c r="I64" s="5" t="s">
        <v>78</v>
      </c>
      <c r="J64" s="8" t="n">
        <v>4.77478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477.48</v>
      </c>
      <c r="N64" s="9" t="n">
        <v>22111.52</v>
      </c>
      <c r="O64" s="9" t="n">
        <v>899687.72</v>
      </c>
    </row>
    <row r="65" customFormat="false" ht="15" hidden="false" customHeight="false" outlineLevel="0" collapsed="false">
      <c r="A65" s="6" t="n">
        <v>60</v>
      </c>
      <c r="B65" s="5" t="s">
        <v>74</v>
      </c>
      <c r="C65" s="5" t="s">
        <v>194</v>
      </c>
      <c r="D65" s="5" t="s">
        <v>195</v>
      </c>
      <c r="E65" s="5" t="s">
        <v>81</v>
      </c>
      <c r="F65" s="11" t="n">
        <v>3525.24</v>
      </c>
      <c r="G65" s="12" t="n">
        <v>56.5386</v>
      </c>
      <c r="H65" s="12" t="n">
        <v>51.8452</v>
      </c>
      <c r="I65" s="5" t="s">
        <v>78</v>
      </c>
      <c r="J65" s="8" t="n">
        <v>4.22439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422.44</v>
      </c>
      <c r="N65" s="9" t="n">
        <v>14891.99</v>
      </c>
      <c r="O65" s="9" t="n">
        <v>914579.72</v>
      </c>
    </row>
    <row r="66" customFormat="false" ht="15" hidden="false" customHeight="false" outlineLevel="0" collapsed="false">
      <c r="A66" s="6" t="n">
        <v>61</v>
      </c>
      <c r="B66" s="5" t="s">
        <v>74</v>
      </c>
      <c r="C66" s="5" t="s">
        <v>195</v>
      </c>
      <c r="D66" s="5" t="s">
        <v>576</v>
      </c>
      <c r="E66" s="5" t="s">
        <v>81</v>
      </c>
      <c r="F66" s="11" t="n">
        <v>2362.26</v>
      </c>
      <c r="G66" s="12" t="n">
        <v>56.0757</v>
      </c>
      <c r="H66" s="12" t="n">
        <v>52.3152</v>
      </c>
      <c r="J66" s="8" t="n">
        <v>3.75783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375.78</v>
      </c>
      <c r="N66" s="9" t="n">
        <v>8876.98</v>
      </c>
      <c r="O66" s="9" t="n">
        <v>923456.7</v>
      </c>
    </row>
    <row r="67" customFormat="false" ht="15" hidden="false" customHeight="false" outlineLevel="0" collapsed="false">
      <c r="A67" s="6" t="n">
        <v>62</v>
      </c>
      <c r="B67" s="5" t="s">
        <v>74</v>
      </c>
      <c r="C67" s="5" t="s">
        <v>576</v>
      </c>
      <c r="D67" s="5" t="s">
        <v>200</v>
      </c>
      <c r="E67" s="5" t="s">
        <v>81</v>
      </c>
      <c r="F67" s="11" t="n">
        <v>4274.53</v>
      </c>
      <c r="G67" s="12" t="n">
        <v>52.9233</v>
      </c>
      <c r="H67" s="12" t="n">
        <v>50.8658</v>
      </c>
      <c r="I67" s="5" t="s">
        <v>78</v>
      </c>
      <c r="J67" s="8" t="n">
        <v>3.95545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395.55</v>
      </c>
      <c r="N67" s="9" t="n">
        <v>16907.68</v>
      </c>
      <c r="O67" s="9" t="n">
        <v>940364.38</v>
      </c>
    </row>
    <row r="68" customFormat="false" ht="15" hidden="false" customHeight="false" outlineLevel="0" collapsed="false">
      <c r="A68" s="6" t="n">
        <v>63</v>
      </c>
      <c r="B68" s="5" t="s">
        <v>74</v>
      </c>
      <c r="C68" s="5" t="s">
        <v>200</v>
      </c>
      <c r="D68" s="5" t="s">
        <v>577</v>
      </c>
      <c r="E68" s="5" t="s">
        <v>81</v>
      </c>
      <c r="F68" s="11" t="n">
        <v>9434.04</v>
      </c>
      <c r="G68" s="12" t="n">
        <v>54.8263</v>
      </c>
      <c r="H68" s="12" t="n">
        <v>52.0278</v>
      </c>
      <c r="I68" s="5" t="s">
        <v>78</v>
      </c>
      <c r="J68" s="8" t="n">
        <v>1.45943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145.94</v>
      </c>
      <c r="N68" s="9" t="n">
        <v>13768.29</v>
      </c>
      <c r="O68" s="9" t="n">
        <v>954132.67</v>
      </c>
    </row>
    <row r="69" customFormat="false" ht="15" hidden="false" customHeight="false" outlineLevel="0" collapsed="false">
      <c r="A69" s="6" t="n">
        <v>64</v>
      </c>
      <c r="B69" s="5" t="s">
        <v>74</v>
      </c>
      <c r="C69" s="5" t="s">
        <v>577</v>
      </c>
      <c r="D69" s="5" t="s">
        <v>578</v>
      </c>
      <c r="E69" s="5" t="s">
        <v>77</v>
      </c>
      <c r="F69" s="11" t="n">
        <v>2859.24</v>
      </c>
      <c r="G69" s="12" t="n">
        <v>52.9431</v>
      </c>
      <c r="H69" s="12" t="n">
        <v>57.8302</v>
      </c>
      <c r="I69" s="5" t="s">
        <v>78</v>
      </c>
      <c r="J69" s="8" t="n">
        <v>5.83339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583.34</v>
      </c>
      <c r="N69" s="9" t="n">
        <v>16679.07</v>
      </c>
      <c r="O69" s="9" t="n">
        <v>970811.73</v>
      </c>
    </row>
    <row r="70" customFormat="false" ht="15" hidden="false" customHeight="false" outlineLevel="0" collapsed="false">
      <c r="A70" s="6" t="n">
        <v>65</v>
      </c>
      <c r="B70" s="5" t="s">
        <v>74</v>
      </c>
      <c r="C70" s="5" t="s">
        <v>578</v>
      </c>
      <c r="D70" s="5" t="s">
        <v>579</v>
      </c>
      <c r="E70" s="5" t="s">
        <v>77</v>
      </c>
      <c r="F70" s="11" t="n">
        <v>2958.92</v>
      </c>
      <c r="G70" s="12" t="n">
        <v>53.1511</v>
      </c>
      <c r="H70" s="12" t="n">
        <v>62.6497</v>
      </c>
      <c r="I70" s="5" t="s">
        <v>78</v>
      </c>
      <c r="J70" s="8" t="n">
        <v>10.36815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1036.82</v>
      </c>
      <c r="N70" s="9" t="n">
        <v>30678.57</v>
      </c>
      <c r="O70" s="9" t="n">
        <v>1001490.3</v>
      </c>
    </row>
    <row r="71" customFormat="false" ht="15" hidden="false" customHeight="false" outlineLevel="0" collapsed="false">
      <c r="A71" s="6" t="n">
        <v>66</v>
      </c>
      <c r="B71" s="5" t="s">
        <v>74</v>
      </c>
      <c r="C71" s="5" t="s">
        <v>579</v>
      </c>
      <c r="D71" s="5" t="s">
        <v>580</v>
      </c>
      <c r="E71" s="5" t="s">
        <v>77</v>
      </c>
      <c r="F71" s="11" t="n">
        <v>2854.47</v>
      </c>
      <c r="G71" s="12" t="n">
        <v>55.3867</v>
      </c>
      <c r="H71" s="12" t="n">
        <v>65.4766</v>
      </c>
      <c r="I71" s="5" t="s">
        <v>78</v>
      </c>
      <c r="J71" s="8" t="n">
        <v>9.43425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943.43</v>
      </c>
      <c r="N71" s="9" t="n">
        <v>26929.8</v>
      </c>
      <c r="O71" s="9" t="n">
        <v>1028420.1</v>
      </c>
    </row>
    <row r="72" customFormat="false" ht="15" hidden="false" customHeight="false" outlineLevel="0" collapsed="false">
      <c r="A72" s="6" t="n">
        <v>67</v>
      </c>
      <c r="B72" s="5" t="s">
        <v>74</v>
      </c>
      <c r="C72" s="5" t="s">
        <v>580</v>
      </c>
      <c r="D72" s="5" t="s">
        <v>210</v>
      </c>
      <c r="E72" s="5" t="s">
        <v>77</v>
      </c>
      <c r="F72" s="11" t="n">
        <v>10652.47</v>
      </c>
      <c r="G72" s="12" t="n">
        <v>56.0361</v>
      </c>
      <c r="H72" s="12" t="n">
        <v>66.1663</v>
      </c>
      <c r="J72" s="8" t="n">
        <v>10.12358</v>
      </c>
      <c r="K72" s="13" t="str">
        <f aca="false">IF(J72&gt;0,"прибыль",IF(J72&lt;0,"убыток","ноль"))</f>
        <v>прибыль</v>
      </c>
      <c r="L72" s="13" t="n">
        <f aca="false">IF(C72="",L71,IF(J72&lt;0,L71+1,0))</f>
        <v>0</v>
      </c>
      <c r="M72" s="14" t="n">
        <v>1012.36</v>
      </c>
      <c r="N72" s="9" t="n">
        <v>107841.12</v>
      </c>
      <c r="O72" s="9" t="n">
        <v>1136261.22</v>
      </c>
    </row>
    <row r="73" customFormat="false" ht="15" hidden="false" customHeight="false" outlineLevel="0" collapsed="false">
      <c r="A73" s="6" t="n">
        <v>68</v>
      </c>
      <c r="B73" s="5" t="s">
        <v>74</v>
      </c>
      <c r="C73" s="5" t="s">
        <v>210</v>
      </c>
      <c r="D73" s="5" t="s">
        <v>217</v>
      </c>
      <c r="E73" s="5" t="s">
        <v>81</v>
      </c>
      <c r="F73" s="11" t="n">
        <v>10895.59</v>
      </c>
      <c r="G73" s="12" t="n">
        <v>66.1663</v>
      </c>
      <c r="H73" s="12" t="n">
        <v>69.6303</v>
      </c>
      <c r="I73" s="5" t="s">
        <v>78</v>
      </c>
      <c r="J73" s="8" t="n">
        <v>-5.00083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1</v>
      </c>
      <c r="M73" s="14" t="n">
        <v>-500.08</v>
      </c>
      <c r="N73" s="9" t="n">
        <v>-54486.99</v>
      </c>
      <c r="O73" s="9" t="n">
        <v>1081774.23</v>
      </c>
    </row>
    <row r="74" customFormat="false" ht="15" hidden="false" customHeight="false" outlineLevel="0" collapsed="false">
      <c r="A74" s="6" t="n">
        <v>69</v>
      </c>
      <c r="B74" s="5" t="s">
        <v>74</v>
      </c>
      <c r="C74" s="5" t="s">
        <v>217</v>
      </c>
      <c r="D74" s="5" t="s">
        <v>581</v>
      </c>
      <c r="E74" s="5" t="s">
        <v>77</v>
      </c>
      <c r="F74" s="11" t="n">
        <v>2787.36</v>
      </c>
      <c r="G74" s="12" t="n">
        <v>69.6303</v>
      </c>
      <c r="H74" s="12" t="n">
        <v>76.053</v>
      </c>
      <c r="I74" s="5" t="s">
        <v>78</v>
      </c>
      <c r="J74" s="8" t="n">
        <v>10.67379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1067.38</v>
      </c>
      <c r="N74" s="9" t="n">
        <v>29751.68</v>
      </c>
      <c r="O74" s="9" t="n">
        <v>1111525.91</v>
      </c>
    </row>
    <row r="75" customFormat="false" ht="15" hidden="false" customHeight="false" outlineLevel="0" collapsed="false">
      <c r="A75" s="6" t="n">
        <v>70</v>
      </c>
      <c r="B75" s="5" t="s">
        <v>74</v>
      </c>
      <c r="C75" s="5" t="s">
        <v>581</v>
      </c>
      <c r="D75" s="5" t="s">
        <v>221</v>
      </c>
      <c r="E75" s="5" t="s">
        <v>77</v>
      </c>
      <c r="F75" s="11" t="n">
        <v>1866.47</v>
      </c>
      <c r="G75" s="12" t="n">
        <v>65.3754</v>
      </c>
      <c r="H75" s="12" t="n">
        <v>73.9556</v>
      </c>
      <c r="I75" s="5" t="s">
        <v>78</v>
      </c>
      <c r="J75" s="8" t="n">
        <v>11.02742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1102.74</v>
      </c>
      <c r="N75" s="9" t="n">
        <v>20582.38</v>
      </c>
      <c r="O75" s="9" t="n">
        <v>1132108.29</v>
      </c>
    </row>
    <row r="76" customFormat="false" ht="15" hidden="false" customHeight="false" outlineLevel="0" collapsed="false">
      <c r="A76" s="6" t="n">
        <v>71</v>
      </c>
      <c r="B76" s="5" t="s">
        <v>74</v>
      </c>
      <c r="C76" s="5" t="s">
        <v>221</v>
      </c>
      <c r="D76" s="5" t="s">
        <v>582</v>
      </c>
      <c r="E76" s="5" t="s">
        <v>77</v>
      </c>
      <c r="F76" s="11" t="n">
        <v>5813.91</v>
      </c>
      <c r="G76" s="12" t="n">
        <v>62.9245</v>
      </c>
      <c r="H76" s="12" t="n">
        <v>72.3904</v>
      </c>
      <c r="I76" s="5" t="s">
        <v>78</v>
      </c>
      <c r="J76" s="8" t="n">
        <v>10.95802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1095.8</v>
      </c>
      <c r="N76" s="9" t="n">
        <v>63708.97</v>
      </c>
      <c r="O76" s="9" t="n">
        <v>1195817.26</v>
      </c>
    </row>
    <row r="77" customFormat="false" ht="15" hidden="false" customHeight="false" outlineLevel="0" collapsed="false">
      <c r="A77" s="6" t="n">
        <v>72</v>
      </c>
      <c r="B77" s="5" t="s">
        <v>74</v>
      </c>
      <c r="C77" s="5" t="s">
        <v>582</v>
      </c>
      <c r="D77" s="5" t="s">
        <v>230</v>
      </c>
      <c r="E77" s="5" t="s">
        <v>81</v>
      </c>
      <c r="F77" s="11" t="n">
        <v>11898.27</v>
      </c>
      <c r="G77" s="12" t="n">
        <v>72.4271</v>
      </c>
      <c r="H77" s="12" t="n">
        <v>74.8498</v>
      </c>
      <c r="J77" s="8" t="n">
        <v>-2.43104</v>
      </c>
      <c r="K77" s="13" t="str">
        <f aca="false">IF(J77&gt;0,"прибыль",IF(J77&lt;0,"убыток","ноль"))</f>
        <v>убыток</v>
      </c>
      <c r="L77" s="13" t="n">
        <f aca="false">IF(C77="",L76,IF(J77&lt;0,L76+1,0))</f>
        <v>1</v>
      </c>
      <c r="M77" s="14" t="n">
        <v>-243.1</v>
      </c>
      <c r="N77" s="9" t="n">
        <v>-28925.13</v>
      </c>
      <c r="O77" s="9" t="n">
        <v>1166892.12</v>
      </c>
    </row>
    <row r="78" customFormat="false" ht="15" hidden="false" customHeight="false" outlineLevel="0" collapsed="false">
      <c r="A78" s="6" t="n">
        <v>73</v>
      </c>
      <c r="B78" s="5" t="s">
        <v>74</v>
      </c>
      <c r="C78" s="5" t="s">
        <v>230</v>
      </c>
      <c r="D78" s="5" t="s">
        <v>583</v>
      </c>
      <c r="E78" s="5" t="s">
        <v>77</v>
      </c>
      <c r="F78" s="11" t="n">
        <v>2466.1</v>
      </c>
      <c r="G78" s="12" t="n">
        <v>75.5844</v>
      </c>
      <c r="H78" s="12" t="n">
        <v>81.4157</v>
      </c>
      <c r="I78" s="5" t="s">
        <v>78</v>
      </c>
      <c r="J78" s="8" t="n">
        <v>5.18941</v>
      </c>
      <c r="K78" s="13" t="str">
        <f aca="false">IF(J78&gt;0,"прибыль",IF(J78&lt;0,"убыток","ноль"))</f>
        <v>прибыль</v>
      </c>
      <c r="L78" s="13" t="n">
        <f aca="false">IF(C78="",L77,IF(J78&lt;0,L77+1,0))</f>
        <v>0</v>
      </c>
      <c r="M78" s="14" t="n">
        <v>518.94</v>
      </c>
      <c r="N78" s="9" t="n">
        <v>12797.6</v>
      </c>
      <c r="O78" s="9" t="n">
        <v>1179689.72</v>
      </c>
    </row>
    <row r="79" customFormat="false" ht="15" hidden="false" customHeight="false" outlineLevel="0" collapsed="false">
      <c r="A79" s="6" t="n">
        <v>74</v>
      </c>
      <c r="B79" s="5" t="s">
        <v>74</v>
      </c>
      <c r="C79" s="5" t="s">
        <v>583</v>
      </c>
      <c r="D79" s="5" t="s">
        <v>584</v>
      </c>
      <c r="E79" s="5" t="s">
        <v>77</v>
      </c>
      <c r="F79" s="11" t="n">
        <v>1942.68</v>
      </c>
      <c r="G79" s="12" t="n">
        <v>76.2189</v>
      </c>
      <c r="H79" s="12" t="n">
        <v>76.6517</v>
      </c>
      <c r="I79" s="5" t="s">
        <v>78</v>
      </c>
      <c r="J79" s="8" t="n">
        <v>-1.82033</v>
      </c>
      <c r="K79" s="13" t="str">
        <f aca="false">IF(J79&gt;0,"прибыль",IF(J79&lt;0,"убыток","ноль"))</f>
        <v>убыток</v>
      </c>
      <c r="L79" s="13" t="n">
        <f aca="false">IF(C79="",L78,IF(J79&lt;0,L78+1,0))</f>
        <v>1</v>
      </c>
      <c r="M79" s="14" t="n">
        <v>-182.03</v>
      </c>
      <c r="N79" s="9" t="n">
        <v>-3536.32</v>
      </c>
      <c r="O79" s="9" t="n">
        <v>1176153.4</v>
      </c>
    </row>
    <row r="80" customFormat="false" ht="15" hidden="false" customHeight="false" outlineLevel="0" collapsed="false">
      <c r="A80" s="6" t="n">
        <v>75</v>
      </c>
      <c r="B80" s="5" t="s">
        <v>74</v>
      </c>
      <c r="C80" s="5" t="s">
        <v>584</v>
      </c>
      <c r="D80" s="5" t="s">
        <v>585</v>
      </c>
      <c r="E80" s="5" t="s">
        <v>77</v>
      </c>
      <c r="F80" s="11" t="n">
        <v>7399.07</v>
      </c>
      <c r="G80" s="12" t="n">
        <v>78.4682</v>
      </c>
      <c r="H80" s="12" t="n">
        <v>72.7683</v>
      </c>
      <c r="I80" s="5" t="s">
        <v>78</v>
      </c>
      <c r="J80" s="8" t="n">
        <v>-2.95323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2</v>
      </c>
      <c r="M80" s="14" t="n">
        <v>-295.32</v>
      </c>
      <c r="N80" s="9" t="n">
        <v>-21851.14</v>
      </c>
      <c r="O80" s="9" t="n">
        <v>1154302.25</v>
      </c>
    </row>
    <row r="81" customFormat="false" ht="15" hidden="false" customHeight="false" outlineLevel="0" collapsed="false">
      <c r="A81" s="6" t="n">
        <v>76</v>
      </c>
      <c r="B81" s="5" t="s">
        <v>74</v>
      </c>
      <c r="C81" s="5" t="s">
        <v>585</v>
      </c>
      <c r="D81" s="5" t="s">
        <v>235</v>
      </c>
      <c r="E81" s="5" t="s">
        <v>81</v>
      </c>
      <c r="F81" s="11" t="n">
        <v>2154.43</v>
      </c>
      <c r="G81" s="12" t="n">
        <v>72.172</v>
      </c>
      <c r="H81" s="12" t="n">
        <v>66.3547</v>
      </c>
      <c r="J81" s="8" t="n">
        <v>5.81145</v>
      </c>
      <c r="K81" s="13" t="str">
        <f aca="false">IF(J81&gt;0,"прибыль",IF(J81&lt;0,"убыток","ноль"))</f>
        <v>прибыль</v>
      </c>
      <c r="L81" s="13" t="n">
        <f aca="false">IF(C81="",L80,IF(J81&lt;0,L80+1,0))</f>
        <v>0</v>
      </c>
      <c r="M81" s="14" t="n">
        <v>581.15</v>
      </c>
      <c r="N81" s="9" t="n">
        <v>12520.36</v>
      </c>
      <c r="O81" s="9" t="n">
        <v>1166822.61</v>
      </c>
    </row>
    <row r="82" customFormat="false" ht="15" hidden="false" customHeight="false" outlineLevel="0" collapsed="false">
      <c r="A82" s="6" t="n">
        <v>77</v>
      </c>
      <c r="B82" s="5" t="s">
        <v>74</v>
      </c>
      <c r="C82" s="5" t="s">
        <v>235</v>
      </c>
      <c r="D82" s="5" t="s">
        <v>236</v>
      </c>
      <c r="E82" s="5" t="s">
        <v>81</v>
      </c>
      <c r="F82" s="11" t="n">
        <v>4216.34</v>
      </c>
      <c r="G82" s="12" t="n">
        <v>66.6964</v>
      </c>
      <c r="H82" s="12" t="n">
        <v>55.0112</v>
      </c>
      <c r="I82" s="5" t="s">
        <v>78</v>
      </c>
      <c r="J82" s="8" t="n">
        <v>15.4773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1547.73</v>
      </c>
      <c r="N82" s="9" t="n">
        <v>65257.52</v>
      </c>
      <c r="O82" s="9" t="n">
        <v>1232080.13</v>
      </c>
    </row>
    <row r="83" customFormat="false" ht="15" hidden="false" customHeight="false" outlineLevel="0" collapsed="false">
      <c r="A83" s="6" t="n">
        <v>78</v>
      </c>
      <c r="B83" s="5" t="s">
        <v>74</v>
      </c>
      <c r="C83" s="5" t="s">
        <v>236</v>
      </c>
      <c r="D83" s="5" t="s">
        <v>586</v>
      </c>
      <c r="E83" s="5" t="s">
        <v>81</v>
      </c>
      <c r="F83" s="11" t="n">
        <v>10109.88</v>
      </c>
      <c r="G83" s="12" t="n">
        <v>62.9028</v>
      </c>
      <c r="H83" s="12" t="n">
        <v>66.542</v>
      </c>
      <c r="I83" s="5" t="s">
        <v>78</v>
      </c>
      <c r="J83" s="8" t="n">
        <v>1.92675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192.67</v>
      </c>
      <c r="N83" s="9" t="n">
        <v>19479.17</v>
      </c>
      <c r="O83" s="9" t="n">
        <v>1251559.3</v>
      </c>
    </row>
    <row r="84" customFormat="false" ht="15" hidden="false" customHeight="false" outlineLevel="0" collapsed="false">
      <c r="A84" s="6" t="n">
        <v>79</v>
      </c>
      <c r="B84" s="5" t="s">
        <v>74</v>
      </c>
      <c r="C84" s="5" t="s">
        <v>586</v>
      </c>
      <c r="D84" s="5" t="s">
        <v>587</v>
      </c>
      <c r="E84" s="5" t="s">
        <v>77</v>
      </c>
      <c r="F84" s="11" t="n">
        <v>0</v>
      </c>
      <c r="G84" s="12" t="n">
        <v>66.542</v>
      </c>
      <c r="H84" s="12" t="n">
        <v>67.0079</v>
      </c>
      <c r="J84" s="8" t="n">
        <v>0.46256</v>
      </c>
      <c r="K84" s="13" t="str">
        <f aca="false">IF(J84&gt;0,"прибыль",IF(J84&lt;0,"убыток","ноль"))</f>
        <v>прибыль</v>
      </c>
      <c r="L84" s="13" t="n">
        <f aca="false">IF(C84="",L83,IF(J84&lt;0,L83+1,0))</f>
        <v>0</v>
      </c>
      <c r="M84" s="14" t="n">
        <v>46.26</v>
      </c>
      <c r="N84" s="9" t="n">
        <v>0</v>
      </c>
      <c r="O84" s="9" t="n">
        <v>1251559.3</v>
      </c>
    </row>
    <row r="85" customFormat="false" ht="15" hidden="false" customHeight="false" outlineLevel="0" collapsed="false">
      <c r="A85" s="6" t="n">
        <v>80</v>
      </c>
      <c r="B85" s="5" t="s">
        <v>74</v>
      </c>
      <c r="C85" s="5" t="s">
        <v>587</v>
      </c>
      <c r="D85" s="5" t="s">
        <v>238</v>
      </c>
      <c r="E85" s="5" t="s">
        <v>77</v>
      </c>
      <c r="F85" s="11" t="n">
        <v>3826.54</v>
      </c>
      <c r="G85" s="12" t="n">
        <v>67.2508</v>
      </c>
      <c r="H85" s="12" t="n">
        <v>74.1151</v>
      </c>
      <c r="I85" s="5" t="s">
        <v>78</v>
      </c>
      <c r="J85" s="8" t="n">
        <v>7.0985</v>
      </c>
      <c r="K85" s="13" t="str">
        <f aca="false">IF(J85&gt;0,"прибыль",IF(J85&lt;0,"убыток","ноль"))</f>
        <v>прибыль</v>
      </c>
      <c r="L85" s="13" t="n">
        <f aca="false">IF(C85="",L84,IF(J85&lt;0,L84+1,0))</f>
        <v>0</v>
      </c>
      <c r="M85" s="14" t="n">
        <v>709.85</v>
      </c>
      <c r="N85" s="9" t="n">
        <v>27162.69</v>
      </c>
      <c r="O85" s="9" t="n">
        <v>1278721.99</v>
      </c>
    </row>
    <row r="86" customFormat="false" ht="15" hidden="false" customHeight="false" outlineLevel="0" collapsed="false">
      <c r="A86" s="6" t="n">
        <v>81</v>
      </c>
      <c r="B86" s="5" t="s">
        <v>74</v>
      </c>
      <c r="C86" s="5" t="s">
        <v>238</v>
      </c>
      <c r="D86" s="5" t="s">
        <v>239</v>
      </c>
      <c r="E86" s="5" t="s">
        <v>77</v>
      </c>
      <c r="F86" s="11" t="n">
        <v>3795.52</v>
      </c>
      <c r="G86" s="12" t="n">
        <v>67.0066</v>
      </c>
      <c r="H86" s="12" t="n">
        <v>71.534</v>
      </c>
      <c r="J86" s="8" t="n">
        <v>4.52378</v>
      </c>
      <c r="K86" s="13" t="str">
        <f aca="false">IF(J86&gt;0,"прибыль",IF(J86&lt;0,"убыток","ноль"))</f>
        <v>прибыль</v>
      </c>
      <c r="L86" s="13" t="n">
        <f aca="false">IF(C86="",L85,IF(J86&lt;0,L85+1,0))</f>
        <v>0</v>
      </c>
      <c r="M86" s="14" t="n">
        <v>452.38</v>
      </c>
      <c r="N86" s="9" t="n">
        <v>17170.06</v>
      </c>
      <c r="O86" s="9" t="n">
        <v>1295892.05</v>
      </c>
    </row>
    <row r="87" customFormat="false" ht="15" hidden="false" customHeight="false" outlineLevel="0" collapsed="false">
      <c r="A87" s="6" t="n">
        <v>82</v>
      </c>
      <c r="B87" s="5" t="s">
        <v>74</v>
      </c>
      <c r="C87" s="5" t="s">
        <v>239</v>
      </c>
      <c r="D87" s="5" t="s">
        <v>240</v>
      </c>
      <c r="E87" s="5" t="s">
        <v>77</v>
      </c>
      <c r="F87" s="11" t="n">
        <v>2473.12</v>
      </c>
      <c r="G87" s="12" t="n">
        <v>67.0066</v>
      </c>
      <c r="H87" s="12" t="n">
        <v>67.8937</v>
      </c>
      <c r="I87" s="5" t="s">
        <v>78</v>
      </c>
      <c r="J87" s="8" t="n">
        <v>3.00982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300.98</v>
      </c>
      <c r="N87" s="9" t="n">
        <v>7443.63</v>
      </c>
      <c r="O87" s="9" t="n">
        <v>1303335.68</v>
      </c>
    </row>
    <row r="88" customFormat="false" ht="15" hidden="false" customHeight="false" outlineLevel="0" collapsed="false">
      <c r="A88" s="6" t="n">
        <v>83</v>
      </c>
      <c r="B88" s="5" t="s">
        <v>74</v>
      </c>
      <c r="C88" s="5" t="s">
        <v>240</v>
      </c>
      <c r="D88" s="5" t="s">
        <v>588</v>
      </c>
      <c r="E88" s="5" t="s">
        <v>77</v>
      </c>
      <c r="F88" s="11" t="n">
        <v>8837.03</v>
      </c>
      <c r="G88" s="12" t="n">
        <v>64.8805</v>
      </c>
      <c r="H88" s="12" t="n">
        <v>62.2885</v>
      </c>
      <c r="I88" s="5" t="s">
        <v>78</v>
      </c>
      <c r="J88" s="8" t="n">
        <v>1.03697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103.7</v>
      </c>
      <c r="N88" s="9" t="n">
        <v>9163.7</v>
      </c>
      <c r="O88" s="9" t="n">
        <v>1312499.38</v>
      </c>
    </row>
    <row r="89" customFormat="false" ht="15" hidden="false" customHeight="false" outlineLevel="0" collapsed="false">
      <c r="A89" s="6" t="n">
        <v>84</v>
      </c>
      <c r="B89" s="5" t="s">
        <v>74</v>
      </c>
      <c r="C89" s="5" t="s">
        <v>588</v>
      </c>
      <c r="D89" s="5" t="s">
        <v>245</v>
      </c>
      <c r="E89" s="5" t="s">
        <v>81</v>
      </c>
      <c r="F89" s="11" t="n">
        <v>9630.51</v>
      </c>
      <c r="G89" s="12" t="n">
        <v>63.1676</v>
      </c>
      <c r="H89" s="12" t="n">
        <v>66.9077</v>
      </c>
      <c r="I89" s="5" t="s">
        <v>78</v>
      </c>
      <c r="J89" s="8" t="n">
        <v>-5.05777</v>
      </c>
      <c r="K89" s="13" t="str">
        <f aca="false">IF(J89&gt;0,"прибыль",IF(J89&lt;0,"убыток","ноль"))</f>
        <v>убыток</v>
      </c>
      <c r="L89" s="13" t="n">
        <f aca="false">IF(C89="",L88,IF(J89&lt;0,L88+1,0))</f>
        <v>1</v>
      </c>
      <c r="M89" s="14" t="n">
        <v>-505.78</v>
      </c>
      <c r="N89" s="9" t="n">
        <v>-48708.95</v>
      </c>
      <c r="O89" s="9" t="n">
        <v>1263790.43</v>
      </c>
    </row>
    <row r="90" customFormat="false" ht="15" hidden="false" customHeight="false" outlineLevel="0" collapsed="false">
      <c r="A90" s="6" t="n">
        <v>85</v>
      </c>
      <c r="B90" s="5" t="s">
        <v>74</v>
      </c>
      <c r="C90" s="5" t="s">
        <v>245</v>
      </c>
      <c r="D90" s="5" t="s">
        <v>589</v>
      </c>
      <c r="E90" s="5" t="s">
        <v>77</v>
      </c>
      <c r="F90" s="11" t="n">
        <v>10571.82</v>
      </c>
      <c r="G90" s="12" t="n">
        <v>66.5792</v>
      </c>
      <c r="H90" s="12" t="n">
        <v>60.3502</v>
      </c>
      <c r="I90" s="5" t="s">
        <v>78</v>
      </c>
      <c r="J90" s="8" t="n">
        <v>-2.10974</v>
      </c>
      <c r="K90" s="13" t="str">
        <f aca="false">IF(J90&gt;0,"прибыль",IF(J90&lt;0,"убыток","ноль"))</f>
        <v>убыток</v>
      </c>
      <c r="L90" s="13" t="n">
        <f aca="false">IF(C90="",L89,IF(J90&lt;0,L89+1,0))</f>
        <v>2</v>
      </c>
      <c r="M90" s="14" t="n">
        <v>-210.97</v>
      </c>
      <c r="N90" s="9" t="n">
        <v>-22303.77</v>
      </c>
      <c r="O90" s="9" t="n">
        <v>1241486.66</v>
      </c>
    </row>
    <row r="91" customFormat="false" ht="15" hidden="false" customHeight="false" outlineLevel="0" collapsed="false">
      <c r="A91" s="6" t="n">
        <v>86</v>
      </c>
      <c r="B91" s="5" t="s">
        <v>74</v>
      </c>
      <c r="C91" s="5" t="s">
        <v>589</v>
      </c>
      <c r="D91" s="5" t="s">
        <v>260</v>
      </c>
      <c r="E91" s="5" t="s">
        <v>81</v>
      </c>
      <c r="F91" s="11" t="n">
        <v>9280.53</v>
      </c>
      <c r="G91" s="12" t="n">
        <v>60.3502</v>
      </c>
      <c r="H91" s="12" t="n">
        <v>60.8396</v>
      </c>
      <c r="I91" s="5" t="s">
        <v>78</v>
      </c>
      <c r="J91" s="8" t="n">
        <v>-2.25404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3</v>
      </c>
      <c r="M91" s="14" t="n">
        <v>-225.4</v>
      </c>
      <c r="N91" s="9" t="n">
        <v>-20918.65</v>
      </c>
      <c r="O91" s="9" t="n">
        <v>1220568.01</v>
      </c>
    </row>
    <row r="92" customFormat="false" ht="15" hidden="false" customHeight="false" outlineLevel="0" collapsed="false">
      <c r="A92" s="6" t="n">
        <v>87</v>
      </c>
      <c r="B92" s="5" t="s">
        <v>74</v>
      </c>
      <c r="C92" s="5" t="s">
        <v>260</v>
      </c>
      <c r="D92" s="5" t="s">
        <v>261</v>
      </c>
      <c r="E92" s="5" t="s">
        <v>77</v>
      </c>
      <c r="F92" s="11" t="n">
        <v>4717.78</v>
      </c>
      <c r="G92" s="12" t="n">
        <v>60.8396</v>
      </c>
      <c r="H92" s="12" t="n">
        <v>67.8224</v>
      </c>
      <c r="J92" s="8" t="n">
        <v>6.97938</v>
      </c>
      <c r="K92" s="13" t="str">
        <f aca="false">IF(J92&gt;0,"прибыль",IF(J92&lt;0,"убыток","ноль"))</f>
        <v>прибыль</v>
      </c>
      <c r="L92" s="13" t="n">
        <f aca="false">IF(C92="",L91,IF(J92&lt;0,L91+1,0))</f>
        <v>0</v>
      </c>
      <c r="M92" s="14" t="n">
        <v>697.94</v>
      </c>
      <c r="N92" s="9" t="n">
        <v>32927.2</v>
      </c>
      <c r="O92" s="9" t="n">
        <v>1253495.21</v>
      </c>
    </row>
    <row r="93" customFormat="false" ht="15" hidden="false" customHeight="false" outlineLevel="0" collapsed="false">
      <c r="A93" s="6" t="n">
        <v>88</v>
      </c>
      <c r="B93" s="5" t="s">
        <v>74</v>
      </c>
      <c r="C93" s="5" t="s">
        <v>261</v>
      </c>
      <c r="D93" s="5" t="s">
        <v>265</v>
      </c>
      <c r="E93" s="5" t="s">
        <v>77</v>
      </c>
      <c r="F93" s="11" t="n">
        <v>2791.79</v>
      </c>
      <c r="G93" s="12" t="n">
        <v>61.0607</v>
      </c>
      <c r="H93" s="12" t="n">
        <v>62.389</v>
      </c>
      <c r="I93" s="5" t="s">
        <v>78</v>
      </c>
      <c r="J93" s="8" t="n">
        <v>1.33741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133.74</v>
      </c>
      <c r="N93" s="9" t="n">
        <v>3733.76</v>
      </c>
      <c r="O93" s="9" t="n">
        <v>1257228.98</v>
      </c>
    </row>
    <row r="94" customFormat="false" ht="15" hidden="false" customHeight="false" outlineLevel="0" collapsed="false">
      <c r="A94" s="6" t="n">
        <v>89</v>
      </c>
      <c r="B94" s="5" t="s">
        <v>74</v>
      </c>
      <c r="C94" s="5" t="s">
        <v>265</v>
      </c>
      <c r="D94" s="5" t="s">
        <v>266</v>
      </c>
      <c r="E94" s="5" t="s">
        <v>77</v>
      </c>
      <c r="F94" s="11" t="n">
        <v>4118.55</v>
      </c>
      <c r="G94" s="12" t="n">
        <v>63.4087</v>
      </c>
      <c r="H94" s="12" t="n">
        <v>66.0107</v>
      </c>
      <c r="I94" s="5" t="s">
        <v>78</v>
      </c>
      <c r="J94" s="8" t="n">
        <v>5.63195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563.19</v>
      </c>
      <c r="N94" s="9" t="n">
        <v>23195.43</v>
      </c>
      <c r="O94" s="9" t="n">
        <v>1280424.41</v>
      </c>
    </row>
    <row r="95" customFormat="false" ht="15" hidden="false" customHeight="false" outlineLevel="0" collapsed="false">
      <c r="A95" s="6" t="n">
        <v>90</v>
      </c>
      <c r="B95" s="5" t="s">
        <v>74</v>
      </c>
      <c r="C95" s="5" t="s">
        <v>266</v>
      </c>
      <c r="D95" s="5" t="s">
        <v>590</v>
      </c>
      <c r="E95" s="5" t="s">
        <v>77</v>
      </c>
      <c r="F95" s="11" t="n">
        <v>12662.54</v>
      </c>
      <c r="G95" s="12" t="n">
        <v>60.372</v>
      </c>
      <c r="H95" s="12" t="n">
        <v>55.547</v>
      </c>
      <c r="I95" s="5" t="s">
        <v>78</v>
      </c>
      <c r="J95" s="8" t="n">
        <v>-0.74279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1</v>
      </c>
      <c r="M95" s="14" t="n">
        <v>-74.28</v>
      </c>
      <c r="N95" s="9" t="n">
        <v>-9405.58</v>
      </c>
      <c r="O95" s="9" t="n">
        <v>1271018.82</v>
      </c>
    </row>
    <row r="96" customFormat="false" ht="15" hidden="false" customHeight="false" outlineLevel="0" collapsed="false">
      <c r="A96" s="6" t="n">
        <v>91</v>
      </c>
      <c r="B96" s="5" t="s">
        <v>74</v>
      </c>
      <c r="C96" s="5" t="s">
        <v>590</v>
      </c>
      <c r="D96" s="5" t="s">
        <v>268</v>
      </c>
      <c r="E96" s="5" t="s">
        <v>81</v>
      </c>
      <c r="F96" s="11" t="n">
        <v>3096.24</v>
      </c>
      <c r="G96" s="12" t="n">
        <v>55.547</v>
      </c>
      <c r="H96" s="12" t="n">
        <v>56.1846</v>
      </c>
      <c r="J96" s="8" t="n">
        <v>-0.64038</v>
      </c>
      <c r="K96" s="13" t="str">
        <f aca="false">IF(J96&gt;0,"прибыль",IF(J96&lt;0,"убыток","ноль"))</f>
        <v>убыток</v>
      </c>
      <c r="L96" s="13" t="n">
        <f aca="false">IF(C96="",L95,IF(J96&lt;0,L95+1,0))</f>
        <v>2</v>
      </c>
      <c r="M96" s="14" t="n">
        <v>-64.04</v>
      </c>
      <c r="N96" s="9" t="n">
        <v>-1982.77</v>
      </c>
      <c r="O96" s="9" t="n">
        <v>1269036.05</v>
      </c>
    </row>
    <row r="97" customFormat="false" ht="15" hidden="false" customHeight="false" outlineLevel="0" collapsed="false">
      <c r="A97" s="6" t="n">
        <v>92</v>
      </c>
      <c r="B97" s="5" t="s">
        <v>74</v>
      </c>
      <c r="C97" s="5" t="s">
        <v>268</v>
      </c>
      <c r="D97" s="5" t="s">
        <v>269</v>
      </c>
      <c r="E97" s="5" t="s">
        <v>81</v>
      </c>
      <c r="F97" s="11" t="n">
        <v>2443.1</v>
      </c>
      <c r="G97" s="12" t="n">
        <v>55.547</v>
      </c>
      <c r="H97" s="12" t="n">
        <v>45.2808</v>
      </c>
      <c r="I97" s="5" t="s">
        <v>78</v>
      </c>
      <c r="J97" s="8" t="n">
        <v>12.54215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1254.21</v>
      </c>
      <c r="N97" s="9" t="n">
        <v>30641.71</v>
      </c>
      <c r="O97" s="9" t="n">
        <v>1299677.76</v>
      </c>
    </row>
    <row r="98" customFormat="false" ht="15" hidden="false" customHeight="false" outlineLevel="0" collapsed="false">
      <c r="A98" s="6" t="n">
        <v>93</v>
      </c>
      <c r="B98" s="5" t="s">
        <v>74</v>
      </c>
      <c r="C98" s="5" t="s">
        <v>269</v>
      </c>
      <c r="D98" s="5" t="s">
        <v>270</v>
      </c>
      <c r="E98" s="5" t="s">
        <v>81</v>
      </c>
      <c r="F98" s="11" t="n">
        <v>1502.08</v>
      </c>
      <c r="G98" s="12" t="n">
        <v>57.8253</v>
      </c>
      <c r="H98" s="12" t="n">
        <v>37.8975</v>
      </c>
      <c r="J98" s="8" t="n">
        <v>19.92591</v>
      </c>
      <c r="K98" s="13" t="str">
        <f aca="false">IF(J98&gt;0,"прибыль",IF(J98&lt;0,"убыток","ноль"))</f>
        <v>прибыль</v>
      </c>
      <c r="L98" s="13" t="n">
        <f aca="false">IF(C98="",L97,IF(J98&lt;0,L97+1,0))</f>
        <v>0</v>
      </c>
      <c r="M98" s="14" t="n">
        <v>1992.59</v>
      </c>
      <c r="N98" s="9" t="n">
        <v>29930.35</v>
      </c>
      <c r="O98" s="9" t="n">
        <v>1329608.12</v>
      </c>
    </row>
    <row r="99" customFormat="false" ht="15" hidden="false" customHeight="false" outlineLevel="0" collapsed="false">
      <c r="A99" s="6" t="n">
        <v>94</v>
      </c>
      <c r="B99" s="5" t="s">
        <v>74</v>
      </c>
      <c r="C99" s="5" t="s">
        <v>270</v>
      </c>
      <c r="D99" s="5" t="s">
        <v>271</v>
      </c>
      <c r="E99" s="5" t="s">
        <v>81</v>
      </c>
      <c r="F99" s="11" t="n">
        <v>1680.47</v>
      </c>
      <c r="G99" s="12" t="n">
        <v>51.0816</v>
      </c>
      <c r="H99" s="12" t="n">
        <v>29.8391</v>
      </c>
      <c r="I99" s="5" t="s">
        <v>78</v>
      </c>
      <c r="J99" s="8" t="n">
        <v>28.08845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2808.84</v>
      </c>
      <c r="N99" s="9" t="n">
        <v>47201.81</v>
      </c>
      <c r="O99" s="9" t="n">
        <v>1376809.93</v>
      </c>
    </row>
    <row r="100" customFormat="false" ht="15" hidden="false" customHeight="false" outlineLevel="0" collapsed="false">
      <c r="A100" s="6" t="n">
        <v>95</v>
      </c>
      <c r="B100" s="5" t="s">
        <v>74</v>
      </c>
      <c r="C100" s="5" t="s">
        <v>271</v>
      </c>
      <c r="D100" s="5" t="s">
        <v>272</v>
      </c>
      <c r="E100" s="5" t="s">
        <v>81</v>
      </c>
      <c r="F100" s="11" t="n">
        <v>1289.19</v>
      </c>
      <c r="G100" s="12" t="n">
        <v>57.9299</v>
      </c>
      <c r="H100" s="12" t="n">
        <v>35.2874</v>
      </c>
      <c r="J100" s="8" t="n">
        <v>22.64072</v>
      </c>
      <c r="K100" s="13" t="str">
        <f aca="false">IF(J100&gt;0,"прибыль",IF(J100&lt;0,"убыток","ноль"))</f>
        <v>прибыль</v>
      </c>
      <c r="L100" s="13" t="n">
        <f aca="false">IF(C100="",L99,IF(J100&lt;0,L99+1,0))</f>
        <v>0</v>
      </c>
      <c r="M100" s="14" t="n">
        <v>2264.07</v>
      </c>
      <c r="N100" s="9" t="n">
        <v>29188.18</v>
      </c>
      <c r="O100" s="9" t="n">
        <v>1405998.11</v>
      </c>
    </row>
    <row r="101" customFormat="false" ht="15" hidden="false" customHeight="false" outlineLevel="0" collapsed="false">
      <c r="A101" s="6" t="n">
        <v>96</v>
      </c>
      <c r="B101" s="5" t="s">
        <v>74</v>
      </c>
      <c r="C101" s="5" t="s">
        <v>272</v>
      </c>
      <c r="D101" s="5" t="s">
        <v>273</v>
      </c>
      <c r="E101" s="5" t="s">
        <v>81</v>
      </c>
      <c r="F101" s="11" t="n">
        <v>1101.06</v>
      </c>
      <c r="G101" s="12" t="n">
        <v>47.3826</v>
      </c>
      <c r="H101" s="12" t="n">
        <v>35.61</v>
      </c>
      <c r="I101" s="5" t="s">
        <v>78</v>
      </c>
      <c r="J101" s="8" t="n">
        <v>17.03538</v>
      </c>
      <c r="K101" s="13" t="str">
        <f aca="false">IF(J101&gt;0,"прибыль",IF(J101&lt;0,"убыток","ноль"))</f>
        <v>прибыль</v>
      </c>
      <c r="L101" s="13" t="n">
        <f aca="false">IF(C101="",L100,IF(J101&lt;0,L100+1,0))</f>
        <v>0</v>
      </c>
      <c r="M101" s="14" t="n">
        <v>1703.54</v>
      </c>
      <c r="N101" s="9" t="n">
        <v>18757.05</v>
      </c>
      <c r="O101" s="9" t="n">
        <v>1424755.16</v>
      </c>
    </row>
    <row r="102" customFormat="false" ht="15" hidden="false" customHeight="false" outlineLevel="0" collapsed="false">
      <c r="A102" s="6" t="n">
        <v>97</v>
      </c>
      <c r="B102" s="5" t="s">
        <v>74</v>
      </c>
      <c r="C102" s="5" t="s">
        <v>273</v>
      </c>
      <c r="D102" s="5" t="s">
        <v>275</v>
      </c>
      <c r="E102" s="5" t="s">
        <v>81</v>
      </c>
      <c r="F102" s="11" t="n">
        <v>5235.91</v>
      </c>
      <c r="G102" s="12" t="n">
        <v>44.9367</v>
      </c>
      <c r="H102" s="12" t="n">
        <v>39.8134</v>
      </c>
      <c r="I102" s="5" t="s">
        <v>78</v>
      </c>
      <c r="J102" s="8" t="n">
        <v>9.32971</v>
      </c>
      <c r="K102" s="13" t="str">
        <f aca="false">IF(J102&gt;0,"прибыль",IF(J102&lt;0,"убыток","ноль"))</f>
        <v>прибыль</v>
      </c>
      <c r="L102" s="13" t="n">
        <f aca="false">IF(C102="",L101,IF(J102&lt;0,L101+1,0))</f>
        <v>0</v>
      </c>
      <c r="M102" s="14" t="n">
        <v>932.97</v>
      </c>
      <c r="N102" s="9" t="n">
        <v>48849.51</v>
      </c>
      <c r="O102" s="9" t="n">
        <v>1473604.68</v>
      </c>
    </row>
    <row r="103" customFormat="false" ht="15" hidden="false" customHeight="false" outlineLevel="0" collapsed="false">
      <c r="A103" s="6" t="n">
        <v>98</v>
      </c>
      <c r="B103" s="5" t="s">
        <v>74</v>
      </c>
      <c r="C103" s="5" t="s">
        <v>275</v>
      </c>
      <c r="D103" s="5" t="s">
        <v>280</v>
      </c>
      <c r="E103" s="5" t="s">
        <v>77</v>
      </c>
      <c r="F103" s="11" t="n">
        <v>4687.28</v>
      </c>
      <c r="G103" s="12" t="n">
        <v>41.9987</v>
      </c>
      <c r="H103" s="12" t="n">
        <v>42.2961</v>
      </c>
      <c r="I103" s="5" t="s">
        <v>78</v>
      </c>
      <c r="J103" s="8" t="n">
        <v>-1.39271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1</v>
      </c>
      <c r="M103" s="14" t="n">
        <v>-139.27</v>
      </c>
      <c r="N103" s="9" t="n">
        <v>-6528.02</v>
      </c>
      <c r="O103" s="9" t="n">
        <v>1467076.66</v>
      </c>
    </row>
    <row r="104" customFormat="false" ht="15" hidden="false" customHeight="false" outlineLevel="0" collapsed="false">
      <c r="A104" s="6" t="n">
        <v>99</v>
      </c>
      <c r="B104" s="5" t="s">
        <v>74</v>
      </c>
      <c r="C104" s="5" t="s">
        <v>280</v>
      </c>
      <c r="D104" s="5" t="s">
        <v>436</v>
      </c>
      <c r="E104" s="5" t="s">
        <v>77</v>
      </c>
      <c r="F104" s="11" t="n">
        <v>14927.61</v>
      </c>
      <c r="G104" s="12" t="n">
        <v>43.6797</v>
      </c>
      <c r="H104" s="12" t="n">
        <v>39.7614</v>
      </c>
      <c r="J104" s="8" t="n">
        <v>-3.92199</v>
      </c>
      <c r="K104" s="13" t="str">
        <f aca="false">IF(J104&gt;0,"прибыль",IF(J104&lt;0,"убыток","ноль"))</f>
        <v>убыток</v>
      </c>
      <c r="L104" s="13" t="n">
        <f aca="false">IF(C104="",L103,IF(J104&lt;0,L103+1,0))</f>
        <v>2</v>
      </c>
      <c r="M104" s="14" t="n">
        <v>-392.2</v>
      </c>
      <c r="N104" s="9" t="n">
        <v>-58545.94</v>
      </c>
      <c r="O104" s="9" t="n">
        <v>1408530.71</v>
      </c>
    </row>
    <row r="105" customFormat="false" ht="15" hidden="false" customHeight="false" outlineLevel="0" collapsed="false">
      <c r="A105" s="6" t="n">
        <v>100</v>
      </c>
      <c r="B105" s="5" t="s">
        <v>74</v>
      </c>
      <c r="C105" s="5" t="s">
        <v>436</v>
      </c>
      <c r="D105" s="5" t="s">
        <v>591</v>
      </c>
      <c r="E105" s="5" t="s">
        <v>81</v>
      </c>
      <c r="F105" s="11" t="n">
        <v>2835.71</v>
      </c>
      <c r="G105" s="12" t="n">
        <v>39.7614</v>
      </c>
      <c r="H105" s="12" t="n">
        <v>42.3899</v>
      </c>
      <c r="J105" s="8" t="n">
        <v>-2.63062</v>
      </c>
      <c r="K105" s="13" t="str">
        <f aca="false">IF(J105&gt;0,"прибыль",IF(J105&lt;0,"убыток","ноль"))</f>
        <v>убыток</v>
      </c>
      <c r="L105" s="13" t="n">
        <f aca="false">IF(C105="",L104,IF(J105&lt;0,L104+1,0))</f>
        <v>3</v>
      </c>
      <c r="M105" s="14" t="n">
        <v>-263.06</v>
      </c>
      <c r="N105" s="9" t="n">
        <v>-7459.65</v>
      </c>
      <c r="O105" s="9" t="n">
        <v>1401071.06</v>
      </c>
    </row>
    <row r="106" customFormat="false" ht="15" hidden="false" customHeight="false" outlineLevel="0" collapsed="false">
      <c r="A106" s="6" t="n">
        <v>101</v>
      </c>
      <c r="B106" s="5" t="s">
        <v>74</v>
      </c>
      <c r="C106" s="5" t="s">
        <v>591</v>
      </c>
      <c r="D106" s="5" t="s">
        <v>283</v>
      </c>
      <c r="E106" s="5" t="s">
        <v>81</v>
      </c>
      <c r="F106" s="11" t="n">
        <v>3088.81</v>
      </c>
      <c r="G106" s="12" t="n">
        <v>39.3237</v>
      </c>
      <c r="H106" s="12" t="n">
        <v>42.3565</v>
      </c>
      <c r="I106" s="5" t="s">
        <v>78</v>
      </c>
      <c r="J106" s="8" t="n">
        <v>-1.23483</v>
      </c>
      <c r="K106" s="13" t="str">
        <f aca="false">IF(J106&gt;0,"прибыль",IF(J106&lt;0,"убыток","ноль"))</f>
        <v>убыток</v>
      </c>
      <c r="L106" s="13" t="n">
        <f aca="false">IF(C106="",L105,IF(J106&lt;0,L105+1,0))</f>
        <v>4</v>
      </c>
      <c r="M106" s="14" t="n">
        <v>-123.48</v>
      </c>
      <c r="N106" s="9" t="n">
        <v>-3814.16</v>
      </c>
      <c r="O106" s="9" t="n">
        <v>1397256.9</v>
      </c>
    </row>
    <row r="107" customFormat="false" ht="15" hidden="false" customHeight="false" outlineLevel="0" collapsed="false">
      <c r="A107" s="6" t="n">
        <v>102</v>
      </c>
      <c r="B107" s="5" t="s">
        <v>74</v>
      </c>
      <c r="C107" s="5" t="s">
        <v>283</v>
      </c>
      <c r="D107" s="5" t="s">
        <v>592</v>
      </c>
      <c r="E107" s="5" t="s">
        <v>81</v>
      </c>
      <c r="F107" s="11" t="n">
        <v>8661.03</v>
      </c>
      <c r="G107" s="12" t="n">
        <v>41.1252</v>
      </c>
      <c r="H107" s="12" t="n">
        <v>48.868</v>
      </c>
      <c r="J107" s="8" t="n">
        <v>-7.74771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5</v>
      </c>
      <c r="M107" s="14" t="n">
        <v>-774.77</v>
      </c>
      <c r="N107" s="9" t="n">
        <v>-67103.13</v>
      </c>
      <c r="O107" s="9" t="n">
        <v>1330153.78</v>
      </c>
    </row>
    <row r="108" customFormat="false" ht="15" hidden="false" customHeight="false" outlineLevel="0" collapsed="false">
      <c r="A108" s="6" t="n">
        <v>103</v>
      </c>
      <c r="B108" s="5" t="s">
        <v>74</v>
      </c>
      <c r="C108" s="5" t="s">
        <v>592</v>
      </c>
      <c r="D108" s="5" t="s">
        <v>287</v>
      </c>
      <c r="E108" s="5" t="s">
        <v>77</v>
      </c>
      <c r="F108" s="11" t="n">
        <v>4698.91</v>
      </c>
      <c r="G108" s="12" t="n">
        <v>49.4863</v>
      </c>
      <c r="H108" s="12" t="n">
        <v>53.5854</v>
      </c>
      <c r="I108" s="5" t="s">
        <v>78</v>
      </c>
      <c r="J108" s="8" t="n">
        <v>4.18881</v>
      </c>
      <c r="K108" s="13" t="str">
        <f aca="false">IF(J108&gt;0,"прибыль",IF(J108&lt;0,"убыток","ноль"))</f>
        <v>прибыль</v>
      </c>
      <c r="L108" s="13" t="n">
        <f aca="false">IF(C108="",L107,IF(J108&lt;0,L107+1,0))</f>
        <v>0</v>
      </c>
      <c r="M108" s="14" t="n">
        <v>418.88</v>
      </c>
      <c r="N108" s="9" t="n">
        <v>19682.84</v>
      </c>
      <c r="O108" s="9" t="n">
        <v>1349836.62</v>
      </c>
    </row>
    <row r="109" customFormat="false" ht="15" hidden="false" customHeight="false" outlineLevel="0" collapsed="false">
      <c r="A109" s="6" t="n">
        <v>104</v>
      </c>
      <c r="B109" s="5" t="s">
        <v>288</v>
      </c>
      <c r="C109" s="5" t="s">
        <v>287</v>
      </c>
      <c r="D109" s="5" t="s">
        <v>289</v>
      </c>
      <c r="E109" s="5" t="s">
        <v>77</v>
      </c>
      <c r="F109" s="11" t="n">
        <v>2600.1</v>
      </c>
      <c r="G109" s="12" t="n">
        <v>51.5856</v>
      </c>
      <c r="H109" s="12" t="n">
        <v>67.022</v>
      </c>
      <c r="I109" s="5" t="s">
        <v>78</v>
      </c>
      <c r="J109" s="8" t="n">
        <v>14.93134</v>
      </c>
      <c r="K109" s="13" t="str">
        <f aca="false">IF(J109&gt;0,"прибыль",IF(J109&lt;0,"убыток","ноль"))</f>
        <v>прибыль</v>
      </c>
      <c r="L109" s="13" t="n">
        <f aca="false">IF(C109="",L108,IF(J109&lt;0,L108+1,0))</f>
        <v>0</v>
      </c>
      <c r="M109" s="14" t="n">
        <v>1493.13</v>
      </c>
      <c r="N109" s="9" t="n">
        <v>38822.94</v>
      </c>
      <c r="O109" s="9" t="n">
        <v>1388659.56</v>
      </c>
    </row>
    <row r="110" customFormat="false" ht="15" hidden="false" customHeight="false" outlineLevel="0" collapsed="false">
      <c r="A110" s="6" t="n">
        <v>105</v>
      </c>
      <c r="B110" s="5" t="s">
        <v>288</v>
      </c>
      <c r="C110" s="5" t="s">
        <v>289</v>
      </c>
      <c r="D110" s="5" t="s">
        <v>290</v>
      </c>
      <c r="E110" s="5" t="s">
        <v>77</v>
      </c>
      <c r="F110" s="11" t="n">
        <v>2582.33</v>
      </c>
      <c r="G110" s="12" t="n">
        <v>52.084</v>
      </c>
      <c r="H110" s="12" t="n">
        <v>67.1081</v>
      </c>
      <c r="I110" s="5" t="s">
        <v>78</v>
      </c>
      <c r="J110" s="8" t="n">
        <v>17.10535</v>
      </c>
      <c r="K110" s="13" t="str">
        <f aca="false">IF(J110&gt;0,"прибыль",IF(J110&lt;0,"убыток","ноль"))</f>
        <v>прибыль</v>
      </c>
      <c r="L110" s="13" t="n">
        <f aca="false">IF(C110="",L109,IF(J110&lt;0,L109+1,0))</f>
        <v>0</v>
      </c>
      <c r="M110" s="14" t="n">
        <v>1710.54</v>
      </c>
      <c r="N110" s="9" t="n">
        <v>44171.7</v>
      </c>
      <c r="O110" s="9" t="n">
        <v>1432831.26</v>
      </c>
    </row>
    <row r="111" customFormat="false" ht="15" hidden="false" customHeight="false" outlineLevel="0" collapsed="false">
      <c r="A111" s="6" t="n">
        <v>106</v>
      </c>
      <c r="B111" s="5" t="s">
        <v>288</v>
      </c>
      <c r="C111" s="5" t="s">
        <v>290</v>
      </c>
      <c r="D111" s="5" t="s">
        <v>291</v>
      </c>
      <c r="E111" s="5" t="s">
        <v>77</v>
      </c>
      <c r="F111" s="11" t="n">
        <v>2266.31</v>
      </c>
      <c r="G111" s="12" t="n">
        <v>49.9994</v>
      </c>
      <c r="H111" s="12" t="n">
        <v>62.7629</v>
      </c>
      <c r="J111" s="8" t="n">
        <v>12.76034</v>
      </c>
      <c r="K111" s="13" t="str">
        <f aca="false">IF(J111&gt;0,"прибыль",IF(J111&lt;0,"убыток","ноль"))</f>
        <v>прибыль</v>
      </c>
      <c r="L111" s="13" t="n">
        <f aca="false">IF(C111="",L110,IF(J111&lt;0,L110+1,0))</f>
        <v>0</v>
      </c>
      <c r="M111" s="14" t="n">
        <v>1276.03</v>
      </c>
      <c r="N111" s="9" t="n">
        <v>28918.9</v>
      </c>
      <c r="O111" s="9" t="n">
        <v>1461750.16</v>
      </c>
    </row>
    <row r="112" customFormat="false" ht="15" hidden="false" customHeight="false" outlineLevel="0" collapsed="false">
      <c r="A112" s="6" t="n">
        <v>107</v>
      </c>
      <c r="B112" s="5" t="s">
        <v>288</v>
      </c>
      <c r="C112" s="5" t="s">
        <v>291</v>
      </c>
      <c r="D112" s="5" t="s">
        <v>292</v>
      </c>
      <c r="E112" s="5" t="s">
        <v>77</v>
      </c>
      <c r="F112" s="11" t="n">
        <v>1239.21</v>
      </c>
      <c r="G112" s="12" t="n">
        <v>49.9994</v>
      </c>
      <c r="H112" s="12" t="n">
        <v>64.2656</v>
      </c>
      <c r="J112" s="8" t="n">
        <v>14.26295</v>
      </c>
      <c r="K112" s="13" t="str">
        <f aca="false">IF(J112&gt;0,"прибыль",IF(J112&lt;0,"убыток","ноль"))</f>
        <v>прибыль</v>
      </c>
      <c r="L112" s="13" t="n">
        <f aca="false">IF(C112="",L111,IF(J112&lt;0,L111+1,0))</f>
        <v>0</v>
      </c>
      <c r="M112" s="14" t="n">
        <v>1426.29</v>
      </c>
      <c r="N112" s="9" t="n">
        <v>17674.85</v>
      </c>
      <c r="O112" s="9" t="n">
        <v>1479425.01</v>
      </c>
    </row>
    <row r="113" customFormat="false" ht="15" hidden="false" customHeight="false" outlineLevel="0" collapsed="false">
      <c r="A113" s="6" t="n">
        <v>108</v>
      </c>
      <c r="B113" s="5" t="s">
        <v>288</v>
      </c>
      <c r="C113" s="5" t="s">
        <v>292</v>
      </c>
      <c r="D113" s="5" t="s">
        <v>593</v>
      </c>
      <c r="E113" s="5" t="s">
        <v>77</v>
      </c>
      <c r="F113" s="11" t="n">
        <v>2296.84</v>
      </c>
      <c r="G113" s="12" t="n">
        <v>58.5888</v>
      </c>
      <c r="H113" s="12" t="n">
        <v>66.655</v>
      </c>
      <c r="I113" s="5" t="s">
        <v>78</v>
      </c>
      <c r="J113" s="8" t="n">
        <v>7.55531</v>
      </c>
      <c r="K113" s="13" t="str">
        <f aca="false">IF(J113&gt;0,"прибыль",IF(J113&lt;0,"убыток","ноль"))</f>
        <v>прибыль</v>
      </c>
      <c r="L113" s="13" t="n">
        <f aca="false">IF(C113="",L112,IF(J113&lt;0,L112+1,0))</f>
        <v>0</v>
      </c>
      <c r="M113" s="14" t="n">
        <v>755.53</v>
      </c>
      <c r="N113" s="9" t="n">
        <v>17353.37</v>
      </c>
      <c r="O113" s="9" t="n">
        <v>1496778.38</v>
      </c>
    </row>
    <row r="114" customFormat="false" ht="15" hidden="false" customHeight="false" outlineLevel="0" collapsed="false">
      <c r="A114" s="6" t="n">
        <v>109</v>
      </c>
      <c r="B114" s="5" t="s">
        <v>288</v>
      </c>
      <c r="C114" s="5" t="s">
        <v>593</v>
      </c>
      <c r="D114" s="5" t="s">
        <v>297</v>
      </c>
      <c r="E114" s="5" t="s">
        <v>77</v>
      </c>
      <c r="F114" s="11" t="n">
        <v>5405.83</v>
      </c>
      <c r="G114" s="12" t="n">
        <v>67.2417</v>
      </c>
      <c r="H114" s="12" t="n">
        <v>74.7837</v>
      </c>
      <c r="I114" s="5" t="s">
        <v>78</v>
      </c>
      <c r="J114" s="8" t="n">
        <v>7.26536</v>
      </c>
      <c r="K114" s="13" t="str">
        <f aca="false">IF(J114&gt;0,"прибыль",IF(J114&lt;0,"убыток","ноль"))</f>
        <v>прибыль</v>
      </c>
      <c r="L114" s="13" t="n">
        <f aca="false">IF(C114="",L113,IF(J114&lt;0,L113+1,0))</f>
        <v>0</v>
      </c>
      <c r="M114" s="14" t="n">
        <v>726.54</v>
      </c>
      <c r="N114" s="9" t="n">
        <v>39275.32</v>
      </c>
      <c r="O114" s="9" t="n">
        <v>1536053.7</v>
      </c>
    </row>
    <row r="115" customFormat="false" ht="15" hidden="false" customHeight="false" outlineLevel="0" collapsed="false">
      <c r="A115" s="6" t="n">
        <v>110</v>
      </c>
      <c r="B115" s="5" t="s">
        <v>288</v>
      </c>
      <c r="C115" s="5" t="s">
        <v>297</v>
      </c>
      <c r="D115" s="5" t="s">
        <v>298</v>
      </c>
      <c r="E115" s="5" t="s">
        <v>77</v>
      </c>
      <c r="F115" s="11" t="n">
        <v>3446.9</v>
      </c>
      <c r="G115" s="12" t="n">
        <v>67.5085</v>
      </c>
      <c r="H115" s="12" t="n">
        <v>68.6246</v>
      </c>
      <c r="J115" s="8" t="n">
        <v>1.11264</v>
      </c>
      <c r="K115" s="13" t="str">
        <f aca="false">IF(J115&gt;0,"прибыль",IF(J115&lt;0,"убыток","ноль"))</f>
        <v>прибыль</v>
      </c>
      <c r="L115" s="13" t="n">
        <f aca="false">IF(C115="",L114,IF(J115&lt;0,L114+1,0))</f>
        <v>0</v>
      </c>
      <c r="M115" s="14" t="n">
        <v>111.26</v>
      </c>
      <c r="N115" s="9" t="n">
        <v>3835.15</v>
      </c>
      <c r="O115" s="9" t="n">
        <v>1539888.86</v>
      </c>
    </row>
    <row r="116" customFormat="false" ht="15" hidden="false" customHeight="false" outlineLevel="0" collapsed="false">
      <c r="A116" s="6" t="n">
        <v>111</v>
      </c>
      <c r="B116" s="5" t="s">
        <v>288</v>
      </c>
      <c r="C116" s="5" t="s">
        <v>298</v>
      </c>
      <c r="D116" s="5" t="s">
        <v>594</v>
      </c>
      <c r="E116" s="5" t="s">
        <v>77</v>
      </c>
      <c r="F116" s="11" t="n">
        <v>1616.76</v>
      </c>
      <c r="G116" s="12" t="n">
        <v>67.5085</v>
      </c>
      <c r="H116" s="12" t="n">
        <v>73.5143</v>
      </c>
      <c r="J116" s="8" t="n">
        <v>6.00207</v>
      </c>
      <c r="K116" s="13" t="str">
        <f aca="false">IF(J116&gt;0,"прибыль",IF(J116&lt;0,"убыток","ноль"))</f>
        <v>прибыль</v>
      </c>
      <c r="L116" s="13" t="n">
        <f aca="false">IF(C116="",L115,IF(J116&lt;0,L115+1,0))</f>
        <v>0</v>
      </c>
      <c r="M116" s="14" t="n">
        <v>600.21</v>
      </c>
      <c r="N116" s="9" t="n">
        <v>9703.94</v>
      </c>
      <c r="O116" s="9" t="n">
        <v>1549592.8</v>
      </c>
    </row>
    <row r="117" customFormat="false" ht="15" hidden="false" customHeight="false" outlineLevel="0" collapsed="false">
      <c r="A117" s="6" t="n">
        <v>112</v>
      </c>
      <c r="B117" s="5" t="s">
        <v>288</v>
      </c>
      <c r="C117" s="5" t="s">
        <v>594</v>
      </c>
      <c r="D117" s="5" t="s">
        <v>595</v>
      </c>
      <c r="E117" s="5" t="s">
        <v>77</v>
      </c>
      <c r="F117" s="11" t="n">
        <v>9573.04</v>
      </c>
      <c r="G117" s="12" t="n">
        <v>69.1607</v>
      </c>
      <c r="H117" s="12" t="n">
        <v>65.0842</v>
      </c>
      <c r="I117" s="5" t="s">
        <v>78</v>
      </c>
      <c r="J117" s="8" t="n">
        <v>-1.16583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1</v>
      </c>
      <c r="M117" s="14" t="n">
        <v>-116.58</v>
      </c>
      <c r="N117" s="9" t="n">
        <v>-11160.51</v>
      </c>
      <c r="O117" s="9" t="n">
        <v>1538432.29</v>
      </c>
    </row>
    <row r="118" customFormat="false" ht="15" hidden="false" customHeight="false" outlineLevel="0" collapsed="false">
      <c r="A118" s="6" t="n">
        <v>113</v>
      </c>
      <c r="B118" s="5" t="s">
        <v>288</v>
      </c>
      <c r="C118" s="5" t="s">
        <v>595</v>
      </c>
      <c r="D118" s="5" t="s">
        <v>303</v>
      </c>
      <c r="E118" s="5" t="s">
        <v>81</v>
      </c>
      <c r="F118" s="11" t="n">
        <v>3124.56</v>
      </c>
      <c r="G118" s="12" t="n">
        <v>65.0842</v>
      </c>
      <c r="H118" s="12" t="n">
        <v>68.8676</v>
      </c>
      <c r="J118" s="8" t="n">
        <v>-3.78684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2</v>
      </c>
      <c r="M118" s="14" t="n">
        <v>-378.68</v>
      </c>
      <c r="N118" s="9" t="n">
        <v>-11832.22</v>
      </c>
      <c r="O118" s="9" t="n">
        <v>1526600.07</v>
      </c>
    </row>
    <row r="119" customFormat="false" ht="15" hidden="false" customHeight="false" outlineLevel="0" collapsed="false">
      <c r="A119" s="6" t="n">
        <v>114</v>
      </c>
      <c r="B119" s="5" t="s">
        <v>288</v>
      </c>
      <c r="C119" s="5" t="s">
        <v>303</v>
      </c>
      <c r="D119" s="5" t="s">
        <v>596</v>
      </c>
      <c r="E119" s="5" t="s">
        <v>81</v>
      </c>
      <c r="F119" s="11" t="n">
        <v>7122.55</v>
      </c>
      <c r="G119" s="12" t="n">
        <v>65.0842</v>
      </c>
      <c r="H119" s="12" t="n">
        <v>72.9959</v>
      </c>
      <c r="I119" s="5" t="s">
        <v>78</v>
      </c>
      <c r="J119" s="8" t="n">
        <v>-9.39069</v>
      </c>
      <c r="K119" s="13" t="str">
        <f aca="false">IF(J119&gt;0,"прибыль",IF(J119&lt;0,"убыток","ноль"))</f>
        <v>убыток</v>
      </c>
      <c r="L119" s="13" t="n">
        <f aca="false">IF(C119="",L118,IF(J119&lt;0,L118+1,0))</f>
        <v>3</v>
      </c>
      <c r="M119" s="14" t="n">
        <v>-939.07</v>
      </c>
      <c r="N119" s="9" t="n">
        <v>-66885.62</v>
      </c>
      <c r="O119" s="9" t="n">
        <v>1459714.44</v>
      </c>
    </row>
    <row r="120" customFormat="false" ht="15" hidden="false" customHeight="false" outlineLevel="0" collapsed="false">
      <c r="A120" s="6" t="n">
        <v>115</v>
      </c>
      <c r="B120" s="5" t="s">
        <v>288</v>
      </c>
      <c r="C120" s="5" t="s">
        <v>596</v>
      </c>
      <c r="D120" s="5" t="s">
        <v>306</v>
      </c>
      <c r="E120" s="5" t="s">
        <v>77</v>
      </c>
      <c r="F120" s="11" t="n">
        <v>2574.19</v>
      </c>
      <c r="G120" s="12" t="n">
        <v>73.3646</v>
      </c>
      <c r="H120" s="12" t="n">
        <v>82.3871</v>
      </c>
      <c r="I120" s="5" t="s">
        <v>78</v>
      </c>
      <c r="J120" s="8" t="n">
        <v>8.14789</v>
      </c>
      <c r="K120" s="13" t="str">
        <f aca="false">IF(J120&gt;0,"прибыль",IF(J120&lt;0,"убыток","ноль"))</f>
        <v>прибыль</v>
      </c>
      <c r="L120" s="13" t="n">
        <f aca="false">IF(C120="",L119,IF(J120&lt;0,L119+1,0))</f>
        <v>0</v>
      </c>
      <c r="M120" s="14" t="n">
        <v>814.79</v>
      </c>
      <c r="N120" s="9" t="n">
        <v>20974.17</v>
      </c>
      <c r="O120" s="9" t="n">
        <v>1480688.62</v>
      </c>
    </row>
    <row r="121" customFormat="false" ht="15" hidden="false" customHeight="false" outlineLevel="0" collapsed="false">
      <c r="A121" s="6" t="n">
        <v>116</v>
      </c>
      <c r="B121" s="5" t="s">
        <v>288</v>
      </c>
      <c r="C121" s="5" t="s">
        <v>306</v>
      </c>
      <c r="D121" s="5" t="s">
        <v>307</v>
      </c>
      <c r="E121" s="5" t="s">
        <v>77</v>
      </c>
      <c r="F121" s="11" t="n">
        <v>1958.32</v>
      </c>
      <c r="G121" s="12" t="n">
        <v>74.2317</v>
      </c>
      <c r="H121" s="12" t="n">
        <v>72.3915</v>
      </c>
      <c r="J121" s="8" t="n">
        <v>-1.84387</v>
      </c>
      <c r="K121" s="13" t="str">
        <f aca="false">IF(J121&gt;0,"прибыль",IF(J121&lt;0,"убыток","ноль"))</f>
        <v>убыток</v>
      </c>
      <c r="L121" s="13" t="n">
        <f aca="false">IF(C121="",L120,IF(J121&lt;0,L120+1,0))</f>
        <v>1</v>
      </c>
      <c r="M121" s="14" t="n">
        <v>-184.39</v>
      </c>
      <c r="N121" s="9" t="n">
        <v>-3610.88</v>
      </c>
      <c r="O121" s="9" t="n">
        <v>1477077.74</v>
      </c>
    </row>
    <row r="122" customFormat="false" ht="15" hidden="false" customHeight="false" outlineLevel="0" collapsed="false">
      <c r="A122" s="6" t="n">
        <v>117</v>
      </c>
      <c r="B122" s="5" t="s">
        <v>288</v>
      </c>
      <c r="C122" s="5" t="s">
        <v>307</v>
      </c>
      <c r="D122" s="5" t="s">
        <v>597</v>
      </c>
      <c r="E122" s="5" t="s">
        <v>77</v>
      </c>
      <c r="F122" s="11" t="n">
        <v>4101.9</v>
      </c>
      <c r="G122" s="12" t="n">
        <v>74.2317</v>
      </c>
      <c r="H122" s="12" t="n">
        <v>68.6862</v>
      </c>
      <c r="I122" s="5" t="s">
        <v>78</v>
      </c>
      <c r="J122" s="8" t="n">
        <v>-3.74238</v>
      </c>
      <c r="K122" s="13" t="str">
        <f aca="false">IF(J122&gt;0,"прибыль",IF(J122&lt;0,"убыток","ноль"))</f>
        <v>убыток</v>
      </c>
      <c r="L122" s="13" t="n">
        <f aca="false">IF(C122="",L121,IF(J122&lt;0,L121+1,0))</f>
        <v>2</v>
      </c>
      <c r="M122" s="14" t="n">
        <v>-374.24</v>
      </c>
      <c r="N122" s="9" t="n">
        <v>-15350.85</v>
      </c>
      <c r="O122" s="9" t="n">
        <v>1461726.89</v>
      </c>
    </row>
    <row r="123" customFormat="false" ht="15" hidden="false" customHeight="false" outlineLevel="0" collapsed="false">
      <c r="A123" s="6" t="n">
        <v>118</v>
      </c>
      <c r="B123" s="5" t="s">
        <v>288</v>
      </c>
      <c r="C123" s="5" t="s">
        <v>597</v>
      </c>
      <c r="D123" s="5" t="s">
        <v>598</v>
      </c>
      <c r="E123" s="5" t="s">
        <v>81</v>
      </c>
      <c r="F123" s="11" t="n">
        <v>6835.78</v>
      </c>
      <c r="G123" s="12" t="n">
        <v>72.238</v>
      </c>
      <c r="H123" s="12" t="n">
        <v>84.0969</v>
      </c>
      <c r="I123" s="5" t="s">
        <v>78</v>
      </c>
      <c r="J123" s="8" t="n">
        <v>-12.06012</v>
      </c>
      <c r="K123" s="13" t="str">
        <f aca="false">IF(J123&gt;0,"прибыль",IF(J123&lt;0,"убыток","ноль"))</f>
        <v>убыток</v>
      </c>
      <c r="L123" s="13" t="n">
        <f aca="false">IF(C123="",L122,IF(J123&lt;0,L122+1,0))</f>
        <v>3</v>
      </c>
      <c r="M123" s="14" t="n">
        <v>-1206.01</v>
      </c>
      <c r="N123" s="9" t="n">
        <v>-82440.38</v>
      </c>
      <c r="O123" s="9" t="n">
        <v>1379286.51</v>
      </c>
    </row>
    <row r="124" customFormat="false" ht="15" hidden="false" customHeight="false" outlineLevel="0" collapsed="false">
      <c r="A124" s="6" t="n">
        <v>119</v>
      </c>
      <c r="B124" s="5" t="s">
        <v>288</v>
      </c>
      <c r="C124" s="5" t="s">
        <v>598</v>
      </c>
      <c r="D124" s="5" t="s">
        <v>312</v>
      </c>
      <c r="E124" s="5" t="s">
        <v>77</v>
      </c>
      <c r="F124" s="11" t="n">
        <v>2003.99</v>
      </c>
      <c r="G124" s="12" t="n">
        <v>84.9579</v>
      </c>
      <c r="H124" s="12" t="n">
        <v>93.0201</v>
      </c>
      <c r="I124" s="5" t="s">
        <v>78</v>
      </c>
      <c r="J124" s="8" t="n">
        <v>9.88677</v>
      </c>
      <c r="K124" s="13" t="str">
        <f aca="false">IF(J124&gt;0,"прибыль",IF(J124&lt;0,"убыток","ноль"))</f>
        <v>прибыль</v>
      </c>
      <c r="L124" s="13" t="n">
        <f aca="false">IF(C124="",L123,IF(J124&lt;0,L123+1,0))</f>
        <v>0</v>
      </c>
      <c r="M124" s="14" t="n">
        <v>988.68</v>
      </c>
      <c r="N124" s="9" t="n">
        <v>19813.03</v>
      </c>
      <c r="O124" s="9" t="n">
        <v>1399099.54</v>
      </c>
    </row>
    <row r="125" customFormat="false" ht="15" hidden="false" customHeight="false" outlineLevel="0" collapsed="false">
      <c r="A125" s="6" t="n">
        <v>120</v>
      </c>
      <c r="B125" s="5" t="s">
        <v>288</v>
      </c>
      <c r="C125" s="5" t="s">
        <v>312</v>
      </c>
      <c r="D125" s="5" t="s">
        <v>313</v>
      </c>
      <c r="E125" s="5" t="s">
        <v>77</v>
      </c>
      <c r="F125" s="11" t="n">
        <v>4450.23</v>
      </c>
      <c r="G125" s="12" t="n">
        <v>83.1248</v>
      </c>
      <c r="H125" s="12" t="n">
        <v>114.2133</v>
      </c>
      <c r="I125" s="5" t="s">
        <v>78</v>
      </c>
      <c r="J125" s="8" t="n">
        <v>34.81499</v>
      </c>
      <c r="K125" s="13" t="str">
        <f aca="false">IF(J125&gt;0,"прибыль",IF(J125&lt;0,"убыток","ноль"))</f>
        <v>прибыль</v>
      </c>
      <c r="L125" s="13" t="n">
        <f aca="false">IF(C125="",L124,IF(J125&lt;0,L124+1,0))</f>
        <v>0</v>
      </c>
      <c r="M125" s="14" t="n">
        <v>3481.5</v>
      </c>
      <c r="N125" s="9" t="n">
        <v>154934.64</v>
      </c>
      <c r="O125" s="9" t="n">
        <v>1554034.17</v>
      </c>
    </row>
    <row r="126" customFormat="false" ht="15" hidden="false" customHeight="false" outlineLevel="0" collapsed="false">
      <c r="A126" s="6" t="n">
        <v>121</v>
      </c>
      <c r="B126" s="5" t="s">
        <v>288</v>
      </c>
      <c r="C126" s="5" t="s">
        <v>313</v>
      </c>
      <c r="D126" s="5" t="s">
        <v>314</v>
      </c>
      <c r="E126" s="5" t="s">
        <v>77</v>
      </c>
      <c r="F126" s="11" t="n">
        <v>531.45</v>
      </c>
      <c r="G126" s="12" t="n">
        <v>79.3926</v>
      </c>
      <c r="H126" s="12" t="n">
        <v>119.7061</v>
      </c>
      <c r="J126" s="8" t="n">
        <v>40.30749</v>
      </c>
      <c r="K126" s="13" t="str">
        <f aca="false">IF(J126&gt;0,"прибыль",IF(J126&lt;0,"убыток","ноль"))</f>
        <v>прибыль</v>
      </c>
      <c r="L126" s="13" t="n">
        <f aca="false">IF(C126="",L125,IF(J126&lt;0,L125+1,0))</f>
        <v>0</v>
      </c>
      <c r="M126" s="14" t="n">
        <v>4030.75</v>
      </c>
      <c r="N126" s="9" t="n">
        <v>21421.34</v>
      </c>
      <c r="O126" s="9" t="n">
        <v>1575455.51</v>
      </c>
    </row>
    <row r="127" customFormat="false" ht="15" hidden="false" customHeight="false" outlineLevel="0" collapsed="false">
      <c r="A127" s="6" t="n">
        <v>122</v>
      </c>
      <c r="B127" s="5" t="s">
        <v>288</v>
      </c>
      <c r="C127" s="5" t="s">
        <v>314</v>
      </c>
      <c r="D127" s="5" t="s">
        <v>315</v>
      </c>
      <c r="E127" s="5" t="s">
        <v>77</v>
      </c>
      <c r="F127" s="11" t="n">
        <v>397.34</v>
      </c>
      <c r="G127" s="12" t="n">
        <v>79.3926</v>
      </c>
      <c r="H127" s="12" t="n">
        <v>121.0817</v>
      </c>
      <c r="J127" s="8" t="n">
        <v>41.68297</v>
      </c>
      <c r="K127" s="13" t="str">
        <f aca="false">IF(J127&gt;0,"прибыль",IF(J127&lt;0,"убыток","ноль"))</f>
        <v>прибыль</v>
      </c>
      <c r="L127" s="13" t="n">
        <f aca="false">IF(C127="",L126,IF(J127&lt;0,L126+1,0))</f>
        <v>0</v>
      </c>
      <c r="M127" s="14" t="n">
        <v>4168.3</v>
      </c>
      <c r="N127" s="9" t="n">
        <v>16562.42</v>
      </c>
      <c r="O127" s="9" t="n">
        <v>1592017.93</v>
      </c>
    </row>
    <row r="128" customFormat="false" ht="15" hidden="false" customHeight="false" outlineLevel="0" collapsed="false">
      <c r="A128" s="6" t="n">
        <v>123</v>
      </c>
      <c r="B128" s="5" t="s">
        <v>288</v>
      </c>
      <c r="C128" s="5" t="s">
        <v>315</v>
      </c>
      <c r="D128" s="5" t="s">
        <v>320</v>
      </c>
      <c r="E128" s="5" t="s">
        <v>77</v>
      </c>
      <c r="F128" s="11" t="n">
        <v>1562.44</v>
      </c>
      <c r="G128" s="12" t="n">
        <v>107.3124</v>
      </c>
      <c r="H128" s="12" t="n">
        <v>105.6688</v>
      </c>
      <c r="I128" s="5" t="s">
        <v>78</v>
      </c>
      <c r="J128" s="8" t="n">
        <v>9.95533</v>
      </c>
      <c r="K128" s="13" t="str">
        <f aca="false">IF(J128&gt;0,"прибыль",IF(J128&lt;0,"убыток","ноль"))</f>
        <v>прибыль</v>
      </c>
      <c r="L128" s="13" t="n">
        <f aca="false">IF(C128="",L127,IF(J128&lt;0,L127+1,0))</f>
        <v>0</v>
      </c>
      <c r="M128" s="14" t="n">
        <v>995.53</v>
      </c>
      <c r="N128" s="9" t="n">
        <v>15554.61</v>
      </c>
      <c r="O128" s="9" t="n">
        <v>1607572.54</v>
      </c>
    </row>
    <row r="129" customFormat="false" ht="15" hidden="false" customHeight="false" outlineLevel="0" collapsed="false">
      <c r="A129" s="6" t="n">
        <v>124</v>
      </c>
      <c r="B129" s="5" t="s">
        <v>288</v>
      </c>
      <c r="C129" s="5" t="s">
        <v>320</v>
      </c>
      <c r="D129" s="5" t="s">
        <v>599</v>
      </c>
      <c r="E129" s="5" t="s">
        <v>77</v>
      </c>
      <c r="F129" s="11" t="n">
        <v>765.15</v>
      </c>
      <c r="G129" s="12" t="n">
        <v>95.6959</v>
      </c>
      <c r="H129" s="12" t="n">
        <v>105.8539</v>
      </c>
      <c r="J129" s="8" t="n">
        <v>10.15272</v>
      </c>
      <c r="K129" s="13" t="str">
        <f aca="false">IF(J129&gt;0,"прибыль",IF(J129&lt;0,"убыток","ноль"))</f>
        <v>прибыль</v>
      </c>
      <c r="L129" s="13" t="n">
        <f aca="false">IF(C129="",L128,IF(J129&lt;0,L128+1,0))</f>
        <v>0</v>
      </c>
      <c r="M129" s="14" t="n">
        <v>1015.27</v>
      </c>
      <c r="N129" s="9" t="n">
        <v>7768.38</v>
      </c>
      <c r="O129" s="9" t="n">
        <v>1615340.92</v>
      </c>
    </row>
    <row r="130" customFormat="false" ht="15" hidden="false" customHeight="false" outlineLevel="0" collapsed="false">
      <c r="A130" s="6" t="n">
        <v>125</v>
      </c>
      <c r="B130" s="5" t="s">
        <v>288</v>
      </c>
      <c r="C130" s="5" t="s">
        <v>599</v>
      </c>
      <c r="D130" s="5" t="s">
        <v>325</v>
      </c>
      <c r="E130" s="5" t="s">
        <v>77</v>
      </c>
      <c r="F130" s="11" t="n">
        <v>2837.78</v>
      </c>
      <c r="G130" s="12" t="n">
        <v>95.6959</v>
      </c>
      <c r="H130" s="12" t="n">
        <v>103.8157</v>
      </c>
      <c r="J130" s="8" t="n">
        <v>8.10939</v>
      </c>
      <c r="K130" s="13" t="str">
        <f aca="false">IF(J130&gt;0,"прибыль",IF(J130&lt;0,"убыток","ноль"))</f>
        <v>прибыль</v>
      </c>
      <c r="L130" s="13" t="n">
        <f aca="false">IF(C130="",L129,IF(J130&lt;0,L129+1,0))</f>
        <v>0</v>
      </c>
      <c r="M130" s="14" t="n">
        <v>810.94</v>
      </c>
      <c r="N130" s="9" t="n">
        <v>23012.7</v>
      </c>
      <c r="O130" s="9" t="n">
        <v>1638353.62</v>
      </c>
    </row>
    <row r="131" customFormat="false" ht="15" hidden="false" customHeight="false" outlineLevel="0" collapsed="false">
      <c r="A131" s="6" t="n">
        <v>126</v>
      </c>
      <c r="B131" s="5" t="s">
        <v>288</v>
      </c>
      <c r="C131" s="5" t="s">
        <v>325</v>
      </c>
      <c r="D131" s="5" t="s">
        <v>326</v>
      </c>
      <c r="E131" s="5" t="s">
        <v>81</v>
      </c>
      <c r="F131" s="11" t="n">
        <v>1115.06</v>
      </c>
      <c r="G131" s="12" t="n">
        <v>104.6685</v>
      </c>
      <c r="H131" s="12" t="n">
        <v>104.9063</v>
      </c>
      <c r="I131" s="5" t="s">
        <v>78</v>
      </c>
      <c r="J131" s="8" t="n">
        <v>-8.59605</v>
      </c>
      <c r="K131" s="13" t="str">
        <f aca="false">IF(J131&gt;0,"прибыль",IF(J131&lt;0,"убыток","ноль"))</f>
        <v>убыток</v>
      </c>
      <c r="L131" s="13" t="n">
        <f aca="false">IF(C131="",L130,IF(J131&lt;0,L130+1,0))</f>
        <v>1</v>
      </c>
      <c r="M131" s="14" t="n">
        <v>-859.61</v>
      </c>
      <c r="N131" s="9" t="n">
        <v>-9585.09</v>
      </c>
      <c r="O131" s="9" t="n">
        <v>1628768.53</v>
      </c>
    </row>
    <row r="132" customFormat="false" ht="15" hidden="false" customHeight="false" outlineLevel="0" collapsed="false">
      <c r="A132" s="6" t="n">
        <v>127</v>
      </c>
      <c r="B132" s="5" t="s">
        <v>288</v>
      </c>
      <c r="C132" s="5" t="s">
        <v>326</v>
      </c>
      <c r="D132" s="5" t="s">
        <v>600</v>
      </c>
      <c r="E132" s="5" t="s">
        <v>81</v>
      </c>
      <c r="F132" s="11" t="n">
        <v>1854.73</v>
      </c>
      <c r="G132" s="12" t="n">
        <v>87.0182</v>
      </c>
      <c r="H132" s="12" t="n">
        <v>78.0303</v>
      </c>
      <c r="I132" s="5" t="s">
        <v>78</v>
      </c>
      <c r="J132" s="8" t="n">
        <v>27.99126</v>
      </c>
      <c r="K132" s="13" t="str">
        <f aca="false">IF(J132&gt;0,"прибыль",IF(J132&lt;0,"убыток","ноль"))</f>
        <v>прибыль</v>
      </c>
      <c r="L132" s="13" t="n">
        <f aca="false">IF(C132="",L131,IF(J132&lt;0,L131+1,0))</f>
        <v>0</v>
      </c>
      <c r="M132" s="14" t="n">
        <v>2799.13</v>
      </c>
      <c r="N132" s="9" t="n">
        <v>51916.2</v>
      </c>
      <c r="O132" s="9" t="n">
        <v>1680684.73</v>
      </c>
    </row>
    <row r="133" customFormat="false" ht="15" hidden="false" customHeight="false" outlineLevel="0" collapsed="false">
      <c r="A133" s="6" t="n">
        <v>128</v>
      </c>
      <c r="B133" s="5" t="s">
        <v>288</v>
      </c>
      <c r="C133" s="5" t="s">
        <v>600</v>
      </c>
      <c r="D133" s="5" t="s">
        <v>601</v>
      </c>
      <c r="E133" s="5" t="s">
        <v>81</v>
      </c>
      <c r="F133" s="11" t="n">
        <v>2481.95</v>
      </c>
      <c r="G133" s="12" t="n">
        <v>94.7781</v>
      </c>
      <c r="H133" s="12" t="n">
        <v>76.837</v>
      </c>
      <c r="I133" s="5" t="s">
        <v>78</v>
      </c>
      <c r="J133" s="8" t="n">
        <v>23.94197</v>
      </c>
      <c r="K133" s="13" t="str">
        <f aca="false">IF(J133&gt;0,"прибыль",IF(J133&lt;0,"убыток","ноль"))</f>
        <v>прибыль</v>
      </c>
      <c r="L133" s="13" t="n">
        <f aca="false">IF(C133="",L132,IF(J133&lt;0,L132+1,0))</f>
        <v>0</v>
      </c>
      <c r="M133" s="14" t="n">
        <v>2394.2</v>
      </c>
      <c r="N133" s="9" t="n">
        <v>59422.82</v>
      </c>
      <c r="O133" s="9" t="n">
        <v>1740107.55</v>
      </c>
    </row>
    <row r="134" customFormat="false" ht="15" hidden="false" customHeight="false" outlineLevel="0" collapsed="false">
      <c r="A134" s="6" t="n">
        <v>129</v>
      </c>
      <c r="B134" s="5" t="s">
        <v>288</v>
      </c>
      <c r="C134" s="5" t="s">
        <v>601</v>
      </c>
      <c r="D134" s="5" t="s">
        <v>602</v>
      </c>
      <c r="E134" s="5" t="s">
        <v>81</v>
      </c>
      <c r="F134" s="11" t="n">
        <v>8788.87</v>
      </c>
      <c r="G134" s="12" t="n">
        <v>94.6563</v>
      </c>
      <c r="H134" s="12" t="n">
        <v>83.2523</v>
      </c>
      <c r="I134" s="5" t="s">
        <v>78</v>
      </c>
      <c r="J134" s="8" t="n">
        <v>16.23515</v>
      </c>
      <c r="K134" s="13" t="str">
        <f aca="false">IF(J134&gt;0,"прибыль",IF(J134&lt;0,"убыток","ноль"))</f>
        <v>прибыль</v>
      </c>
      <c r="L134" s="13" t="n">
        <f aca="false">IF(C134="",L133,IF(J134&lt;0,L133+1,0))</f>
        <v>0</v>
      </c>
      <c r="M134" s="14" t="n">
        <v>1623.51</v>
      </c>
      <c r="N134" s="9" t="n">
        <v>142688.62</v>
      </c>
      <c r="O134" s="9" t="n">
        <v>1882796.17</v>
      </c>
    </row>
    <row r="135" customFormat="false" ht="15" hidden="false" customHeight="false" outlineLevel="0" collapsed="false">
      <c r="A135" s="6" t="n">
        <v>130</v>
      </c>
      <c r="B135" s="5" t="s">
        <v>288</v>
      </c>
      <c r="C135" s="5" t="s">
        <v>602</v>
      </c>
      <c r="D135" s="5" t="s">
        <v>603</v>
      </c>
      <c r="E135" s="5" t="s">
        <v>77</v>
      </c>
      <c r="F135" s="11" t="n">
        <v>2923.19</v>
      </c>
      <c r="G135" s="12" t="n">
        <v>84.7836</v>
      </c>
      <c r="H135" s="12" t="n">
        <v>95.0423</v>
      </c>
      <c r="I135" s="5" t="s">
        <v>78</v>
      </c>
      <c r="J135" s="8" t="n">
        <v>8.07008</v>
      </c>
      <c r="K135" s="13" t="str">
        <f aca="false">IF(J135&gt;0,"прибыль",IF(J135&lt;0,"убыток","ноль"))</f>
        <v>прибыль</v>
      </c>
      <c r="L135" s="13" t="n">
        <f aca="false">IF(C135="",L134,IF(J135&lt;0,L134+1,0))</f>
        <v>0</v>
      </c>
      <c r="M135" s="14" t="n">
        <v>807.01</v>
      </c>
      <c r="N135" s="9" t="n">
        <v>23590.39</v>
      </c>
      <c r="O135" s="9" t="n">
        <v>1906386.56</v>
      </c>
    </row>
    <row r="136" customFormat="false" ht="15" hidden="false" customHeight="false" outlineLevel="0" collapsed="false">
      <c r="A136" s="6" t="n">
        <v>131</v>
      </c>
      <c r="B136" s="5" t="s">
        <v>288</v>
      </c>
      <c r="C136" s="5" t="s">
        <v>603</v>
      </c>
      <c r="D136" s="5" t="s">
        <v>350</v>
      </c>
      <c r="E136" s="5" t="s">
        <v>77</v>
      </c>
      <c r="F136" s="11" t="n">
        <v>3211.85</v>
      </c>
      <c r="G136" s="12" t="n">
        <v>86.963</v>
      </c>
      <c r="H136" s="12" t="n">
        <v>86.5446</v>
      </c>
      <c r="I136" s="5" t="s">
        <v>78</v>
      </c>
      <c r="J136" s="8" t="n">
        <v>3.52055</v>
      </c>
      <c r="K136" s="13" t="str">
        <f aca="false">IF(J136&gt;0,"прибыль",IF(J136&lt;0,"убыток","ноль"))</f>
        <v>прибыль</v>
      </c>
      <c r="L136" s="13" t="n">
        <f aca="false">IF(C136="",L135,IF(J136&lt;0,L135+1,0))</f>
        <v>0</v>
      </c>
      <c r="M136" s="14" t="n">
        <v>352.06</v>
      </c>
      <c r="N136" s="9" t="n">
        <v>11307.48</v>
      </c>
      <c r="O136" s="9" t="n">
        <v>1917694.04</v>
      </c>
    </row>
    <row r="137" customFormat="false" ht="15" hidden="false" customHeight="false" outlineLevel="0" collapsed="false">
      <c r="A137" s="6" t="n">
        <v>132</v>
      </c>
      <c r="B137" s="5" t="s">
        <v>288</v>
      </c>
      <c r="C137" s="5" t="s">
        <v>350</v>
      </c>
      <c r="D137" s="5" t="s">
        <v>351</v>
      </c>
      <c r="E137" s="5" t="s">
        <v>77</v>
      </c>
      <c r="F137" s="11" t="n">
        <v>2197.45</v>
      </c>
      <c r="G137" s="12" t="n">
        <v>83.0197</v>
      </c>
      <c r="H137" s="12" t="n">
        <v>90.9997</v>
      </c>
      <c r="J137" s="8" t="n">
        <v>7.97543</v>
      </c>
      <c r="K137" s="13" t="str">
        <f aca="false">IF(J137&gt;0,"прибыль",IF(J137&lt;0,"убыток","ноль"))</f>
        <v>прибыль</v>
      </c>
      <c r="L137" s="13" t="n">
        <f aca="false">IF(C137="",L136,IF(J137&lt;0,L136+1,0))</f>
        <v>0</v>
      </c>
      <c r="M137" s="14" t="n">
        <v>797.54</v>
      </c>
      <c r="N137" s="9" t="n">
        <v>17525.58</v>
      </c>
      <c r="O137" s="9" t="n">
        <v>1935219.62</v>
      </c>
    </row>
    <row r="138" customFormat="false" ht="15" hidden="false" customHeight="false" outlineLevel="0" collapsed="false">
      <c r="A138" s="6" t="n">
        <v>133</v>
      </c>
      <c r="B138" s="5" t="s">
        <v>288</v>
      </c>
      <c r="C138" s="5" t="s">
        <v>351</v>
      </c>
      <c r="D138" s="5" t="s">
        <v>484</v>
      </c>
      <c r="E138" s="5" t="s">
        <v>77</v>
      </c>
      <c r="F138" s="11" t="n">
        <v>6825.52</v>
      </c>
      <c r="G138" s="12" t="n">
        <v>83.1627</v>
      </c>
      <c r="H138" s="12" t="n">
        <v>81.3981</v>
      </c>
      <c r="I138" s="5" t="s">
        <v>78</v>
      </c>
      <c r="J138" s="8" t="n">
        <v>-0.45149</v>
      </c>
      <c r="K138" s="13" t="str">
        <f aca="false">IF(J138&gt;0,"прибыль",IF(J138&lt;0,"убыток","ноль"))</f>
        <v>убыток</v>
      </c>
      <c r="L138" s="13" t="n">
        <f aca="false">IF(C138="",L137,IF(J138&lt;0,L137+1,0))</f>
        <v>1</v>
      </c>
      <c r="M138" s="14" t="n">
        <v>-45.15</v>
      </c>
      <c r="N138" s="9" t="n">
        <v>-3081.68</v>
      </c>
      <c r="O138" s="9" t="n">
        <v>1932137.94</v>
      </c>
    </row>
    <row r="139" customFormat="false" ht="15" hidden="false" customHeight="false" outlineLevel="0" collapsed="false">
      <c r="A139" s="6" t="n">
        <v>134</v>
      </c>
      <c r="B139" s="5" t="s">
        <v>288</v>
      </c>
      <c r="C139" s="5" t="s">
        <v>484</v>
      </c>
      <c r="D139" s="5" t="s">
        <v>604</v>
      </c>
      <c r="E139" s="5" t="s">
        <v>81</v>
      </c>
      <c r="F139" s="11" t="n">
        <v>0</v>
      </c>
      <c r="G139" s="12" t="n">
        <v>81.3981</v>
      </c>
      <c r="H139" s="12" t="n">
        <v>78.9504</v>
      </c>
      <c r="J139" s="8" t="n">
        <v>2.44374</v>
      </c>
      <c r="K139" s="13" t="str">
        <f aca="false">IF(J139&gt;0,"прибыль",IF(J139&lt;0,"убыток","ноль"))</f>
        <v>прибыль</v>
      </c>
      <c r="L139" s="13" t="n">
        <f aca="false">IF(C139="",L138,IF(J139&lt;0,L138+1,0))</f>
        <v>0</v>
      </c>
      <c r="M139" s="14" t="n">
        <v>244.37</v>
      </c>
      <c r="N139" s="9" t="n">
        <v>0</v>
      </c>
      <c r="O139" s="9" t="n">
        <v>1932137.94</v>
      </c>
    </row>
    <row r="140" customFormat="false" ht="15" hidden="false" customHeight="false" outlineLevel="0" collapsed="false">
      <c r="A140" s="6" t="n">
        <v>135</v>
      </c>
      <c r="B140" s="5" t="s">
        <v>288</v>
      </c>
      <c r="C140" s="5" t="s">
        <v>604</v>
      </c>
      <c r="D140" s="5" t="s">
        <v>357</v>
      </c>
      <c r="E140" s="5" t="s">
        <v>81</v>
      </c>
      <c r="F140" s="11" t="n">
        <v>7277.4</v>
      </c>
      <c r="G140" s="12" t="n">
        <v>81.3981</v>
      </c>
      <c r="H140" s="12" t="n">
        <v>78.3968</v>
      </c>
      <c r="I140" s="5" t="s">
        <v>78</v>
      </c>
      <c r="J140" s="8" t="n">
        <v>-1.46177</v>
      </c>
      <c r="K140" s="13" t="str">
        <f aca="false">IF(J140&gt;0,"прибыль",IF(J140&lt;0,"убыток","ноль"))</f>
        <v>убыток</v>
      </c>
      <c r="L140" s="13" t="n">
        <f aca="false">IF(C140="",L139,IF(J140&lt;0,L139+1,0))</f>
        <v>1</v>
      </c>
      <c r="M140" s="14" t="n">
        <v>-146.18</v>
      </c>
      <c r="N140" s="9" t="n">
        <v>-10637.91</v>
      </c>
      <c r="O140" s="9" t="n">
        <v>1921500.03</v>
      </c>
    </row>
    <row r="141" customFormat="false" ht="15" hidden="false" customHeight="false" outlineLevel="0" collapsed="false">
      <c r="A141" s="6" t="n">
        <v>136</v>
      </c>
      <c r="B141" s="5" t="s">
        <v>288</v>
      </c>
      <c r="C141" s="5" t="s">
        <v>357</v>
      </c>
      <c r="D141" s="5" t="s">
        <v>360</v>
      </c>
      <c r="E141" s="5" t="s">
        <v>77</v>
      </c>
      <c r="F141" s="11" t="n">
        <v>2849.15</v>
      </c>
      <c r="G141" s="12" t="n">
        <v>80.4625</v>
      </c>
      <c r="H141" s="12" t="n">
        <v>87.7068</v>
      </c>
      <c r="I141" s="5" t="s">
        <v>78</v>
      </c>
      <c r="J141" s="8" t="n">
        <v>8.04688</v>
      </c>
      <c r="K141" s="13" t="str">
        <f aca="false">IF(J141&gt;0,"прибыль",IF(J141&lt;0,"убыток","ноль"))</f>
        <v>прибыль</v>
      </c>
      <c r="L141" s="13" t="n">
        <f aca="false">IF(C141="",L140,IF(J141&lt;0,L140+1,0))</f>
        <v>0</v>
      </c>
      <c r="M141" s="14" t="n">
        <v>804.69</v>
      </c>
      <c r="N141" s="9" t="n">
        <v>22926.81</v>
      </c>
      <c r="O141" s="9" t="n">
        <v>1944426.84</v>
      </c>
    </row>
    <row r="142" customFormat="false" ht="15" hidden="false" customHeight="false" outlineLevel="0" collapsed="false">
      <c r="A142" s="6" t="n">
        <v>137</v>
      </c>
      <c r="B142" s="5" t="s">
        <v>288</v>
      </c>
      <c r="C142" s="5" t="s">
        <v>360</v>
      </c>
      <c r="D142" s="5" t="s">
        <v>605</v>
      </c>
      <c r="E142" s="5" t="s">
        <v>77</v>
      </c>
      <c r="F142" s="11" t="n">
        <v>13628.18</v>
      </c>
      <c r="G142" s="12" t="n">
        <v>81.5034</v>
      </c>
      <c r="H142" s="12" t="n">
        <v>82.3433</v>
      </c>
      <c r="I142" s="5" t="s">
        <v>78</v>
      </c>
      <c r="J142" s="8" t="n">
        <v>4.25223</v>
      </c>
      <c r="K142" s="13" t="str">
        <f aca="false">IF(J142&gt;0,"прибыль",IF(J142&lt;0,"убыток","ноль"))</f>
        <v>прибыль</v>
      </c>
      <c r="L142" s="13" t="n">
        <f aca="false">IF(C142="",L141,IF(J142&lt;0,L141+1,0))</f>
        <v>0</v>
      </c>
      <c r="M142" s="14" t="n">
        <v>425.22</v>
      </c>
      <c r="N142" s="9" t="n">
        <v>57950.08</v>
      </c>
      <c r="O142" s="9" t="n">
        <v>2002376.92</v>
      </c>
    </row>
    <row r="143" customFormat="false" ht="15" hidden="false" customHeight="false" outlineLevel="0" collapsed="false">
      <c r="A143" s="6" t="n">
        <v>138</v>
      </c>
      <c r="B143" s="5" t="s">
        <v>288</v>
      </c>
      <c r="C143" s="5" t="s">
        <v>605</v>
      </c>
      <c r="D143" s="5" t="s">
        <v>606</v>
      </c>
      <c r="E143" s="5" t="s">
        <v>81</v>
      </c>
      <c r="F143" s="11" t="n">
        <v>0</v>
      </c>
      <c r="G143" s="12" t="n">
        <v>82.3433</v>
      </c>
      <c r="H143" s="12" t="n">
        <v>83.1386</v>
      </c>
      <c r="J143" s="8" t="n">
        <v>-0.79946</v>
      </c>
      <c r="K143" s="13" t="str">
        <f aca="false">IF(J143&gt;0,"прибыль",IF(J143&lt;0,"убыток","ноль"))</f>
        <v>убыток</v>
      </c>
      <c r="L143" s="13" t="n">
        <f aca="false">IF(C143="",L142,IF(J143&lt;0,L142+1,0))</f>
        <v>1</v>
      </c>
      <c r="M143" s="14" t="n">
        <v>-79.95</v>
      </c>
      <c r="N143" s="9" t="n">
        <v>0</v>
      </c>
      <c r="O143" s="9" t="n">
        <v>2002376.92</v>
      </c>
    </row>
    <row r="144" customFormat="false" ht="15" hidden="false" customHeight="false" outlineLevel="0" collapsed="false">
      <c r="A144" s="6" t="n">
        <v>139</v>
      </c>
      <c r="B144" s="5" t="s">
        <v>288</v>
      </c>
      <c r="C144" s="5" t="s">
        <v>606</v>
      </c>
      <c r="D144" s="5" t="s">
        <v>364</v>
      </c>
      <c r="E144" s="5" t="s">
        <v>81</v>
      </c>
      <c r="F144" s="11" t="n">
        <v>2932.99</v>
      </c>
      <c r="G144" s="12" t="n">
        <v>82.3433</v>
      </c>
      <c r="H144" s="12" t="n">
        <v>84.5552</v>
      </c>
      <c r="J144" s="8" t="n">
        <v>-2.2162</v>
      </c>
      <c r="K144" s="13" t="str">
        <f aca="false">IF(J144&gt;0,"прибыль",IF(J144&lt;0,"убыток","ноль"))</f>
        <v>убыток</v>
      </c>
      <c r="L144" s="13" t="n">
        <f aca="false">IF(C144="",L143,IF(J144&lt;0,L143+1,0))</f>
        <v>2</v>
      </c>
      <c r="M144" s="14" t="n">
        <v>-221.62</v>
      </c>
      <c r="N144" s="9" t="n">
        <v>-6500.1</v>
      </c>
      <c r="O144" s="9" t="n">
        <v>1995876.82</v>
      </c>
    </row>
    <row r="145" customFormat="false" ht="15" hidden="false" customHeight="false" outlineLevel="0" collapsed="false">
      <c r="A145" s="6" t="n">
        <v>140</v>
      </c>
      <c r="B145" s="5" t="s">
        <v>288</v>
      </c>
      <c r="C145" s="5" t="s">
        <v>364</v>
      </c>
      <c r="D145" s="5" t="s">
        <v>366</v>
      </c>
      <c r="E145" s="5" t="s">
        <v>81</v>
      </c>
      <c r="F145" s="11" t="n">
        <v>3225.6</v>
      </c>
      <c r="G145" s="12" t="n">
        <v>82.3433</v>
      </c>
      <c r="H145" s="12" t="n">
        <v>81.4961</v>
      </c>
      <c r="I145" s="5" t="s">
        <v>78</v>
      </c>
      <c r="J145" s="8" t="n">
        <v>-2.76994</v>
      </c>
      <c r="K145" s="13" t="str">
        <f aca="false">IF(J145&gt;0,"прибыль",IF(J145&lt;0,"убыток","ноль"))</f>
        <v>убыток</v>
      </c>
      <c r="L145" s="13" t="n">
        <f aca="false">IF(C145="",L144,IF(J145&lt;0,L144+1,0))</f>
        <v>3</v>
      </c>
      <c r="M145" s="14" t="n">
        <v>-276.99</v>
      </c>
      <c r="N145" s="9" t="n">
        <v>-8934.69</v>
      </c>
      <c r="O145" s="9" t="n">
        <v>1986942.13</v>
      </c>
    </row>
    <row r="146" customFormat="false" ht="15" hidden="false" customHeight="false" outlineLevel="0" collapsed="false">
      <c r="A146" s="6" t="n">
        <v>141</v>
      </c>
      <c r="B146" s="5" t="s">
        <v>288</v>
      </c>
      <c r="C146" s="5" t="s">
        <v>366</v>
      </c>
      <c r="D146" s="5" t="s">
        <v>498</v>
      </c>
      <c r="E146" s="5" t="s">
        <v>81</v>
      </c>
      <c r="F146" s="11" t="n">
        <v>8981.86</v>
      </c>
      <c r="G146" s="12" t="n">
        <v>78.7302</v>
      </c>
      <c r="H146" s="12" t="n">
        <v>85.1886</v>
      </c>
      <c r="J146" s="8" t="n">
        <v>-6.46675</v>
      </c>
      <c r="K146" s="13" t="str">
        <f aca="false">IF(J146&gt;0,"прибыль",IF(J146&lt;0,"убыток","ноль"))</f>
        <v>убыток</v>
      </c>
      <c r="L146" s="13" t="n">
        <f aca="false">IF(C146="",L145,IF(J146&lt;0,L145+1,0))</f>
        <v>4</v>
      </c>
      <c r="M146" s="14" t="n">
        <v>-646.68</v>
      </c>
      <c r="N146" s="9" t="n">
        <v>-58083.46</v>
      </c>
      <c r="O146" s="9" t="n">
        <v>1928858.67</v>
      </c>
    </row>
    <row r="147" customFormat="false" ht="15" hidden="false" customHeight="false" outlineLevel="0" collapsed="false">
      <c r="A147" s="6" t="n">
        <v>142</v>
      </c>
      <c r="B147" s="5" t="s">
        <v>288</v>
      </c>
      <c r="C147" s="5" t="s">
        <v>498</v>
      </c>
      <c r="D147" s="5" t="s">
        <v>607</v>
      </c>
      <c r="E147" s="5" t="s">
        <v>77</v>
      </c>
      <c r="F147" s="11" t="n">
        <v>2921.62</v>
      </c>
      <c r="G147" s="12" t="n">
        <v>85.125</v>
      </c>
      <c r="H147" s="12" t="n">
        <v>83.0333</v>
      </c>
      <c r="I147" s="5" t="s">
        <v>78</v>
      </c>
      <c r="J147" s="8" t="n">
        <v>-2.68497</v>
      </c>
      <c r="K147" s="13" t="str">
        <f aca="false">IF(J147&gt;0,"прибыль",IF(J147&lt;0,"убыток","ноль"))</f>
        <v>убыток</v>
      </c>
      <c r="L147" s="13" t="n">
        <f aca="false">IF(C147="",L146,IF(J147&lt;0,L146+1,0))</f>
        <v>5</v>
      </c>
      <c r="M147" s="14" t="n">
        <v>-268.5</v>
      </c>
      <c r="N147" s="9" t="n">
        <v>-7844.47</v>
      </c>
      <c r="O147" s="9" t="n">
        <v>1921014.2</v>
      </c>
    </row>
    <row r="148" customFormat="false" ht="15" hidden="false" customHeight="false" outlineLevel="0" collapsed="false">
      <c r="A148" s="6" t="n">
        <v>143</v>
      </c>
      <c r="B148" s="5" t="s">
        <v>288</v>
      </c>
      <c r="C148" s="5" t="s">
        <v>607</v>
      </c>
      <c r="D148" s="5" t="s">
        <v>369</v>
      </c>
      <c r="E148" s="5" t="s">
        <v>77</v>
      </c>
      <c r="F148" s="11" t="n">
        <v>11193.58</v>
      </c>
      <c r="G148" s="12" t="n">
        <v>85.7063</v>
      </c>
      <c r="H148" s="12" t="n">
        <v>78.2108</v>
      </c>
      <c r="I148" s="5" t="s">
        <v>78</v>
      </c>
      <c r="J148" s="8" t="n">
        <v>-7.43931</v>
      </c>
      <c r="K148" s="13" t="str">
        <f aca="false">IF(J148&gt;0,"прибыль",IF(J148&lt;0,"убыток","ноль"))</f>
        <v>убыток</v>
      </c>
      <c r="L148" s="13" t="n">
        <f aca="false">IF(C148="",L147,IF(J148&lt;0,L147+1,0))</f>
        <v>6</v>
      </c>
      <c r="M148" s="14" t="n">
        <v>-743.93</v>
      </c>
      <c r="N148" s="9" t="n">
        <v>-83272.45</v>
      </c>
      <c r="O148" s="9" t="n">
        <v>1837741.75</v>
      </c>
    </row>
    <row r="149" customFormat="false" ht="15" hidden="false" customHeight="false" outlineLevel="0" collapsed="false">
      <c r="A149" s="6" t="n">
        <v>144</v>
      </c>
      <c r="B149" s="5" t="s">
        <v>288</v>
      </c>
      <c r="C149" s="5" t="s">
        <v>369</v>
      </c>
      <c r="D149" s="5" t="s">
        <v>608</v>
      </c>
      <c r="E149" s="5" t="s">
        <v>81</v>
      </c>
      <c r="F149" s="11" t="n">
        <v>0</v>
      </c>
      <c r="G149" s="12" t="n">
        <v>78.2108</v>
      </c>
      <c r="H149" s="12" t="n">
        <v>77.2693</v>
      </c>
      <c r="J149" s="8" t="n">
        <v>0.93763</v>
      </c>
      <c r="K149" s="13" t="str">
        <f aca="false">IF(J149&gt;0,"прибыль",IF(J149&lt;0,"убыток","ноль"))</f>
        <v>прибыль</v>
      </c>
      <c r="L149" s="13" t="n">
        <f aca="false">IF(C149="",L148,IF(J149&lt;0,L148+1,0))</f>
        <v>0</v>
      </c>
      <c r="M149" s="14" t="n">
        <v>93.76</v>
      </c>
      <c r="N149" s="9" t="n">
        <v>0</v>
      </c>
      <c r="O149" s="9" t="n">
        <v>1837741.75</v>
      </c>
    </row>
    <row r="150" customFormat="false" ht="15" hidden="false" customHeight="false" outlineLevel="0" collapsed="false">
      <c r="A150" s="6" t="n">
        <v>145</v>
      </c>
      <c r="B150" s="5" t="s">
        <v>288</v>
      </c>
      <c r="C150" s="5" t="s">
        <v>608</v>
      </c>
      <c r="D150" s="5" t="s">
        <v>370</v>
      </c>
      <c r="E150" s="5" t="s">
        <v>81</v>
      </c>
      <c r="F150" s="11" t="n">
        <v>2737.65</v>
      </c>
      <c r="G150" s="12" t="n">
        <v>78.2108</v>
      </c>
      <c r="H150" s="12" t="n">
        <v>82.1673</v>
      </c>
      <c r="J150" s="8" t="n">
        <v>-3.96067</v>
      </c>
      <c r="K150" s="13" t="str">
        <f aca="false">IF(J150&gt;0,"прибыль",IF(J150&lt;0,"убыток","ноль"))</f>
        <v>убыток</v>
      </c>
      <c r="L150" s="13" t="n">
        <f aca="false">IF(C150="",L149,IF(J150&lt;0,L149+1,0))</f>
        <v>1</v>
      </c>
      <c r="M150" s="14" t="n">
        <v>-396.07</v>
      </c>
      <c r="N150" s="9" t="n">
        <v>-10842.9</v>
      </c>
      <c r="O150" s="9" t="n">
        <v>1826898.85</v>
      </c>
    </row>
    <row r="151" customFormat="false" ht="15" hidden="false" customHeight="false" outlineLevel="0" collapsed="false">
      <c r="A151" s="6" t="n">
        <v>146</v>
      </c>
      <c r="B151" s="5" t="s">
        <v>288</v>
      </c>
      <c r="C151" s="5" t="s">
        <v>370</v>
      </c>
      <c r="D151" s="5" t="s">
        <v>371</v>
      </c>
      <c r="E151" s="5" t="s">
        <v>81</v>
      </c>
      <c r="F151" s="11" t="n">
        <v>1592.26</v>
      </c>
      <c r="G151" s="12" t="n">
        <v>78.2108</v>
      </c>
      <c r="H151" s="12" t="n">
        <v>78.6858</v>
      </c>
      <c r="I151" s="5" t="s">
        <v>78</v>
      </c>
      <c r="J151" s="8" t="n">
        <v>1.82262</v>
      </c>
      <c r="K151" s="13" t="str">
        <f aca="false">IF(J151&gt;0,"прибыль",IF(J151&lt;0,"убыток","ноль"))</f>
        <v>прибыль</v>
      </c>
      <c r="L151" s="13" t="n">
        <f aca="false">IF(C151="",L150,IF(J151&lt;0,L150+1,0))</f>
        <v>0</v>
      </c>
      <c r="M151" s="14" t="n">
        <v>182.26</v>
      </c>
      <c r="N151" s="9" t="n">
        <v>2902.09</v>
      </c>
      <c r="O151" s="9" t="n">
        <v>1829800.94</v>
      </c>
    </row>
    <row r="152" customFormat="false" ht="15" hidden="false" customHeight="false" outlineLevel="0" collapsed="false">
      <c r="A152" s="6" t="n">
        <v>147</v>
      </c>
      <c r="B152" s="5" t="s">
        <v>288</v>
      </c>
      <c r="C152" s="5" t="s">
        <v>371</v>
      </c>
      <c r="D152" s="5" t="s">
        <v>515</v>
      </c>
      <c r="E152" s="5" t="s">
        <v>81</v>
      </c>
      <c r="F152" s="11" t="n">
        <v>13601.08</v>
      </c>
      <c r="G152" s="12" t="n">
        <v>76.2978</v>
      </c>
      <c r="H152" s="12" t="n">
        <v>77.3476</v>
      </c>
      <c r="I152" s="5" t="s">
        <v>78</v>
      </c>
      <c r="J152" s="8" t="n">
        <v>0.48773</v>
      </c>
      <c r="K152" s="13" t="str">
        <f aca="false">IF(J152&gt;0,"прибыль",IF(J152&lt;0,"убыток","ноль"))</f>
        <v>прибыль</v>
      </c>
      <c r="L152" s="13" t="n">
        <f aca="false">IF(C152="",L151,IF(J152&lt;0,L151+1,0))</f>
        <v>0</v>
      </c>
      <c r="M152" s="14" t="n">
        <v>48.77</v>
      </c>
      <c r="N152" s="9" t="n">
        <v>6633.71</v>
      </c>
      <c r="O152" s="9" t="n">
        <v>1836434.65</v>
      </c>
    </row>
    <row r="153" customFormat="false" ht="15" hidden="false" customHeight="false" outlineLevel="0" collapsed="false">
      <c r="A153" s="6" t="n">
        <v>148</v>
      </c>
      <c r="B153" s="5" t="s">
        <v>288</v>
      </c>
      <c r="C153" s="5" t="s">
        <v>515</v>
      </c>
      <c r="D153" s="5" t="s">
        <v>379</v>
      </c>
      <c r="E153" s="5" t="s">
        <v>77</v>
      </c>
      <c r="F153" s="11" t="n">
        <v>0</v>
      </c>
      <c r="G153" s="12" t="n">
        <v>77.3476</v>
      </c>
      <c r="H153" s="12" t="n">
        <v>76.2169</v>
      </c>
      <c r="J153" s="8" t="n">
        <v>-1.13449</v>
      </c>
      <c r="K153" s="13" t="str">
        <f aca="false">IF(J153&gt;0,"прибыль",IF(J153&lt;0,"убыток","ноль"))</f>
        <v>убыток</v>
      </c>
      <c r="L153" s="13" t="n">
        <f aca="false">IF(C153="",L152,IF(J153&lt;0,L152+1,0))</f>
        <v>1</v>
      </c>
      <c r="M153" s="14" t="n">
        <v>-113.45</v>
      </c>
      <c r="N153" s="9" t="n">
        <v>0</v>
      </c>
      <c r="O153" s="9" t="n">
        <v>1836434.65</v>
      </c>
    </row>
    <row r="154" customFormat="false" ht="15" hidden="false" customHeight="false" outlineLevel="0" collapsed="false">
      <c r="A154" s="6" t="n">
        <v>149</v>
      </c>
      <c r="B154" s="5" t="s">
        <v>288</v>
      </c>
      <c r="C154" s="5" t="s">
        <v>379</v>
      </c>
      <c r="D154" s="5" t="s">
        <v>609</v>
      </c>
      <c r="E154" s="5" t="s">
        <v>77</v>
      </c>
      <c r="F154" s="11" t="n">
        <v>3729.38</v>
      </c>
      <c r="G154" s="12" t="n">
        <v>77.3476</v>
      </c>
      <c r="H154" s="12" t="n">
        <v>82.0988</v>
      </c>
      <c r="J154" s="8" t="n">
        <v>4.74712</v>
      </c>
      <c r="K154" s="13" t="str">
        <f aca="false">IF(J154&gt;0,"прибыль",IF(J154&lt;0,"убыток","ноль"))</f>
        <v>прибыль</v>
      </c>
      <c r="L154" s="13" t="n">
        <f aca="false">IF(C154="",L153,IF(J154&lt;0,L153+1,0))</f>
        <v>0</v>
      </c>
      <c r="M154" s="14" t="n">
        <v>474.71</v>
      </c>
      <c r="N154" s="9" t="n">
        <v>17703.8</v>
      </c>
      <c r="O154" s="9" t="n">
        <v>1854138.45</v>
      </c>
    </row>
    <row r="155" customFormat="false" ht="15" hidden="false" customHeight="false" outlineLevel="0" collapsed="false">
      <c r="A155" s="6" t="n">
        <v>150</v>
      </c>
      <c r="B155" s="5" t="s">
        <v>288</v>
      </c>
      <c r="C155" s="5" t="s">
        <v>609</v>
      </c>
      <c r="D155" s="5" t="s">
        <v>610</v>
      </c>
      <c r="E155" s="5" t="s">
        <v>77</v>
      </c>
      <c r="F155" s="11" t="n">
        <v>10204.98</v>
      </c>
      <c r="G155" s="12" t="n">
        <v>77.3476</v>
      </c>
      <c r="H155" s="12" t="n">
        <v>72.764</v>
      </c>
      <c r="I155" s="5" t="s">
        <v>78</v>
      </c>
      <c r="J155" s="8" t="n">
        <v>-3.08962</v>
      </c>
      <c r="K155" s="13" t="str">
        <f aca="false">IF(J155&gt;0,"прибыль",IF(J155&lt;0,"убыток","ноль"))</f>
        <v>убыток</v>
      </c>
      <c r="L155" s="13" t="n">
        <f aca="false">IF(C155="",L154,IF(J155&lt;0,L154+1,0))</f>
        <v>1</v>
      </c>
      <c r="M155" s="14" t="n">
        <v>-308.96</v>
      </c>
      <c r="N155" s="9" t="n">
        <v>-31529.49</v>
      </c>
      <c r="O155" s="9" t="n">
        <v>1822608.97</v>
      </c>
    </row>
    <row r="156" customFormat="false" ht="15" hidden="false" customHeight="false" outlineLevel="0" collapsed="false">
      <c r="A156" s="6" t="n">
        <v>151</v>
      </c>
      <c r="B156" s="5" t="s">
        <v>288</v>
      </c>
      <c r="C156" s="5" t="s">
        <v>610</v>
      </c>
      <c r="D156" s="5" t="s">
        <v>384</v>
      </c>
      <c r="E156" s="5" t="s">
        <v>81</v>
      </c>
      <c r="F156" s="11" t="n">
        <v>3151.56</v>
      </c>
      <c r="G156" s="12" t="n">
        <v>72.764</v>
      </c>
      <c r="H156" s="12" t="n">
        <v>69.6907</v>
      </c>
      <c r="I156" s="5" t="s">
        <v>78</v>
      </c>
      <c r="J156" s="8" t="n">
        <v>0.63195</v>
      </c>
      <c r="K156" s="13" t="str">
        <f aca="false">IF(J156&gt;0,"прибыль",IF(J156&lt;0,"убыток","ноль"))</f>
        <v>прибыль</v>
      </c>
      <c r="L156" s="13" t="n">
        <f aca="false">IF(C156="",L155,IF(J156&lt;0,L155+1,0))</f>
        <v>0</v>
      </c>
      <c r="M156" s="14" t="n">
        <v>63.19</v>
      </c>
      <c r="N156" s="9" t="n">
        <v>1991.61</v>
      </c>
      <c r="O156" s="9" t="n">
        <v>1824600.58</v>
      </c>
    </row>
    <row r="157" customFormat="false" ht="15" hidden="false" customHeight="false" outlineLevel="0" collapsed="false">
      <c r="A157" s="6" t="n">
        <v>152</v>
      </c>
      <c r="B157" s="5" t="s">
        <v>288</v>
      </c>
      <c r="C157" s="5" t="s">
        <v>384</v>
      </c>
      <c r="D157" s="5" t="s">
        <v>385</v>
      </c>
      <c r="E157" s="5" t="s">
        <v>81</v>
      </c>
      <c r="F157" s="11" t="n">
        <v>2722.26</v>
      </c>
      <c r="G157" s="12" t="n">
        <v>70.3261</v>
      </c>
      <c r="H157" s="12" t="n">
        <v>65.1908</v>
      </c>
      <c r="J157" s="8" t="n">
        <v>5.13206</v>
      </c>
      <c r="K157" s="13" t="str">
        <f aca="false">IF(J157&gt;0,"прибыль",IF(J157&lt;0,"убыток","ноль"))</f>
        <v>прибыль</v>
      </c>
      <c r="L157" s="13" t="n">
        <f aca="false">IF(C157="",L156,IF(J157&lt;0,L156+1,0))</f>
        <v>0</v>
      </c>
      <c r="M157" s="14" t="n">
        <v>513.21</v>
      </c>
      <c r="N157" s="9" t="n">
        <v>13970.81</v>
      </c>
      <c r="O157" s="9" t="n">
        <v>1838571.39</v>
      </c>
    </row>
    <row r="158" customFormat="false" ht="15" hidden="false" customHeight="false" outlineLevel="0" collapsed="false">
      <c r="A158" s="6" t="n">
        <v>153</v>
      </c>
      <c r="B158" s="5" t="s">
        <v>288</v>
      </c>
      <c r="C158" s="5" t="s">
        <v>385</v>
      </c>
      <c r="D158" s="5" t="s">
        <v>611</v>
      </c>
      <c r="E158" s="5" t="s">
        <v>81</v>
      </c>
      <c r="F158" s="11" t="n">
        <v>7849.99</v>
      </c>
      <c r="G158" s="12" t="n">
        <v>69.2049</v>
      </c>
      <c r="H158" s="12" t="n">
        <v>65.1279</v>
      </c>
      <c r="I158" s="5" t="s">
        <v>78</v>
      </c>
      <c r="J158" s="8" t="n">
        <v>1.17817</v>
      </c>
      <c r="K158" s="13" t="str">
        <f aca="false">IF(J158&gt;0,"прибыль",IF(J158&lt;0,"убыток","ноль"))</f>
        <v>прибыль</v>
      </c>
      <c r="L158" s="13" t="n">
        <f aca="false">IF(C158="",L157,IF(J158&lt;0,L157+1,0))</f>
        <v>0</v>
      </c>
      <c r="M158" s="14" t="n">
        <v>117.82</v>
      </c>
      <c r="N158" s="9" t="n">
        <v>9248.64</v>
      </c>
      <c r="O158" s="9" t="n">
        <v>1847820.03</v>
      </c>
    </row>
    <row r="159" customFormat="false" ht="15" hidden="false" customHeight="false" outlineLevel="0" collapsed="false">
      <c r="A159" s="6" t="n">
        <v>154</v>
      </c>
      <c r="B159" s="5" t="s">
        <v>288</v>
      </c>
      <c r="C159" s="5" t="s">
        <v>611</v>
      </c>
      <c r="D159" s="5" t="s">
        <v>387</v>
      </c>
      <c r="E159" s="5" t="s">
        <v>77</v>
      </c>
      <c r="F159" s="11" t="n">
        <v>3874.9</v>
      </c>
      <c r="G159" s="12" t="n">
        <v>65.494</v>
      </c>
      <c r="H159" s="12" t="n">
        <v>73.6807</v>
      </c>
      <c r="J159" s="8" t="n">
        <v>8.18056</v>
      </c>
      <c r="K159" s="13" t="str">
        <f aca="false">IF(J159&gt;0,"прибыль",IF(J159&lt;0,"убыток","ноль"))</f>
        <v>прибыль</v>
      </c>
      <c r="L159" s="13" t="n">
        <f aca="false">IF(C159="",L158,IF(J159&lt;0,L158+1,0))</f>
        <v>0</v>
      </c>
      <c r="M159" s="14" t="n">
        <v>818.06</v>
      </c>
      <c r="N159" s="9" t="n">
        <v>31698.84</v>
      </c>
      <c r="O159" s="9" t="n">
        <v>1879518.86</v>
      </c>
    </row>
    <row r="160" customFormat="false" ht="15" hidden="false" customHeight="false" outlineLevel="0" collapsed="false">
      <c r="A160" s="6" t="n">
        <v>155</v>
      </c>
      <c r="B160" s="5" t="s">
        <v>288</v>
      </c>
      <c r="C160" s="5" t="s">
        <v>387</v>
      </c>
      <c r="D160" s="5" t="s">
        <v>388</v>
      </c>
      <c r="E160" s="5" t="s">
        <v>77</v>
      </c>
      <c r="F160" s="11" t="n">
        <v>2732.07</v>
      </c>
      <c r="G160" s="12" t="n">
        <v>65.494</v>
      </c>
      <c r="H160" s="12" t="n">
        <v>74.5287</v>
      </c>
      <c r="J160" s="8" t="n">
        <v>9.03099</v>
      </c>
      <c r="K160" s="13" t="str">
        <f aca="false">IF(J160&gt;0,"прибыль",IF(J160&lt;0,"убыток","ноль"))</f>
        <v>прибыль</v>
      </c>
      <c r="L160" s="13" t="n">
        <f aca="false">IF(C160="",L159,IF(J160&lt;0,L159+1,0))</f>
        <v>0</v>
      </c>
      <c r="M160" s="14" t="n">
        <v>903.1</v>
      </c>
      <c r="N160" s="9" t="n">
        <v>24673.26</v>
      </c>
      <c r="O160" s="9" t="n">
        <v>1904192.12</v>
      </c>
    </row>
    <row r="161" customFormat="false" ht="15" hidden="false" customHeight="false" outlineLevel="0" collapsed="false">
      <c r="A161" s="6" t="n">
        <v>156</v>
      </c>
      <c r="B161" s="5" t="s">
        <v>288</v>
      </c>
      <c r="C161" s="5" t="s">
        <v>388</v>
      </c>
      <c r="D161" s="5" t="s">
        <v>389</v>
      </c>
      <c r="E161" s="5" t="s">
        <v>77</v>
      </c>
      <c r="F161" s="11" t="n">
        <v>1839.81</v>
      </c>
      <c r="G161" s="12" t="n">
        <v>65.494</v>
      </c>
      <c r="H161" s="12" t="n">
        <v>68.647</v>
      </c>
      <c r="J161" s="8" t="n">
        <v>3.14957</v>
      </c>
      <c r="K161" s="13" t="str">
        <f aca="false">IF(J161&gt;0,"прибыль",IF(J161&lt;0,"убыток","ноль"))</f>
        <v>прибыль</v>
      </c>
      <c r="L161" s="13" t="n">
        <f aca="false">IF(C161="",L160,IF(J161&lt;0,L160+1,0))</f>
        <v>0</v>
      </c>
      <c r="M161" s="14" t="n">
        <v>314.96</v>
      </c>
      <c r="N161" s="9" t="n">
        <v>5794.6</v>
      </c>
      <c r="O161" s="9" t="n">
        <v>1909986.72</v>
      </c>
    </row>
    <row r="162" customFormat="false" ht="15" hidden="false" customHeight="false" outlineLevel="0" collapsed="false">
      <c r="A162" s="6" t="n">
        <v>157</v>
      </c>
      <c r="B162" s="5" t="s">
        <v>288</v>
      </c>
      <c r="C162" s="5" t="s">
        <v>389</v>
      </c>
      <c r="D162" s="5" t="s">
        <v>612</v>
      </c>
      <c r="E162" s="5" t="s">
        <v>77</v>
      </c>
      <c r="F162" s="11" t="n">
        <v>14551.98</v>
      </c>
      <c r="G162" s="12" t="n">
        <v>68.729</v>
      </c>
      <c r="H162" s="12" t="n">
        <v>68.4477</v>
      </c>
      <c r="I162" s="5" t="s">
        <v>78</v>
      </c>
      <c r="J162" s="8" t="n">
        <v>2.92165</v>
      </c>
      <c r="K162" s="13" t="str">
        <f aca="false">IF(J162&gt;0,"прибыль",IF(J162&lt;0,"убыток","ноль"))</f>
        <v>прибыль</v>
      </c>
      <c r="L162" s="13" t="n">
        <f aca="false">IF(C162="",L161,IF(J162&lt;0,L161+1,0))</f>
        <v>0</v>
      </c>
      <c r="M162" s="14" t="n">
        <v>292.16</v>
      </c>
      <c r="N162" s="9" t="n">
        <v>42515.74</v>
      </c>
      <c r="O162" s="9" t="n">
        <v>1952502.46</v>
      </c>
    </row>
    <row r="163" customFormat="false" ht="15" hidden="false" customHeight="false" outlineLevel="0" collapsed="false">
      <c r="A163" s="6" t="n">
        <v>158</v>
      </c>
      <c r="B163" s="5" t="s">
        <v>288</v>
      </c>
      <c r="C163" s="5" t="s">
        <v>612</v>
      </c>
      <c r="D163" s="5" t="s">
        <v>613</v>
      </c>
      <c r="E163" s="5" t="s">
        <v>81</v>
      </c>
      <c r="F163" s="11" t="n">
        <v>0</v>
      </c>
      <c r="G163" s="12" t="n">
        <v>68.4477</v>
      </c>
      <c r="H163" s="12" t="n">
        <v>67.3334</v>
      </c>
      <c r="J163" s="8" t="n">
        <v>1.11093</v>
      </c>
      <c r="K163" s="13" t="str">
        <f aca="false">IF(J163&gt;0,"прибыль",IF(J163&lt;0,"убыток","ноль"))</f>
        <v>прибыль</v>
      </c>
      <c r="L163" s="13" t="n">
        <f aca="false">IF(C163="",L162,IF(J163&lt;0,L162+1,0))</f>
        <v>0</v>
      </c>
      <c r="M163" s="14" t="n">
        <v>111.09</v>
      </c>
      <c r="N163" s="9" t="n">
        <v>0</v>
      </c>
      <c r="O163" s="9" t="n">
        <v>1952502.46</v>
      </c>
    </row>
    <row r="164" customFormat="false" ht="15" hidden="false" customHeight="false" outlineLevel="0" collapsed="false">
      <c r="A164" s="6" t="n">
        <v>159</v>
      </c>
      <c r="B164" s="5" t="s">
        <v>288</v>
      </c>
      <c r="C164" s="5" t="s">
        <v>613</v>
      </c>
      <c r="D164" s="5" t="s">
        <v>614</v>
      </c>
      <c r="E164" s="5" t="s">
        <v>81</v>
      </c>
      <c r="F164" s="11" t="n">
        <v>14644.54</v>
      </c>
      <c r="G164" s="12" t="n">
        <v>68.4477</v>
      </c>
      <c r="H164" s="12" t="n">
        <v>68.2004</v>
      </c>
      <c r="J164" s="8" t="n">
        <v>0.24034</v>
      </c>
      <c r="K164" s="13" t="str">
        <f aca="false">IF(J164&gt;0,"прибыль",IF(J164&lt;0,"убыток","ноль"))</f>
        <v>прибыль</v>
      </c>
      <c r="L164" s="13" t="n">
        <f aca="false">IF(C164="",L163,IF(J164&lt;0,L163+1,0))</f>
        <v>0</v>
      </c>
      <c r="M164" s="14" t="n">
        <v>24.03</v>
      </c>
      <c r="N164" s="9" t="n">
        <v>3519.61</v>
      </c>
      <c r="O164" s="9" t="n">
        <v>1956022.07</v>
      </c>
    </row>
    <row r="165" customFormat="false" ht="15" hidden="false" customHeight="false" outlineLevel="0" collapsed="false">
      <c r="A165" s="6" t="n">
        <v>160</v>
      </c>
      <c r="B165" s="5" t="s">
        <v>288</v>
      </c>
      <c r="C165" s="5" t="s">
        <v>614</v>
      </c>
      <c r="D165" s="5" t="s">
        <v>615</v>
      </c>
      <c r="E165" s="5" t="s">
        <v>77</v>
      </c>
      <c r="F165" s="11" t="n">
        <v>3328.54</v>
      </c>
      <c r="G165" s="12" t="n">
        <v>68.2004</v>
      </c>
      <c r="H165" s="12" t="n">
        <v>66.8418</v>
      </c>
      <c r="I165" s="5" t="s">
        <v>78</v>
      </c>
      <c r="J165" s="8" t="n">
        <v>-1.45192</v>
      </c>
      <c r="K165" s="13" t="str">
        <f aca="false">IF(J165&gt;0,"прибыль",IF(J165&lt;0,"убыток","ноль"))</f>
        <v>убыток</v>
      </c>
      <c r="L165" s="13" t="n">
        <f aca="false">IF(C165="",L164,IF(J165&lt;0,L164+1,0))</f>
        <v>1</v>
      </c>
      <c r="M165" s="14" t="n">
        <v>-145.19</v>
      </c>
      <c r="N165" s="9" t="n">
        <v>-4832.78</v>
      </c>
      <c r="O165" s="9" t="n">
        <v>1951189.29</v>
      </c>
    </row>
    <row r="166" customFormat="false" ht="15" hidden="false" customHeight="false" outlineLevel="0" collapsed="false">
      <c r="A166" s="6" t="n">
        <v>161</v>
      </c>
      <c r="B166" s="5" t="s">
        <v>288</v>
      </c>
      <c r="C166" s="5" t="s">
        <v>615</v>
      </c>
      <c r="D166" s="5" t="s">
        <v>616</v>
      </c>
      <c r="E166" s="5" t="s">
        <v>77</v>
      </c>
      <c r="F166" s="11" t="n">
        <v>12235.86</v>
      </c>
      <c r="G166" s="12" t="n">
        <v>68.2904</v>
      </c>
      <c r="H166" s="12" t="n">
        <v>67.1936</v>
      </c>
      <c r="J166" s="8" t="n">
        <v>-1.10366</v>
      </c>
      <c r="K166" s="13" t="str">
        <f aca="false">IF(J166&gt;0,"прибыль",IF(J166&lt;0,"убыток","ноль"))</f>
        <v>убыток</v>
      </c>
      <c r="L166" s="13" t="n">
        <f aca="false">IF(C166="",L165,IF(J166&lt;0,L165+1,0))</f>
        <v>2</v>
      </c>
      <c r="M166" s="14" t="n">
        <v>-110.37</v>
      </c>
      <c r="N166" s="9" t="n">
        <v>-13504.2</v>
      </c>
      <c r="O166" s="9" t="n">
        <v>1937685.09</v>
      </c>
    </row>
    <row r="167" customFormat="false" ht="15" hidden="false" customHeight="false" outlineLevel="0" collapsed="false">
      <c r="A167" s="6" t="n">
        <v>162</v>
      </c>
      <c r="B167" s="5" t="s">
        <v>288</v>
      </c>
      <c r="C167" s="5" t="s">
        <v>616</v>
      </c>
      <c r="D167" s="5" t="s">
        <v>617</v>
      </c>
      <c r="E167" s="5" t="s">
        <v>81</v>
      </c>
      <c r="F167" s="11" t="n">
        <v>12842.74</v>
      </c>
      <c r="G167" s="12" t="n">
        <v>67.1936</v>
      </c>
      <c r="H167" s="12" t="n">
        <v>70.0565</v>
      </c>
      <c r="J167" s="8" t="n">
        <v>-2.86993</v>
      </c>
      <c r="K167" s="13" t="str">
        <f aca="false">IF(J167&gt;0,"прибыль",IF(J167&lt;0,"убыток","ноль"))</f>
        <v>убыток</v>
      </c>
      <c r="L167" s="13" t="n">
        <f aca="false">IF(C167="",L166,IF(J167&lt;0,L166+1,0))</f>
        <v>3</v>
      </c>
      <c r="M167" s="14" t="n">
        <v>-286.99</v>
      </c>
      <c r="N167" s="9" t="n">
        <v>-36857.81</v>
      </c>
      <c r="O167" s="9" t="n">
        <v>1900827.28</v>
      </c>
    </row>
    <row r="168" customFormat="false" ht="15" hidden="false" customHeight="false" outlineLevel="0" collapsed="false">
      <c r="A168" s="6" t="n">
        <v>163</v>
      </c>
      <c r="B168" s="5" t="s">
        <v>288</v>
      </c>
      <c r="C168" s="5" t="s">
        <v>617</v>
      </c>
      <c r="D168" s="5" t="s">
        <v>618</v>
      </c>
      <c r="E168" s="5" t="s">
        <v>77</v>
      </c>
      <c r="F168" s="11" t="n">
        <v>2742.8</v>
      </c>
      <c r="G168" s="12" t="n">
        <v>70.0565</v>
      </c>
      <c r="H168" s="12" t="n">
        <v>67.5848</v>
      </c>
      <c r="J168" s="8" t="n">
        <v>-2.47506</v>
      </c>
      <c r="K168" s="13" t="str">
        <f aca="false">IF(J168&gt;0,"прибыль",IF(J168&lt;0,"убыток","ноль"))</f>
        <v>убыток</v>
      </c>
      <c r="L168" s="13" t="n">
        <f aca="false">IF(C168="",L167,IF(J168&lt;0,L167+1,0))</f>
        <v>4</v>
      </c>
      <c r="M168" s="14" t="n">
        <v>-247.51</v>
      </c>
      <c r="N168" s="9" t="n">
        <v>-6788.6</v>
      </c>
      <c r="O168" s="9" t="n">
        <v>1894038.68</v>
      </c>
    </row>
    <row r="169" customFormat="false" ht="15" hidden="false" customHeight="false" outlineLevel="0" collapsed="false">
      <c r="A169" s="6" t="n">
        <v>164</v>
      </c>
      <c r="B169" s="5" t="s">
        <v>288</v>
      </c>
      <c r="C169" s="5" t="s">
        <v>618</v>
      </c>
      <c r="D169" s="5" t="s">
        <v>619</v>
      </c>
      <c r="E169" s="5" t="s">
        <v>77</v>
      </c>
      <c r="F169" s="11" t="n">
        <v>10597.77</v>
      </c>
      <c r="G169" s="12" t="n">
        <v>70.0565</v>
      </c>
      <c r="H169" s="12" t="n">
        <v>62.2941</v>
      </c>
      <c r="I169" s="5" t="s">
        <v>78</v>
      </c>
      <c r="J169" s="8" t="n">
        <v>-6.42013</v>
      </c>
      <c r="K169" s="13" t="str">
        <f aca="false">IF(J169&gt;0,"прибыль",IF(J169&lt;0,"убыток","ноль"))</f>
        <v>убыток</v>
      </c>
      <c r="L169" s="13" t="n">
        <f aca="false">IF(C169="",L168,IF(J169&lt;0,L168+1,0))</f>
        <v>5</v>
      </c>
      <c r="M169" s="14" t="n">
        <v>-642.01</v>
      </c>
      <c r="N169" s="9" t="n">
        <v>-68039.03</v>
      </c>
      <c r="O169" s="9" t="n">
        <v>1825999.65</v>
      </c>
    </row>
    <row r="170" customFormat="false" ht="15" hidden="false" customHeight="false" outlineLevel="0" collapsed="false">
      <c r="A170" s="6" t="n">
        <v>165</v>
      </c>
      <c r="B170" s="5" t="s">
        <v>288</v>
      </c>
      <c r="C170" s="5" t="s">
        <v>619</v>
      </c>
      <c r="D170" s="5" t="s">
        <v>405</v>
      </c>
      <c r="E170" s="5" t="s">
        <v>81</v>
      </c>
      <c r="F170" s="11" t="n">
        <v>3347.6</v>
      </c>
      <c r="G170" s="12" t="n">
        <v>62.8078</v>
      </c>
      <c r="H170" s="12" t="n">
        <v>61.9493</v>
      </c>
      <c r="I170" s="5" t="s">
        <v>78</v>
      </c>
      <c r="J170" s="8" t="n">
        <v>0.47472</v>
      </c>
      <c r="K170" s="13" t="str">
        <f aca="false">IF(J170&gt;0,"прибыль",IF(J170&lt;0,"убыток","ноль"))</f>
        <v>прибыль</v>
      </c>
      <c r="L170" s="13" t="n">
        <f aca="false">IF(C170="",L169,IF(J170&lt;0,L169+1,0))</f>
        <v>0</v>
      </c>
      <c r="M170" s="14" t="n">
        <v>47.47</v>
      </c>
      <c r="N170" s="9" t="n">
        <v>1589.16</v>
      </c>
      <c r="O170" s="9" t="n">
        <v>1827588.81</v>
      </c>
    </row>
    <row r="171" customFormat="false" ht="15" hidden="false" customHeight="false" outlineLevel="0" collapsed="false">
      <c r="A171" s="6" t="n">
        <v>166</v>
      </c>
      <c r="B171" s="5" t="s">
        <v>288</v>
      </c>
      <c r="C171" s="5" t="s">
        <v>405</v>
      </c>
      <c r="D171" s="5" t="s">
        <v>620</v>
      </c>
      <c r="E171" s="5" t="s">
        <v>81</v>
      </c>
      <c r="F171" s="11" t="n">
        <v>11477.22</v>
      </c>
      <c r="G171" s="12" t="n">
        <v>62.4317</v>
      </c>
      <c r="H171" s="12" t="n">
        <v>64.0956</v>
      </c>
      <c r="I171" s="5" t="s">
        <v>78</v>
      </c>
      <c r="J171" s="8" t="n">
        <v>-2.0326</v>
      </c>
      <c r="K171" s="13" t="str">
        <f aca="false">IF(J171&gt;0,"прибыль",IF(J171&lt;0,"убыток","ноль"))</f>
        <v>убыток</v>
      </c>
      <c r="L171" s="13" t="n">
        <f aca="false">IF(C171="",L170,IF(J171&lt;0,L170+1,0))</f>
        <v>1</v>
      </c>
      <c r="M171" s="14" t="n">
        <v>-203.26</v>
      </c>
      <c r="N171" s="9" t="n">
        <v>-23328.63</v>
      </c>
      <c r="O171" s="9" t="n">
        <v>1804260.17</v>
      </c>
    </row>
    <row r="172" customFormat="false" ht="15" hidden="false" customHeight="false" outlineLevel="0" collapsed="false">
      <c r="A172" s="6" t="n">
        <v>167</v>
      </c>
      <c r="B172" s="5" t="s">
        <v>288</v>
      </c>
      <c r="C172" s="5" t="s">
        <v>620</v>
      </c>
      <c r="D172" s="5" t="s">
        <v>621</v>
      </c>
      <c r="E172" s="5" t="s">
        <v>77</v>
      </c>
      <c r="F172" s="11" t="n">
        <v>2157.43</v>
      </c>
      <c r="G172" s="12" t="n">
        <v>64.0956</v>
      </c>
      <c r="H172" s="12" t="n">
        <v>69.9509</v>
      </c>
      <c r="J172" s="8" t="n">
        <v>5.85186</v>
      </c>
      <c r="K172" s="13" t="str">
        <f aca="false">IF(J172&gt;0,"прибыль",IF(J172&lt;0,"убыток","ноль"))</f>
        <v>прибыль</v>
      </c>
      <c r="L172" s="13" t="n">
        <f aca="false">IF(C172="",L171,IF(J172&lt;0,L171+1,0))</f>
        <v>0</v>
      </c>
      <c r="M172" s="14" t="n">
        <v>585.19</v>
      </c>
      <c r="N172" s="9" t="n">
        <v>12624.96</v>
      </c>
      <c r="O172" s="9" t="n">
        <v>1816885.13</v>
      </c>
    </row>
    <row r="173" customFormat="false" ht="15" hidden="false" customHeight="false" outlineLevel="0" collapsed="false">
      <c r="A173" s="6" t="n">
        <v>168</v>
      </c>
      <c r="B173" s="5" t="s">
        <v>288</v>
      </c>
      <c r="C173" s="5" t="s">
        <v>621</v>
      </c>
      <c r="D173" s="5" t="s">
        <v>409</v>
      </c>
      <c r="E173" s="5" t="s">
        <v>77</v>
      </c>
      <c r="F173" s="11" t="n">
        <v>3295.62</v>
      </c>
      <c r="G173" s="12" t="n">
        <v>64.0956</v>
      </c>
      <c r="H173" s="12" t="n">
        <v>105.4565</v>
      </c>
      <c r="I173" s="5" t="s">
        <v>78</v>
      </c>
      <c r="J173" s="8" t="n">
        <v>39.09604</v>
      </c>
      <c r="K173" s="13" t="str">
        <f aca="false">IF(J173&gt;0,"прибыль",IF(J173&lt;0,"убыток","ноль"))</f>
        <v>прибыль</v>
      </c>
      <c r="L173" s="13" t="n">
        <f aca="false">IF(C173="",L172,IF(J173&lt;0,L172+1,0))</f>
        <v>0</v>
      </c>
      <c r="M173" s="14" t="n">
        <v>3909.6</v>
      </c>
      <c r="N173" s="9" t="n">
        <v>128845.84</v>
      </c>
      <c r="O173" s="9" t="n">
        <v>1945730.97</v>
      </c>
    </row>
    <row r="174" customFormat="false" ht="15" hidden="false" customHeight="false" outlineLevel="0" collapsed="false">
      <c r="A174" s="6" t="n">
        <v>169</v>
      </c>
      <c r="B174" s="5" t="s">
        <v>288</v>
      </c>
      <c r="C174" s="5" t="s">
        <v>409</v>
      </c>
      <c r="D174" s="5" t="s">
        <v>410</v>
      </c>
      <c r="E174" s="5" t="s">
        <v>77</v>
      </c>
      <c r="F174" s="11" t="n">
        <v>1445.7</v>
      </c>
      <c r="G174" s="12" t="n">
        <v>66.3552</v>
      </c>
      <c r="H174" s="12" t="n">
        <v>100.9716</v>
      </c>
      <c r="J174" s="8" t="n">
        <v>34.61129</v>
      </c>
      <c r="K174" s="13" t="str">
        <f aca="false">IF(J174&gt;0,"прибыль",IF(J174&lt;0,"убыток","ноль"))</f>
        <v>прибыль</v>
      </c>
      <c r="L174" s="13" t="n">
        <f aca="false">IF(C174="",L173,IF(J174&lt;0,L173+1,0))</f>
        <v>0</v>
      </c>
      <c r="M174" s="14" t="n">
        <v>3461.13</v>
      </c>
      <c r="N174" s="9" t="n">
        <v>50037.66</v>
      </c>
      <c r="O174" s="9" t="n">
        <v>1995768.63</v>
      </c>
    </row>
    <row r="175" customFormat="false" ht="15" hidden="false" customHeight="false" outlineLevel="0" collapsed="false">
      <c r="A175" s="6" t="n">
        <v>170</v>
      </c>
      <c r="B175" s="5" t="s">
        <v>288</v>
      </c>
      <c r="C175" s="5" t="s">
        <v>410</v>
      </c>
      <c r="D175" s="5" t="s">
        <v>411</v>
      </c>
      <c r="E175" s="5" t="s">
        <v>77</v>
      </c>
      <c r="F175" s="11" t="n">
        <v>698.56</v>
      </c>
      <c r="G175" s="12" t="n">
        <v>66.3552</v>
      </c>
      <c r="H175" s="12" t="n">
        <v>103.702</v>
      </c>
      <c r="J175" s="8" t="n">
        <v>37.34153</v>
      </c>
      <c r="K175" s="13" t="str">
        <f aca="false">IF(J175&gt;0,"прибыль",IF(J175&lt;0,"убыток","ноль"))</f>
        <v>прибыль</v>
      </c>
      <c r="L175" s="13" t="n">
        <f aca="false">IF(C175="",L174,IF(J175&lt;0,L174+1,0))</f>
        <v>0</v>
      </c>
      <c r="M175" s="14" t="n">
        <v>3734.15</v>
      </c>
      <c r="N175" s="9" t="n">
        <v>26085.41</v>
      </c>
      <c r="O175" s="9" t="n">
        <v>2021854.04</v>
      </c>
    </row>
    <row r="176" customFormat="false" ht="15" hidden="false" customHeight="false" outlineLevel="0" collapsed="false">
      <c r="A176" s="6" t="n">
        <v>171</v>
      </c>
      <c r="B176" s="5" t="s">
        <v>288</v>
      </c>
      <c r="C176" s="5" t="s">
        <v>411</v>
      </c>
      <c r="D176" s="5" t="s">
        <v>418</v>
      </c>
      <c r="E176" s="5" t="s">
        <v>77</v>
      </c>
      <c r="F176" s="11" t="n">
        <v>3075.37</v>
      </c>
      <c r="G176" s="12" t="n">
        <v>76.859</v>
      </c>
      <c r="H176" s="12" t="n">
        <v>97.1774</v>
      </c>
      <c r="I176" s="5" t="s">
        <v>78</v>
      </c>
      <c r="J176" s="8" t="n">
        <v>27.10537</v>
      </c>
      <c r="K176" s="13" t="str">
        <f aca="false">IF(J176&gt;0,"прибыль",IF(J176&lt;0,"убыток","ноль"))</f>
        <v>прибыль</v>
      </c>
      <c r="L176" s="13" t="n">
        <f aca="false">IF(C176="",L175,IF(J176&lt;0,L175+1,0))</f>
        <v>0</v>
      </c>
      <c r="M176" s="14" t="n">
        <v>2710.54</v>
      </c>
      <c r="N176" s="9" t="n">
        <v>83358.93</v>
      </c>
      <c r="O176" s="9" t="n">
        <v>2105212.98</v>
      </c>
    </row>
    <row r="177" customFormat="false" ht="15" hidden="false" customHeight="false" outlineLevel="0" collapsed="false">
      <c r="A177" s="6" t="n">
        <v>172</v>
      </c>
      <c r="B177" s="5" t="s">
        <v>288</v>
      </c>
      <c r="C177" s="5" t="s">
        <v>418</v>
      </c>
      <c r="D177" s="5" t="s">
        <v>622</v>
      </c>
      <c r="E177" s="5" t="s">
        <v>81</v>
      </c>
      <c r="F177" s="11" t="n">
        <v>1119.96</v>
      </c>
      <c r="G177" s="12" t="n">
        <v>92.5666</v>
      </c>
      <c r="H177" s="12" t="n">
        <v>84.8639</v>
      </c>
      <c r="I177" s="5" t="s">
        <v>78</v>
      </c>
      <c r="J177" s="8" t="n">
        <v>8.5855</v>
      </c>
      <c r="K177" s="13" t="str">
        <f aca="false">IF(J177&gt;0,"прибыль",IF(J177&lt;0,"убыток","ноль"))</f>
        <v>прибыль</v>
      </c>
      <c r="L177" s="13" t="n">
        <f aca="false">IF(C177="",L176,IF(J177&lt;0,L176+1,0))</f>
        <v>0</v>
      </c>
      <c r="M177" s="14" t="n">
        <v>858.55</v>
      </c>
      <c r="N177" s="9" t="n">
        <v>9615.45</v>
      </c>
      <c r="O177" s="9" t="n">
        <v>2114828.43</v>
      </c>
    </row>
    <row r="178" customFormat="false" ht="15" hidden="false" customHeight="false" outlineLevel="0" collapsed="false">
      <c r="A178" s="6" t="n">
        <v>173</v>
      </c>
      <c r="B178" s="5" t="s">
        <v>288</v>
      </c>
      <c r="C178" s="5" t="s">
        <v>622</v>
      </c>
      <c r="D178" s="5" t="s">
        <v>423</v>
      </c>
      <c r="E178" s="5" t="s">
        <v>81</v>
      </c>
      <c r="F178" s="11" t="n">
        <v>3990.44</v>
      </c>
      <c r="G178" s="12" t="n">
        <v>93.4614</v>
      </c>
      <c r="H178" s="12" t="n">
        <v>98.0783</v>
      </c>
      <c r="J178" s="8" t="n">
        <v>-4.62586</v>
      </c>
      <c r="K178" s="13" t="str">
        <f aca="false">IF(J178&gt;0,"прибыль",IF(J178&lt;0,"убыток","ноль"))</f>
        <v>убыток</v>
      </c>
      <c r="L178" s="13" t="n">
        <f aca="false">IF(C178="",L177,IF(J178&lt;0,L177+1,0))</f>
        <v>1</v>
      </c>
      <c r="M178" s="14" t="n">
        <v>-462.59</v>
      </c>
      <c r="N178" s="9" t="n">
        <v>-18459.18</v>
      </c>
      <c r="O178" s="9" t="n">
        <v>2096369.25</v>
      </c>
    </row>
    <row r="179" customFormat="false" ht="15" hidden="false" customHeight="false" outlineLevel="0" collapsed="false">
      <c r="A179" s="6" t="n">
        <v>174</v>
      </c>
      <c r="B179" s="5" t="s">
        <v>288</v>
      </c>
      <c r="C179" s="5" t="s">
        <v>423</v>
      </c>
      <c r="D179" s="5" t="s">
        <v>424</v>
      </c>
      <c r="E179" s="5" t="s">
        <v>77</v>
      </c>
      <c r="F179" s="11" t="n">
        <v>729.6</v>
      </c>
      <c r="G179" s="12" t="n">
        <v>98.0783</v>
      </c>
      <c r="H179" s="12" t="n">
        <v>83.6583</v>
      </c>
      <c r="I179" s="5" t="s">
        <v>78</v>
      </c>
      <c r="J179" s="8" t="n">
        <v>-9.31946</v>
      </c>
      <c r="K179" s="13" t="str">
        <f aca="false">IF(J179&gt;0,"прибыль",IF(J179&lt;0,"убыток","ноль"))</f>
        <v>убыток</v>
      </c>
      <c r="L179" s="13" t="n">
        <f aca="false">IF(C179="",L178,IF(J179&lt;0,L178+1,0))</f>
        <v>2</v>
      </c>
      <c r="M179" s="14" t="n">
        <v>-931.95</v>
      </c>
      <c r="N179" s="9" t="n">
        <v>-6799.44</v>
      </c>
      <c r="O179" s="9" t="n">
        <v>2089569.81</v>
      </c>
    </row>
    <row r="180" customFormat="false" ht="15" hidden="false" customHeight="false" outlineLevel="0" collapsed="false">
      <c r="A180" s="6" t="n">
        <v>175</v>
      </c>
      <c r="B180" s="5" t="s">
        <v>288</v>
      </c>
      <c r="C180" s="5" t="s">
        <v>424</v>
      </c>
      <c r="D180" s="5" t="s">
        <v>427</v>
      </c>
      <c r="E180" s="5" t="s">
        <v>77</v>
      </c>
      <c r="F180" s="11" t="n">
        <v>1036.15</v>
      </c>
      <c r="G180" s="12" t="n">
        <v>92.4437</v>
      </c>
      <c r="H180" s="12" t="n">
        <v>108.4954</v>
      </c>
      <c r="I180" s="5" t="s">
        <v>78</v>
      </c>
      <c r="J180" s="8" t="n">
        <v>13.87464</v>
      </c>
      <c r="K180" s="13" t="str">
        <f aca="false">IF(J180&gt;0,"прибыль",IF(J180&lt;0,"убыток","ноль"))</f>
        <v>прибыль</v>
      </c>
      <c r="L180" s="13" t="n">
        <f aca="false">IF(C180="",L179,IF(J180&lt;0,L179+1,0))</f>
        <v>0</v>
      </c>
      <c r="M180" s="14" t="n">
        <v>1387.46</v>
      </c>
      <c r="N180" s="9" t="n">
        <v>14376.14</v>
      </c>
      <c r="O180" s="9" t="n">
        <v>2103945.95</v>
      </c>
    </row>
    <row r="181" customFormat="false" ht="15" hidden="false" customHeight="false" outlineLevel="0" collapsed="false">
      <c r="A181" s="6" t="n">
        <v>176</v>
      </c>
      <c r="B181" s="5" t="s">
        <v>288</v>
      </c>
      <c r="D181" s="5" t="s">
        <v>428</v>
      </c>
      <c r="E181" s="5" t="s">
        <v>77</v>
      </c>
      <c r="F181" s="11" t="n">
        <v>3566</v>
      </c>
      <c r="H181" s="12" t="n">
        <v>102.44</v>
      </c>
      <c r="J181" s="8" t="n">
        <v>8.95696</v>
      </c>
      <c r="K181" s="13" t="str">
        <f aca="false">IF(J181&gt;0,"прибыль",IF(J181&lt;0,"убыток","ноль"))</f>
        <v>прибыль</v>
      </c>
      <c r="L181" s="13" t="n">
        <f aca="false">IF(C181="",L180,IF(J181&lt;0,L180+1,0))</f>
        <v>0</v>
      </c>
      <c r="M181" s="14" t="n">
        <v>895.7</v>
      </c>
      <c r="N181" s="9" t="n">
        <v>31940.49</v>
      </c>
      <c r="O181" s="9" t="n">
        <v>2135886.44</v>
      </c>
      <c r="P181" s="5" t="s">
        <v>429</v>
      </c>
    </row>
  </sheetData>
  <autoFilter ref="A5:P1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623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434</v>
      </c>
      <c r="D6" s="5" t="s">
        <v>438</v>
      </c>
      <c r="E6" s="5" t="s">
        <v>77</v>
      </c>
      <c r="F6" s="11" t="n">
        <v>52934.52</v>
      </c>
      <c r="G6" s="12" t="n">
        <v>2.3625</v>
      </c>
      <c r="H6" s="12" t="n">
        <v>2.1916</v>
      </c>
      <c r="J6" s="8" t="n">
        <v>-0.17125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-171.25</v>
      </c>
      <c r="N6" s="9" t="n">
        <v>-9065.19</v>
      </c>
      <c r="O6" s="9" t="n">
        <v>-9065.19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438</v>
      </c>
      <c r="D7" s="5" t="s">
        <v>624</v>
      </c>
      <c r="E7" s="5" t="s">
        <v>77</v>
      </c>
      <c r="F7" s="11" t="n">
        <v>52668.62</v>
      </c>
      <c r="G7" s="12" t="n">
        <v>2.3625</v>
      </c>
      <c r="H7" s="12" t="n">
        <v>2.7587</v>
      </c>
      <c r="I7" s="5" t="s">
        <v>78</v>
      </c>
      <c r="J7" s="8" t="n">
        <v>-0.30022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2</v>
      </c>
      <c r="M7" s="14" t="n">
        <v>-300.22</v>
      </c>
      <c r="N7" s="9" t="n">
        <v>-15812.25</v>
      </c>
      <c r="O7" s="9" t="n">
        <v>-24877.44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624</v>
      </c>
      <c r="D8" s="5" t="s">
        <v>446</v>
      </c>
      <c r="E8" s="5" t="s">
        <v>81</v>
      </c>
      <c r="F8" s="11" t="n">
        <v>24337.48</v>
      </c>
      <c r="G8" s="12" t="n">
        <v>2.7072</v>
      </c>
      <c r="H8" s="12" t="n">
        <v>2.9746</v>
      </c>
      <c r="I8" s="5" t="s">
        <v>78</v>
      </c>
      <c r="J8" s="8" t="n">
        <v>0.38633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386.33</v>
      </c>
      <c r="N8" s="9" t="n">
        <v>9402.24</v>
      </c>
      <c r="O8" s="9" t="n">
        <v>-15475.2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446</v>
      </c>
      <c r="D9" s="5" t="s">
        <v>625</v>
      </c>
      <c r="E9" s="5" t="s">
        <v>81</v>
      </c>
      <c r="F9" s="11" t="n">
        <v>52265.53</v>
      </c>
      <c r="G9" s="12" t="n">
        <v>2.967</v>
      </c>
      <c r="H9" s="12" t="n">
        <v>3.0068</v>
      </c>
      <c r="I9" s="5" t="s">
        <v>78</v>
      </c>
      <c r="J9" s="8" t="n">
        <v>0.05664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56.64</v>
      </c>
      <c r="N9" s="9" t="n">
        <v>2960.28</v>
      </c>
      <c r="O9" s="9" t="n">
        <v>-12514.92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625</v>
      </c>
      <c r="D10" s="5" t="s">
        <v>626</v>
      </c>
      <c r="E10" s="5" t="s">
        <v>81</v>
      </c>
      <c r="F10" s="11" t="n">
        <v>153353.78</v>
      </c>
      <c r="G10" s="12" t="n">
        <v>3.0639</v>
      </c>
      <c r="H10" s="12" t="n">
        <v>3.0957</v>
      </c>
      <c r="I10" s="5" t="s">
        <v>78</v>
      </c>
      <c r="J10" s="8" t="n">
        <v>0.07835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78.35</v>
      </c>
      <c r="N10" s="9" t="n">
        <v>12015.83</v>
      </c>
      <c r="O10" s="9" t="n">
        <v>-499.09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626</v>
      </c>
      <c r="D11" s="5" t="s">
        <v>297</v>
      </c>
      <c r="E11" s="5" t="s">
        <v>77</v>
      </c>
      <c r="F11" s="11" t="n">
        <v>37265.92</v>
      </c>
      <c r="G11" s="12" t="n">
        <v>3.0957</v>
      </c>
      <c r="H11" s="12" t="n">
        <v>3.6742</v>
      </c>
      <c r="I11" s="5" t="s">
        <v>78</v>
      </c>
      <c r="J11" s="8" t="n">
        <v>0.50749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507.49</v>
      </c>
      <c r="N11" s="9" t="n">
        <v>18912.19</v>
      </c>
      <c r="O11" s="9" t="n">
        <v>18413.1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297</v>
      </c>
      <c r="D12" s="5" t="s">
        <v>451</v>
      </c>
      <c r="E12" s="5" t="s">
        <v>77</v>
      </c>
      <c r="F12" s="11" t="n">
        <v>35905.63</v>
      </c>
      <c r="G12" s="12" t="n">
        <v>3.1665</v>
      </c>
      <c r="H12" s="12" t="n">
        <v>4.1776</v>
      </c>
      <c r="I12" s="5" t="s">
        <v>78</v>
      </c>
      <c r="J12" s="8" t="n">
        <v>1.03719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1037.19</v>
      </c>
      <c r="N12" s="9" t="n">
        <v>37241.14</v>
      </c>
      <c r="O12" s="9" t="n">
        <v>55654.24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451</v>
      </c>
      <c r="D13" s="5" t="s">
        <v>452</v>
      </c>
      <c r="E13" s="5" t="s">
        <v>77</v>
      </c>
      <c r="F13" s="11" t="n">
        <v>21144.41</v>
      </c>
      <c r="G13" s="12" t="n">
        <v>3.1402</v>
      </c>
      <c r="H13" s="12" t="n">
        <v>4.9153</v>
      </c>
      <c r="I13" s="5" t="s">
        <v>78</v>
      </c>
      <c r="J13" s="8" t="n">
        <v>1.60903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1609.03</v>
      </c>
      <c r="N13" s="9" t="n">
        <v>34022.01</v>
      </c>
      <c r="O13" s="9" t="n">
        <v>89676.25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452</v>
      </c>
      <c r="D14" s="5" t="s">
        <v>453</v>
      </c>
      <c r="E14" s="5" t="s">
        <v>77</v>
      </c>
      <c r="F14" s="11" t="n">
        <v>19974.59</v>
      </c>
      <c r="G14" s="12" t="n">
        <v>3.306</v>
      </c>
      <c r="H14" s="12" t="n">
        <v>5.6948</v>
      </c>
      <c r="J14" s="8" t="n">
        <v>2.38849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2388.49</v>
      </c>
      <c r="N14" s="9" t="n">
        <v>47709.19</v>
      </c>
      <c r="O14" s="9" t="n">
        <v>137385.44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453</v>
      </c>
      <c r="D15" s="5" t="s">
        <v>454</v>
      </c>
      <c r="E15" s="5" t="s">
        <v>77</v>
      </c>
      <c r="F15" s="11" t="n">
        <v>9538.47</v>
      </c>
      <c r="G15" s="12" t="n">
        <v>3.306</v>
      </c>
      <c r="H15" s="12" t="n">
        <v>5.8046</v>
      </c>
      <c r="I15" s="5" t="s">
        <v>78</v>
      </c>
      <c r="J15" s="8" t="n">
        <v>2.43681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2436.81</v>
      </c>
      <c r="N15" s="9" t="n">
        <v>23243.42</v>
      </c>
      <c r="O15" s="9" t="n">
        <v>160628.86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454</v>
      </c>
      <c r="D16" s="5" t="s">
        <v>455</v>
      </c>
      <c r="E16" s="5" t="s">
        <v>77</v>
      </c>
      <c r="F16" s="11" t="n">
        <v>6815.96</v>
      </c>
      <c r="G16" s="12" t="n">
        <v>3.3675</v>
      </c>
      <c r="H16" s="12" t="n">
        <v>5.9809</v>
      </c>
      <c r="J16" s="8" t="n">
        <v>2.61319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2613.19</v>
      </c>
      <c r="N16" s="9" t="n">
        <v>17811.37</v>
      </c>
      <c r="O16" s="9" t="n">
        <v>178440.23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455</v>
      </c>
      <c r="D17" s="5" t="s">
        <v>627</v>
      </c>
      <c r="E17" s="5" t="s">
        <v>77</v>
      </c>
      <c r="F17" s="11" t="n">
        <v>43228.55</v>
      </c>
      <c r="G17" s="12" t="n">
        <v>3.9017</v>
      </c>
      <c r="H17" s="12" t="n">
        <v>3.8056</v>
      </c>
      <c r="I17" s="5" t="s">
        <v>78</v>
      </c>
      <c r="J17" s="8" t="n">
        <v>-0.53342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1</v>
      </c>
      <c r="M17" s="14" t="n">
        <v>-533.42</v>
      </c>
      <c r="N17" s="9" t="n">
        <v>-23058.88</v>
      </c>
      <c r="O17" s="9" t="n">
        <v>155381.35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627</v>
      </c>
      <c r="D18" s="5" t="s">
        <v>457</v>
      </c>
      <c r="E18" s="5" t="s">
        <v>81</v>
      </c>
      <c r="F18" s="11" t="n">
        <v>26391.71</v>
      </c>
      <c r="G18" s="12" t="n">
        <v>3.7763</v>
      </c>
      <c r="H18" s="12" t="n">
        <v>4.8299</v>
      </c>
      <c r="I18" s="5" t="s">
        <v>78</v>
      </c>
      <c r="J18" s="8" t="n">
        <v>-1.24305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2</v>
      </c>
      <c r="M18" s="14" t="n">
        <v>-1243.05</v>
      </c>
      <c r="N18" s="9" t="n">
        <v>-32806.1</v>
      </c>
      <c r="O18" s="9" t="n">
        <v>122575.24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457</v>
      </c>
      <c r="D19" s="5" t="s">
        <v>458</v>
      </c>
      <c r="E19" s="5" t="s">
        <v>81</v>
      </c>
      <c r="F19" s="11" t="n">
        <v>9129.15</v>
      </c>
      <c r="G19" s="12" t="n">
        <v>3.5872</v>
      </c>
      <c r="H19" s="12" t="n">
        <v>5.4498</v>
      </c>
      <c r="I19" s="5" t="s">
        <v>78</v>
      </c>
      <c r="J19" s="8" t="n">
        <v>-1.79496</v>
      </c>
      <c r="K19" s="13" t="str">
        <f aca="false">IF(J19&gt;0,"прибыль",IF(J19&lt;0,"убыток","ноль"))</f>
        <v>убыток</v>
      </c>
      <c r="L19" s="13" t="n">
        <f aca="false">IF(C19="",L18,IF(J19&lt;0,L18+1,0))</f>
        <v>3</v>
      </c>
      <c r="M19" s="14" t="n">
        <v>-1794.96</v>
      </c>
      <c r="N19" s="9" t="n">
        <v>-16386.46</v>
      </c>
      <c r="O19" s="9" t="n">
        <v>106188.79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458</v>
      </c>
      <c r="D20" s="5" t="s">
        <v>628</v>
      </c>
      <c r="E20" s="5" t="s">
        <v>81</v>
      </c>
      <c r="F20" s="11" t="n">
        <v>51490.51</v>
      </c>
      <c r="G20" s="12" t="n">
        <v>3.9085</v>
      </c>
      <c r="H20" s="12" t="n">
        <v>5.4655</v>
      </c>
      <c r="I20" s="5" t="s">
        <v>78</v>
      </c>
      <c r="J20" s="8" t="n">
        <v>-1.73654</v>
      </c>
      <c r="K20" s="13" t="str">
        <f aca="false">IF(J20&gt;0,"прибыль",IF(J20&lt;0,"убыток","ноль"))</f>
        <v>убыток</v>
      </c>
      <c r="L20" s="13" t="n">
        <f aca="false">IF(C20="",L19,IF(J20&lt;0,L19+1,0))</f>
        <v>4</v>
      </c>
      <c r="M20" s="14" t="n">
        <v>-1736.54</v>
      </c>
      <c r="N20" s="9" t="n">
        <v>-89415.09</v>
      </c>
      <c r="O20" s="9" t="n">
        <v>16773.7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628</v>
      </c>
      <c r="D21" s="5" t="s">
        <v>460</v>
      </c>
      <c r="E21" s="5" t="s">
        <v>77</v>
      </c>
      <c r="F21" s="11" t="n">
        <v>16837.67</v>
      </c>
      <c r="G21" s="12" t="n">
        <v>5.5159</v>
      </c>
      <c r="H21" s="12" t="n">
        <v>7.1895</v>
      </c>
      <c r="J21" s="8" t="n">
        <v>1.67296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1672.96</v>
      </c>
      <c r="N21" s="9" t="n">
        <v>28168.8</v>
      </c>
      <c r="O21" s="9" t="n">
        <v>44942.49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460</v>
      </c>
      <c r="D22" s="5" t="s">
        <v>461</v>
      </c>
      <c r="E22" s="5" t="s">
        <v>77</v>
      </c>
      <c r="F22" s="11" t="n">
        <v>14484.62</v>
      </c>
      <c r="G22" s="12" t="n">
        <v>5.5159</v>
      </c>
      <c r="H22" s="12" t="n">
        <v>6.8356</v>
      </c>
      <c r="J22" s="8" t="n">
        <v>1.31934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1319.34</v>
      </c>
      <c r="N22" s="9" t="n">
        <v>19110.09</v>
      </c>
      <c r="O22" s="9" t="n">
        <v>64052.58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461</v>
      </c>
      <c r="D23" s="5" t="s">
        <v>462</v>
      </c>
      <c r="E23" s="5" t="s">
        <v>77</v>
      </c>
      <c r="F23" s="11" t="n">
        <v>10194.65</v>
      </c>
      <c r="G23" s="12" t="n">
        <v>5.5159</v>
      </c>
      <c r="H23" s="12" t="n">
        <v>7.6313</v>
      </c>
      <c r="I23" s="5" t="s">
        <v>78</v>
      </c>
      <c r="J23" s="8" t="n">
        <v>1.91371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1913.71</v>
      </c>
      <c r="N23" s="9" t="n">
        <v>19509.59</v>
      </c>
      <c r="O23" s="9" t="n">
        <v>83562.17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462</v>
      </c>
      <c r="D24" s="5" t="s">
        <v>463</v>
      </c>
      <c r="E24" s="5" t="s">
        <v>77</v>
      </c>
      <c r="F24" s="11" t="n">
        <v>8123.02</v>
      </c>
      <c r="G24" s="12" t="n">
        <v>6.5125</v>
      </c>
      <c r="H24" s="12" t="n">
        <v>7.4956</v>
      </c>
      <c r="I24" s="5" t="s">
        <v>78</v>
      </c>
      <c r="J24" s="8" t="n">
        <v>1.07365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1073.65</v>
      </c>
      <c r="N24" s="9" t="n">
        <v>8721.29</v>
      </c>
      <c r="O24" s="9" t="n">
        <v>92283.47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463</v>
      </c>
      <c r="D25" s="5" t="s">
        <v>324</v>
      </c>
      <c r="E25" s="5" t="s">
        <v>77</v>
      </c>
      <c r="F25" s="11" t="n">
        <v>7561.6</v>
      </c>
      <c r="G25" s="12" t="n">
        <v>6.3663</v>
      </c>
      <c r="H25" s="12" t="n">
        <v>6.9714</v>
      </c>
      <c r="I25" s="5" t="s">
        <v>78</v>
      </c>
      <c r="J25" s="8" t="n">
        <v>0.26174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261.74</v>
      </c>
      <c r="N25" s="9" t="n">
        <v>1979.16</v>
      </c>
      <c r="O25" s="9" t="n">
        <v>94262.62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324</v>
      </c>
      <c r="D26" s="5" t="s">
        <v>464</v>
      </c>
      <c r="E26" s="5" t="s">
        <v>77</v>
      </c>
      <c r="F26" s="11" t="n">
        <v>5993.27</v>
      </c>
      <c r="G26" s="12" t="n">
        <v>6.7091</v>
      </c>
      <c r="H26" s="12" t="n">
        <v>8.9693</v>
      </c>
      <c r="J26" s="8" t="n">
        <v>2.25982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2259.82</v>
      </c>
      <c r="N26" s="9" t="n">
        <v>13543.7</v>
      </c>
      <c r="O26" s="9" t="n">
        <v>107806.32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464</v>
      </c>
      <c r="D27" s="5" t="s">
        <v>629</v>
      </c>
      <c r="E27" s="5" t="s">
        <v>77</v>
      </c>
      <c r="F27" s="11" t="n">
        <v>32541.69</v>
      </c>
      <c r="G27" s="12" t="n">
        <v>7.5788</v>
      </c>
      <c r="H27" s="12" t="n">
        <v>6.6212</v>
      </c>
      <c r="I27" s="5" t="s">
        <v>78</v>
      </c>
      <c r="J27" s="8" t="n">
        <v>-1.11019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1</v>
      </c>
      <c r="M27" s="14" t="n">
        <v>-1110.19</v>
      </c>
      <c r="N27" s="9" t="n">
        <v>-36127.37</v>
      </c>
      <c r="O27" s="9" t="n">
        <v>71678.95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629</v>
      </c>
      <c r="D28" s="5" t="s">
        <v>466</v>
      </c>
      <c r="E28" s="5" t="s">
        <v>81</v>
      </c>
      <c r="F28" s="11" t="n">
        <v>20380.38</v>
      </c>
      <c r="G28" s="12" t="n">
        <v>6.3778</v>
      </c>
      <c r="H28" s="12" t="n">
        <v>5.7217</v>
      </c>
      <c r="J28" s="8" t="n">
        <v>0.6554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655.4</v>
      </c>
      <c r="N28" s="9" t="n">
        <v>13357.38</v>
      </c>
      <c r="O28" s="9" t="n">
        <v>85036.33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466</v>
      </c>
      <c r="D29" s="5" t="s">
        <v>335</v>
      </c>
      <c r="E29" s="5" t="s">
        <v>81</v>
      </c>
      <c r="F29" s="11" t="n">
        <v>13201.83</v>
      </c>
      <c r="G29" s="12" t="n">
        <v>6.3778</v>
      </c>
      <c r="H29" s="12" t="n">
        <v>6.7698</v>
      </c>
      <c r="I29" s="5" t="s">
        <v>78</v>
      </c>
      <c r="J29" s="8" t="n">
        <v>0.04116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41.16</v>
      </c>
      <c r="N29" s="9" t="n">
        <v>543.33</v>
      </c>
      <c r="O29" s="9" t="n">
        <v>85579.66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335</v>
      </c>
      <c r="D30" s="5" t="s">
        <v>468</v>
      </c>
      <c r="E30" s="5" t="s">
        <v>81</v>
      </c>
      <c r="F30" s="11" t="n">
        <v>9502.13</v>
      </c>
      <c r="G30" s="12" t="n">
        <v>6.5448</v>
      </c>
      <c r="H30" s="12" t="n">
        <v>6.8721</v>
      </c>
      <c r="I30" s="5" t="s">
        <v>78</v>
      </c>
      <c r="J30" s="8" t="n">
        <v>-0.02617</v>
      </c>
      <c r="K30" s="13" t="str">
        <f aca="false">IF(J30&gt;0,"прибыль",IF(J30&lt;0,"убыток","ноль"))</f>
        <v>убыток</v>
      </c>
      <c r="L30" s="13" t="n">
        <f aca="false">IF(C30="",L29,IF(J30&lt;0,L29+1,0))</f>
        <v>1</v>
      </c>
      <c r="M30" s="14" t="n">
        <v>-26.17</v>
      </c>
      <c r="N30" s="9" t="n">
        <v>-248.71</v>
      </c>
      <c r="O30" s="9" t="n">
        <v>85330.95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468</v>
      </c>
      <c r="D31" s="5" t="s">
        <v>469</v>
      </c>
      <c r="E31" s="5" t="s">
        <v>81</v>
      </c>
      <c r="F31" s="11" t="n">
        <v>19432.42</v>
      </c>
      <c r="G31" s="12" t="n">
        <v>4.3041</v>
      </c>
      <c r="H31" s="12" t="n">
        <v>2.8047</v>
      </c>
      <c r="I31" s="5" t="s">
        <v>78</v>
      </c>
      <c r="J31" s="8" t="n">
        <v>2.21897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2218.97</v>
      </c>
      <c r="N31" s="9" t="n">
        <v>43119.94</v>
      </c>
      <c r="O31" s="9" t="n">
        <v>128450.89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469</v>
      </c>
      <c r="D32" s="5" t="s">
        <v>470</v>
      </c>
      <c r="E32" s="5" t="s">
        <v>81</v>
      </c>
      <c r="F32" s="11" t="n">
        <v>31389.61</v>
      </c>
      <c r="G32" s="12" t="n">
        <v>3.2305</v>
      </c>
      <c r="H32" s="12" t="n">
        <v>2.3317</v>
      </c>
      <c r="I32" s="5" t="s">
        <v>78</v>
      </c>
      <c r="J32" s="8" t="n">
        <v>1.30097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1300.97</v>
      </c>
      <c r="N32" s="9" t="n">
        <v>40836.93</v>
      </c>
      <c r="O32" s="9" t="n">
        <v>169287.82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470</v>
      </c>
      <c r="D33" s="5" t="s">
        <v>472</v>
      </c>
      <c r="E33" s="5" t="s">
        <v>81</v>
      </c>
      <c r="F33" s="11" t="n">
        <v>44784.59</v>
      </c>
      <c r="G33" s="12" t="n">
        <v>3.2193</v>
      </c>
      <c r="H33" s="12" t="n">
        <v>2.9849</v>
      </c>
      <c r="I33" s="5" t="s">
        <v>78</v>
      </c>
      <c r="J33" s="8" t="n">
        <v>0.4615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461.5</v>
      </c>
      <c r="N33" s="9" t="n">
        <v>20667.98</v>
      </c>
      <c r="O33" s="9" t="n">
        <v>189955.79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472</v>
      </c>
      <c r="D34" s="5" t="s">
        <v>350</v>
      </c>
      <c r="E34" s="5" t="s">
        <v>81</v>
      </c>
      <c r="F34" s="11" t="n">
        <v>127757.01</v>
      </c>
      <c r="G34" s="12" t="n">
        <v>3.2189</v>
      </c>
      <c r="H34" s="12" t="n">
        <v>3.0005</v>
      </c>
      <c r="I34" s="5" t="s">
        <v>78</v>
      </c>
      <c r="J34" s="8" t="n">
        <v>0.68614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686.14</v>
      </c>
      <c r="N34" s="9" t="n">
        <v>87659.05</v>
      </c>
      <c r="O34" s="9" t="n">
        <v>277614.85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350</v>
      </c>
      <c r="D35" s="5" t="s">
        <v>630</v>
      </c>
      <c r="E35" s="5" t="s">
        <v>77</v>
      </c>
      <c r="F35" s="11" t="n">
        <v>0</v>
      </c>
      <c r="G35" s="12" t="n">
        <v>3.0005</v>
      </c>
      <c r="H35" s="12" t="n">
        <v>3.1658</v>
      </c>
      <c r="J35" s="8" t="n">
        <v>0.16522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165.22</v>
      </c>
      <c r="N35" s="9" t="n">
        <v>0</v>
      </c>
      <c r="O35" s="9" t="n">
        <v>277614.85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630</v>
      </c>
      <c r="D36" s="5" t="s">
        <v>631</v>
      </c>
      <c r="E36" s="5" t="s">
        <v>77</v>
      </c>
      <c r="F36" s="11" t="n">
        <v>30203.69</v>
      </c>
      <c r="G36" s="12" t="n">
        <v>3.0005</v>
      </c>
      <c r="H36" s="12" t="n">
        <v>3.3143</v>
      </c>
      <c r="J36" s="8" t="n">
        <v>0.31371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313.71</v>
      </c>
      <c r="N36" s="9" t="n">
        <v>9475.15</v>
      </c>
      <c r="O36" s="9" t="n">
        <v>287090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631</v>
      </c>
      <c r="D37" s="5" t="s">
        <v>479</v>
      </c>
      <c r="E37" s="5" t="s">
        <v>77</v>
      </c>
      <c r="F37" s="11" t="n">
        <v>33230.66</v>
      </c>
      <c r="G37" s="12" t="n">
        <v>2.9964</v>
      </c>
      <c r="H37" s="12" t="n">
        <v>3.5684</v>
      </c>
      <c r="I37" s="5" t="s">
        <v>78</v>
      </c>
      <c r="J37" s="8" t="n">
        <v>0.40861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408.61</v>
      </c>
      <c r="N37" s="9" t="n">
        <v>13578.52</v>
      </c>
      <c r="O37" s="9" t="n">
        <v>300668.51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479</v>
      </c>
      <c r="D38" s="5" t="s">
        <v>632</v>
      </c>
      <c r="E38" s="5" t="s">
        <v>77</v>
      </c>
      <c r="F38" s="11" t="n">
        <v>147257.07</v>
      </c>
      <c r="G38" s="12" t="n">
        <v>3.0504</v>
      </c>
      <c r="H38" s="12" t="n">
        <v>2.858</v>
      </c>
      <c r="I38" s="5" t="s">
        <v>78</v>
      </c>
      <c r="J38" s="8" t="n">
        <v>-0.26146</v>
      </c>
      <c r="K38" s="13" t="str">
        <f aca="false">IF(J38&gt;0,"прибыль",IF(J38&lt;0,"убыток","ноль"))</f>
        <v>убыток</v>
      </c>
      <c r="L38" s="13" t="n">
        <f aca="false">IF(C38="",L37,IF(J38&lt;0,L37+1,0))</f>
        <v>1</v>
      </c>
      <c r="M38" s="14" t="n">
        <v>-261.46</v>
      </c>
      <c r="N38" s="9" t="n">
        <v>-38501.62</v>
      </c>
      <c r="O38" s="9" t="n">
        <v>262166.89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632</v>
      </c>
      <c r="D39" s="5" t="s">
        <v>486</v>
      </c>
      <c r="E39" s="5" t="s">
        <v>81</v>
      </c>
      <c r="F39" s="11" t="n">
        <v>46349.22</v>
      </c>
      <c r="G39" s="12" t="n">
        <v>2.7625</v>
      </c>
      <c r="H39" s="12" t="n">
        <v>2.5309</v>
      </c>
      <c r="J39" s="8" t="n">
        <v>0.23132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231.32</v>
      </c>
      <c r="N39" s="9" t="n">
        <v>10721.67</v>
      </c>
      <c r="O39" s="9" t="n">
        <v>272888.56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486</v>
      </c>
      <c r="D40" s="5" t="s">
        <v>487</v>
      </c>
      <c r="E40" s="5" t="s">
        <v>81</v>
      </c>
      <c r="F40" s="11" t="n">
        <v>34598.58</v>
      </c>
      <c r="G40" s="12" t="n">
        <v>2.7625</v>
      </c>
      <c r="H40" s="12" t="n">
        <v>2.5838</v>
      </c>
      <c r="J40" s="8" t="n">
        <v>0.17855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178.55</v>
      </c>
      <c r="N40" s="9" t="n">
        <v>6177.42</v>
      </c>
      <c r="O40" s="9" t="n">
        <v>279065.98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487</v>
      </c>
      <c r="D41" s="5" t="s">
        <v>488</v>
      </c>
      <c r="E41" s="5" t="s">
        <v>81</v>
      </c>
      <c r="F41" s="11" t="n">
        <v>29561.11</v>
      </c>
      <c r="G41" s="12" t="n">
        <v>2.7625</v>
      </c>
      <c r="H41" s="12" t="n">
        <v>2.8111</v>
      </c>
      <c r="I41" s="5" t="s">
        <v>78</v>
      </c>
      <c r="J41" s="8" t="n">
        <v>-0.1159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1</v>
      </c>
      <c r="M41" s="14" t="n">
        <v>-115.9</v>
      </c>
      <c r="N41" s="9" t="n">
        <v>-3426.28</v>
      </c>
      <c r="O41" s="9" t="n">
        <v>275639.7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488</v>
      </c>
      <c r="D42" s="5" t="s">
        <v>490</v>
      </c>
      <c r="E42" s="5" t="s">
        <v>81</v>
      </c>
      <c r="F42" s="11" t="n">
        <v>18778.57</v>
      </c>
      <c r="G42" s="12" t="n">
        <v>2.6953</v>
      </c>
      <c r="H42" s="12" t="n">
        <v>2.8365</v>
      </c>
      <c r="J42" s="8" t="n">
        <v>-0.14139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2</v>
      </c>
      <c r="M42" s="14" t="n">
        <v>-141.39</v>
      </c>
      <c r="N42" s="9" t="n">
        <v>-2655.17</v>
      </c>
      <c r="O42" s="9" t="n">
        <v>272984.53</v>
      </c>
    </row>
    <row r="43" customFormat="false" ht="15" hidden="false" customHeight="false" outlineLevel="0" collapsed="false">
      <c r="A43" s="6" t="n">
        <v>38</v>
      </c>
      <c r="B43" s="5" t="s">
        <v>491</v>
      </c>
      <c r="C43" s="5" t="s">
        <v>490</v>
      </c>
      <c r="D43" s="5" t="s">
        <v>492</v>
      </c>
      <c r="E43" s="5" t="s">
        <v>81</v>
      </c>
      <c r="F43" s="11" t="n">
        <v>33224.12</v>
      </c>
      <c r="G43" s="12" t="n">
        <v>2.289</v>
      </c>
      <c r="H43" s="12" t="n">
        <v>2.0333</v>
      </c>
      <c r="I43" s="5" t="s">
        <v>78</v>
      </c>
      <c r="J43" s="8" t="n">
        <v>0.56276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562.76</v>
      </c>
      <c r="N43" s="9" t="n">
        <v>18697.18</v>
      </c>
      <c r="O43" s="9" t="n">
        <v>291681.71</v>
      </c>
    </row>
    <row r="44" customFormat="false" ht="15" hidden="false" customHeight="false" outlineLevel="0" collapsed="false">
      <c r="A44" s="6" t="n">
        <v>39</v>
      </c>
      <c r="B44" s="5" t="s">
        <v>288</v>
      </c>
      <c r="C44" s="5" t="s">
        <v>492</v>
      </c>
      <c r="D44" s="5" t="s">
        <v>493</v>
      </c>
      <c r="E44" s="5" t="s">
        <v>81</v>
      </c>
      <c r="F44" s="11" t="n">
        <v>31668.05</v>
      </c>
      <c r="G44" s="12" t="n">
        <v>2.5965</v>
      </c>
      <c r="H44" s="12" t="n">
        <v>2.6708</v>
      </c>
      <c r="J44" s="8" t="n">
        <v>-0.07448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1</v>
      </c>
      <c r="M44" s="14" t="n">
        <v>-74.48</v>
      </c>
      <c r="N44" s="9" t="n">
        <v>-2358.75</v>
      </c>
      <c r="O44" s="9" t="n">
        <v>289322.96</v>
      </c>
    </row>
    <row r="45" customFormat="false" ht="15" hidden="false" customHeight="false" outlineLevel="0" collapsed="false">
      <c r="A45" s="6" t="n">
        <v>40</v>
      </c>
      <c r="B45" s="5" t="s">
        <v>288</v>
      </c>
      <c r="C45" s="5" t="s">
        <v>493</v>
      </c>
      <c r="D45" s="5" t="s">
        <v>495</v>
      </c>
      <c r="E45" s="5" t="s">
        <v>81</v>
      </c>
      <c r="F45" s="11" t="n">
        <v>89697.17</v>
      </c>
      <c r="G45" s="12" t="n">
        <v>2.5965</v>
      </c>
      <c r="H45" s="12" t="n">
        <v>2.9322</v>
      </c>
      <c r="I45" s="5" t="s">
        <v>78</v>
      </c>
      <c r="J45" s="8" t="n">
        <v>-0.26578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2</v>
      </c>
      <c r="M45" s="14" t="n">
        <v>-265.78</v>
      </c>
      <c r="N45" s="9" t="n">
        <v>-23839.41</v>
      </c>
      <c r="O45" s="9" t="n">
        <v>265483.55</v>
      </c>
    </row>
    <row r="46" customFormat="false" ht="15" hidden="false" customHeight="false" outlineLevel="0" collapsed="false">
      <c r="A46" s="6" t="n">
        <v>41</v>
      </c>
      <c r="B46" s="5" t="s">
        <v>288</v>
      </c>
      <c r="C46" s="5" t="s">
        <v>495</v>
      </c>
      <c r="D46" s="5" t="s">
        <v>367</v>
      </c>
      <c r="E46" s="5" t="s">
        <v>77</v>
      </c>
      <c r="F46" s="11" t="n">
        <v>0</v>
      </c>
      <c r="G46" s="12" t="n">
        <v>2.9322</v>
      </c>
      <c r="H46" s="12" t="n">
        <v>2.8221</v>
      </c>
      <c r="J46" s="8" t="n">
        <v>-0.11023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3</v>
      </c>
      <c r="M46" s="14" t="n">
        <v>-110.23</v>
      </c>
      <c r="N46" s="9" t="n">
        <v>0</v>
      </c>
      <c r="O46" s="9" t="n">
        <v>265483.55</v>
      </c>
    </row>
    <row r="47" customFormat="false" ht="15" hidden="false" customHeight="false" outlineLevel="0" collapsed="false">
      <c r="A47" s="6" t="n">
        <v>42</v>
      </c>
      <c r="B47" s="5" t="s">
        <v>288</v>
      </c>
      <c r="C47" s="5" t="s">
        <v>367</v>
      </c>
      <c r="D47" s="5" t="s">
        <v>633</v>
      </c>
      <c r="E47" s="5" t="s">
        <v>77</v>
      </c>
      <c r="F47" s="11" t="n">
        <v>111117.83</v>
      </c>
      <c r="G47" s="12" t="n">
        <v>2.7766</v>
      </c>
      <c r="H47" s="12" t="n">
        <v>2.3421</v>
      </c>
      <c r="I47" s="5" t="s">
        <v>78</v>
      </c>
      <c r="J47" s="8" t="n">
        <v>-0.44091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4</v>
      </c>
      <c r="M47" s="14" t="n">
        <v>-440.91</v>
      </c>
      <c r="N47" s="9" t="n">
        <v>-48992.64</v>
      </c>
      <c r="O47" s="9" t="n">
        <v>216490.91</v>
      </c>
    </row>
    <row r="48" customFormat="false" ht="15" hidden="false" customHeight="false" outlineLevel="0" collapsed="false">
      <c r="A48" s="6" t="n">
        <v>43</v>
      </c>
      <c r="B48" s="5" t="s">
        <v>288</v>
      </c>
      <c r="C48" s="5" t="s">
        <v>633</v>
      </c>
      <c r="D48" s="5" t="s">
        <v>634</v>
      </c>
      <c r="E48" s="5" t="s">
        <v>81</v>
      </c>
      <c r="F48" s="11" t="n">
        <v>36083.66</v>
      </c>
      <c r="G48" s="12" t="n">
        <v>2.2463</v>
      </c>
      <c r="H48" s="12" t="n">
        <v>2.3897</v>
      </c>
      <c r="I48" s="5" t="s">
        <v>78</v>
      </c>
      <c r="J48" s="8" t="n">
        <v>0.22446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224.46</v>
      </c>
      <c r="N48" s="9" t="n">
        <v>8099.5</v>
      </c>
      <c r="O48" s="9" t="n">
        <v>224590.41</v>
      </c>
    </row>
    <row r="49" customFormat="false" ht="15" hidden="false" customHeight="false" outlineLevel="0" collapsed="false">
      <c r="A49" s="6" t="n">
        <v>44</v>
      </c>
      <c r="B49" s="5" t="s">
        <v>288</v>
      </c>
      <c r="C49" s="5" t="s">
        <v>634</v>
      </c>
      <c r="D49" s="5" t="s">
        <v>506</v>
      </c>
      <c r="E49" s="5" t="s">
        <v>81</v>
      </c>
      <c r="F49" s="11" t="n">
        <v>29894.99</v>
      </c>
      <c r="G49" s="12" t="n">
        <v>2.5423</v>
      </c>
      <c r="H49" s="12" t="n">
        <v>2.9619</v>
      </c>
      <c r="I49" s="5" t="s">
        <v>78</v>
      </c>
      <c r="J49" s="8" t="n">
        <v>0.37683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376.83</v>
      </c>
      <c r="N49" s="9" t="n">
        <v>11265.31</v>
      </c>
      <c r="O49" s="9" t="n">
        <v>235855.72</v>
      </c>
    </row>
    <row r="50" customFormat="false" ht="15" hidden="false" customHeight="false" outlineLevel="0" collapsed="false">
      <c r="A50" s="6" t="n">
        <v>45</v>
      </c>
      <c r="B50" s="5" t="s">
        <v>288</v>
      </c>
      <c r="C50" s="5" t="s">
        <v>506</v>
      </c>
      <c r="D50" s="5" t="s">
        <v>635</v>
      </c>
      <c r="E50" s="5" t="s">
        <v>81</v>
      </c>
      <c r="F50" s="11" t="n">
        <v>16199.59</v>
      </c>
      <c r="G50" s="12" t="n">
        <v>3.3389</v>
      </c>
      <c r="H50" s="12" t="n">
        <v>3.3776</v>
      </c>
      <c r="J50" s="8" t="n">
        <v>-0.03887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1</v>
      </c>
      <c r="M50" s="14" t="n">
        <v>-38.87</v>
      </c>
      <c r="N50" s="9" t="n">
        <v>-629.61</v>
      </c>
      <c r="O50" s="9" t="n">
        <v>235226.1</v>
      </c>
    </row>
    <row r="51" customFormat="false" ht="15" hidden="false" customHeight="false" outlineLevel="0" collapsed="false">
      <c r="A51" s="6" t="n">
        <v>46</v>
      </c>
      <c r="B51" s="5" t="s">
        <v>288</v>
      </c>
      <c r="C51" s="5" t="s">
        <v>635</v>
      </c>
      <c r="D51" s="5" t="s">
        <v>636</v>
      </c>
      <c r="E51" s="5" t="s">
        <v>81</v>
      </c>
      <c r="F51" s="11" t="n">
        <v>60484.11</v>
      </c>
      <c r="G51" s="12" t="n">
        <v>3.3389</v>
      </c>
      <c r="H51" s="12" t="n">
        <v>3.836</v>
      </c>
      <c r="I51" s="5" t="s">
        <v>78</v>
      </c>
      <c r="J51" s="8" t="n">
        <v>-0.50244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2</v>
      </c>
      <c r="M51" s="14" t="n">
        <v>-502.44</v>
      </c>
      <c r="N51" s="9" t="n">
        <v>-30389.52</v>
      </c>
      <c r="O51" s="9" t="n">
        <v>204836.58</v>
      </c>
    </row>
    <row r="52" customFormat="false" ht="15" hidden="false" customHeight="false" outlineLevel="0" collapsed="false">
      <c r="A52" s="6" t="n">
        <v>47</v>
      </c>
      <c r="B52" s="5" t="s">
        <v>288</v>
      </c>
      <c r="C52" s="5" t="s">
        <v>636</v>
      </c>
      <c r="D52" s="5" t="s">
        <v>378</v>
      </c>
      <c r="E52" s="5" t="s">
        <v>77</v>
      </c>
      <c r="F52" s="11" t="n">
        <v>17593.32</v>
      </c>
      <c r="G52" s="12" t="n">
        <v>3.836</v>
      </c>
      <c r="H52" s="12" t="n">
        <v>3.6566</v>
      </c>
      <c r="I52" s="5" t="s">
        <v>78</v>
      </c>
      <c r="J52" s="8" t="n">
        <v>0.15076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150.76</v>
      </c>
      <c r="N52" s="9" t="n">
        <v>2652.3</v>
      </c>
      <c r="O52" s="9" t="n">
        <v>207488.88</v>
      </c>
    </row>
    <row r="53" customFormat="false" ht="15" hidden="false" customHeight="false" outlineLevel="0" collapsed="false">
      <c r="A53" s="6" t="n">
        <v>48</v>
      </c>
      <c r="B53" s="5" t="s">
        <v>288</v>
      </c>
      <c r="C53" s="5" t="s">
        <v>378</v>
      </c>
      <c r="D53" s="5" t="s">
        <v>515</v>
      </c>
      <c r="E53" s="5" t="s">
        <v>77</v>
      </c>
      <c r="F53" s="11" t="n">
        <v>10722.28</v>
      </c>
      <c r="G53" s="12" t="n">
        <v>3.5056</v>
      </c>
      <c r="H53" s="12" t="n">
        <v>3.598</v>
      </c>
      <c r="J53" s="8" t="n">
        <v>0.09219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92.19</v>
      </c>
      <c r="N53" s="9" t="n">
        <v>988.48</v>
      </c>
      <c r="O53" s="9" t="n">
        <v>208477.36</v>
      </c>
    </row>
    <row r="54" customFormat="false" ht="15" hidden="false" customHeight="false" outlineLevel="0" collapsed="false">
      <c r="A54" s="6" t="n">
        <v>49</v>
      </c>
      <c r="B54" s="5" t="s">
        <v>288</v>
      </c>
      <c r="C54" s="5" t="s">
        <v>515</v>
      </c>
      <c r="D54" s="5" t="s">
        <v>516</v>
      </c>
      <c r="E54" s="5" t="s">
        <v>77</v>
      </c>
      <c r="F54" s="11" t="n">
        <v>10814.88</v>
      </c>
      <c r="G54" s="12" t="n">
        <v>3.5143</v>
      </c>
      <c r="H54" s="12" t="n">
        <v>4.352</v>
      </c>
      <c r="I54" s="5" t="s">
        <v>78</v>
      </c>
      <c r="J54" s="8" t="n">
        <v>1.08951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1089.51</v>
      </c>
      <c r="N54" s="9" t="n">
        <v>11782.88</v>
      </c>
      <c r="O54" s="9" t="n">
        <v>220260.25</v>
      </c>
    </row>
    <row r="55" customFormat="false" ht="15" hidden="false" customHeight="false" outlineLevel="0" collapsed="false">
      <c r="A55" s="6" t="n">
        <v>50</v>
      </c>
      <c r="B55" s="5" t="s">
        <v>288</v>
      </c>
      <c r="C55" s="5" t="s">
        <v>516</v>
      </c>
      <c r="D55" s="5" t="s">
        <v>521</v>
      </c>
      <c r="E55" s="5" t="s">
        <v>77</v>
      </c>
      <c r="F55" s="11" t="n">
        <v>71239.28</v>
      </c>
      <c r="G55" s="12" t="n">
        <v>3.5193</v>
      </c>
      <c r="H55" s="12" t="n">
        <v>3.6253</v>
      </c>
      <c r="I55" s="5" t="s">
        <v>78</v>
      </c>
      <c r="J55" s="8" t="n">
        <v>-0.2518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1</v>
      </c>
      <c r="M55" s="14" t="n">
        <v>-251.8</v>
      </c>
      <c r="N55" s="9" t="n">
        <v>-17937.84</v>
      </c>
      <c r="O55" s="9" t="n">
        <v>202322.4</v>
      </c>
    </row>
    <row r="56" customFormat="false" ht="15" hidden="false" customHeight="false" outlineLevel="0" collapsed="false">
      <c r="A56" s="6" t="n">
        <v>51</v>
      </c>
      <c r="B56" s="5" t="s">
        <v>288</v>
      </c>
      <c r="C56" s="5" t="s">
        <v>521</v>
      </c>
      <c r="D56" s="5" t="s">
        <v>525</v>
      </c>
      <c r="E56" s="5" t="s">
        <v>81</v>
      </c>
      <c r="F56" s="11" t="n">
        <v>17509.21</v>
      </c>
      <c r="G56" s="12" t="n">
        <v>3.6369</v>
      </c>
      <c r="H56" s="12" t="n">
        <v>3.3706</v>
      </c>
      <c r="J56" s="8" t="n">
        <v>0.2659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265.9</v>
      </c>
      <c r="N56" s="9" t="n">
        <v>4655.68</v>
      </c>
      <c r="O56" s="9" t="n">
        <v>206978.09</v>
      </c>
    </row>
    <row r="57" customFormat="false" ht="15" hidden="false" customHeight="false" outlineLevel="0" collapsed="false">
      <c r="A57" s="6" t="n">
        <v>52</v>
      </c>
      <c r="B57" s="5" t="s">
        <v>288</v>
      </c>
      <c r="C57" s="5" t="s">
        <v>525</v>
      </c>
      <c r="D57" s="5" t="s">
        <v>398</v>
      </c>
      <c r="E57" s="5" t="s">
        <v>81</v>
      </c>
      <c r="F57" s="11" t="n">
        <v>35758.43</v>
      </c>
      <c r="G57" s="12" t="n">
        <v>2.9256</v>
      </c>
      <c r="H57" s="12" t="n">
        <v>3.4499</v>
      </c>
      <c r="I57" s="5" t="s">
        <v>78</v>
      </c>
      <c r="J57" s="8" t="n">
        <v>0.59998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599.98</v>
      </c>
      <c r="N57" s="9" t="n">
        <v>21454.45</v>
      </c>
      <c r="O57" s="9" t="n">
        <v>228432.54</v>
      </c>
    </row>
    <row r="58" customFormat="false" ht="15" hidden="false" customHeight="false" outlineLevel="0" collapsed="false">
      <c r="A58" s="6" t="n">
        <v>53</v>
      </c>
      <c r="B58" s="5" t="s">
        <v>288</v>
      </c>
      <c r="C58" s="5" t="s">
        <v>398</v>
      </c>
      <c r="D58" s="5" t="s">
        <v>530</v>
      </c>
      <c r="E58" s="5" t="s">
        <v>81</v>
      </c>
      <c r="F58" s="11" t="n">
        <v>38163.98</v>
      </c>
      <c r="G58" s="12" t="n">
        <v>4.0506</v>
      </c>
      <c r="H58" s="12" t="n">
        <v>3.3948</v>
      </c>
      <c r="J58" s="8" t="n">
        <v>0.65563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655.63</v>
      </c>
      <c r="N58" s="9" t="n">
        <v>25021.56</v>
      </c>
      <c r="O58" s="9" t="n">
        <v>253454.1</v>
      </c>
    </row>
    <row r="59" customFormat="false" ht="15" hidden="false" customHeight="false" outlineLevel="0" collapsed="false">
      <c r="A59" s="6" t="n">
        <v>54</v>
      </c>
      <c r="B59" s="5" t="s">
        <v>288</v>
      </c>
      <c r="C59" s="5" t="s">
        <v>530</v>
      </c>
      <c r="D59" s="5" t="s">
        <v>402</v>
      </c>
      <c r="E59" s="5" t="s">
        <v>81</v>
      </c>
      <c r="F59" s="11" t="n">
        <v>89880.35</v>
      </c>
      <c r="G59" s="12" t="n">
        <v>4.0319</v>
      </c>
      <c r="H59" s="12" t="n">
        <v>4.5382</v>
      </c>
      <c r="I59" s="5" t="s">
        <v>78</v>
      </c>
      <c r="J59" s="8" t="n">
        <v>0.08485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84.85</v>
      </c>
      <c r="N59" s="9" t="n">
        <v>7626.28</v>
      </c>
      <c r="O59" s="9" t="n">
        <v>261080.38</v>
      </c>
    </row>
    <row r="60" customFormat="false" ht="15" hidden="false" customHeight="false" outlineLevel="0" collapsed="false">
      <c r="A60" s="6" t="n">
        <v>55</v>
      </c>
      <c r="B60" s="5" t="s">
        <v>288</v>
      </c>
      <c r="C60" s="5" t="s">
        <v>402</v>
      </c>
      <c r="D60" s="5" t="s">
        <v>533</v>
      </c>
      <c r="E60" s="5" t="s">
        <v>77</v>
      </c>
      <c r="F60" s="11" t="n">
        <v>30153.39</v>
      </c>
      <c r="G60" s="12" t="n">
        <v>4.5382</v>
      </c>
      <c r="H60" s="12" t="n">
        <v>4.8374</v>
      </c>
      <c r="I60" s="5" t="s">
        <v>78</v>
      </c>
      <c r="J60" s="8" t="n">
        <v>0.34883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348.83</v>
      </c>
      <c r="N60" s="9" t="n">
        <v>10518.52</v>
      </c>
      <c r="O60" s="9" t="n">
        <v>271598.9</v>
      </c>
    </row>
    <row r="61" customFormat="false" ht="15" hidden="false" customHeight="false" outlineLevel="0" collapsed="false">
      <c r="A61" s="6" t="n">
        <v>56</v>
      </c>
      <c r="B61" s="5" t="s">
        <v>288</v>
      </c>
      <c r="C61" s="5" t="s">
        <v>533</v>
      </c>
      <c r="D61" s="5" t="s">
        <v>536</v>
      </c>
      <c r="E61" s="5" t="s">
        <v>77</v>
      </c>
      <c r="F61" s="11" t="n">
        <v>19495.46</v>
      </c>
      <c r="G61" s="12" t="n">
        <v>4.4884</v>
      </c>
      <c r="H61" s="12" t="n">
        <v>4.3985</v>
      </c>
      <c r="J61" s="8" t="n">
        <v>-0.09007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1</v>
      </c>
      <c r="M61" s="14" t="n">
        <v>-90.07</v>
      </c>
      <c r="N61" s="9" t="n">
        <v>-1755.99</v>
      </c>
      <c r="O61" s="9" t="n">
        <v>269842.91</v>
      </c>
    </row>
    <row r="62" customFormat="false" ht="15" hidden="false" customHeight="false" outlineLevel="0" collapsed="false">
      <c r="A62" s="6" t="n">
        <v>57</v>
      </c>
      <c r="B62" s="5" t="s">
        <v>288</v>
      </c>
      <c r="C62" s="5" t="s">
        <v>536</v>
      </c>
      <c r="D62" s="5" t="s">
        <v>637</v>
      </c>
      <c r="E62" s="5" t="s">
        <v>77</v>
      </c>
      <c r="F62" s="11" t="n">
        <v>60459.97</v>
      </c>
      <c r="G62" s="12" t="n">
        <v>4.3648</v>
      </c>
      <c r="H62" s="12" t="n">
        <v>3.1192</v>
      </c>
      <c r="I62" s="5" t="s">
        <v>78</v>
      </c>
      <c r="J62" s="8" t="n">
        <v>-0.84817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2</v>
      </c>
      <c r="M62" s="14" t="n">
        <v>-848.17</v>
      </c>
      <c r="N62" s="9" t="n">
        <v>-51280.24</v>
      </c>
      <c r="O62" s="9" t="n">
        <v>218562.67</v>
      </c>
    </row>
    <row r="63" customFormat="false" ht="15" hidden="false" customHeight="false" outlineLevel="0" collapsed="false">
      <c r="A63" s="6" t="n">
        <v>58</v>
      </c>
      <c r="B63" s="5" t="s">
        <v>288</v>
      </c>
      <c r="C63" s="5" t="s">
        <v>637</v>
      </c>
      <c r="D63" s="5" t="s">
        <v>539</v>
      </c>
      <c r="E63" s="5" t="s">
        <v>81</v>
      </c>
      <c r="F63" s="11" t="n">
        <v>13425.08</v>
      </c>
      <c r="G63" s="12" t="n">
        <v>3.1192</v>
      </c>
      <c r="H63" s="12" t="n">
        <v>3.6836</v>
      </c>
      <c r="J63" s="8" t="n">
        <v>-0.56454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3</v>
      </c>
      <c r="M63" s="14" t="n">
        <v>-564.54</v>
      </c>
      <c r="N63" s="9" t="n">
        <v>-7579.01</v>
      </c>
      <c r="O63" s="9" t="n">
        <v>210983.66</v>
      </c>
    </row>
    <row r="64" customFormat="false" ht="15" hidden="false" customHeight="false" outlineLevel="0" collapsed="false">
      <c r="A64" s="6" t="n">
        <v>59</v>
      </c>
      <c r="B64" s="5" t="s">
        <v>288</v>
      </c>
      <c r="C64" s="5" t="s">
        <v>539</v>
      </c>
      <c r="D64" s="5" t="s">
        <v>540</v>
      </c>
      <c r="E64" s="5" t="s">
        <v>81</v>
      </c>
      <c r="F64" s="11" t="n">
        <v>22014.04</v>
      </c>
      <c r="G64" s="12" t="n">
        <v>3.1192</v>
      </c>
      <c r="H64" s="12" t="n">
        <v>5.3642</v>
      </c>
      <c r="J64" s="8" t="n">
        <v>-2.24522</v>
      </c>
      <c r="K64" s="13" t="str">
        <f aca="false">IF(J64&gt;0,"прибыль",IF(J64&lt;0,"убыток","ноль"))</f>
        <v>убыток</v>
      </c>
      <c r="L64" s="13" t="n">
        <f aca="false">IF(C64="",L63,IF(J64&lt;0,L63+1,0))</f>
        <v>4</v>
      </c>
      <c r="M64" s="14" t="n">
        <v>-2245.22</v>
      </c>
      <c r="N64" s="9" t="n">
        <v>-49426.44</v>
      </c>
      <c r="O64" s="9" t="n">
        <v>161557.22</v>
      </c>
    </row>
    <row r="65" customFormat="false" ht="15" hidden="false" customHeight="false" outlineLevel="0" collapsed="false">
      <c r="A65" s="6" t="n">
        <v>60</v>
      </c>
      <c r="B65" s="5" t="s">
        <v>288</v>
      </c>
      <c r="C65" s="5" t="s">
        <v>540</v>
      </c>
      <c r="D65" s="5" t="s">
        <v>638</v>
      </c>
      <c r="E65" s="5" t="s">
        <v>81</v>
      </c>
      <c r="F65" s="11" t="n">
        <v>22877.81</v>
      </c>
      <c r="G65" s="12" t="n">
        <v>3.1192</v>
      </c>
      <c r="H65" s="12" t="n">
        <v>4.8019</v>
      </c>
      <c r="J65" s="8" t="n">
        <v>-1.68317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5</v>
      </c>
      <c r="M65" s="14" t="n">
        <v>-1683.17</v>
      </c>
      <c r="N65" s="9" t="n">
        <v>-38507.2</v>
      </c>
      <c r="O65" s="9" t="n">
        <v>123050.02</v>
      </c>
    </row>
    <row r="66" customFormat="false" ht="15" hidden="false" customHeight="false" outlineLevel="0" collapsed="false">
      <c r="A66" s="6" t="n">
        <v>61</v>
      </c>
      <c r="B66" s="5" t="s">
        <v>288</v>
      </c>
      <c r="C66" s="5" t="s">
        <v>638</v>
      </c>
      <c r="D66" s="5" t="s">
        <v>541</v>
      </c>
      <c r="E66" s="5" t="s">
        <v>77</v>
      </c>
      <c r="F66" s="11" t="n">
        <v>8390.77</v>
      </c>
      <c r="G66" s="12" t="n">
        <v>4.8019</v>
      </c>
      <c r="H66" s="12" t="n">
        <v>6.5138</v>
      </c>
      <c r="J66" s="8" t="n">
        <v>1.71158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1711.58</v>
      </c>
      <c r="N66" s="9" t="n">
        <v>14361.46</v>
      </c>
      <c r="O66" s="9" t="n">
        <v>137411.48</v>
      </c>
    </row>
    <row r="67" customFormat="false" ht="15" hidden="false" customHeight="false" outlineLevel="0" collapsed="false">
      <c r="A67" s="6" t="n">
        <v>62</v>
      </c>
      <c r="B67" s="5" t="s">
        <v>288</v>
      </c>
      <c r="C67" s="5" t="s">
        <v>541</v>
      </c>
      <c r="D67" s="5" t="s">
        <v>542</v>
      </c>
      <c r="E67" s="5" t="s">
        <v>77</v>
      </c>
      <c r="F67" s="11" t="n">
        <v>31750.08</v>
      </c>
      <c r="G67" s="12" t="n">
        <v>5.1857</v>
      </c>
      <c r="H67" s="12" t="n">
        <v>3.2783</v>
      </c>
      <c r="I67" s="5" t="s">
        <v>78</v>
      </c>
      <c r="J67" s="8" t="n">
        <v>0.43763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437.63</v>
      </c>
      <c r="N67" s="9" t="n">
        <v>13894.89</v>
      </c>
      <c r="O67" s="9" t="n">
        <v>151306.37</v>
      </c>
    </row>
    <row r="68" customFormat="false" ht="15" hidden="false" customHeight="false" outlineLevel="0" collapsed="false">
      <c r="A68" s="6" t="n">
        <v>63</v>
      </c>
      <c r="B68" s="5" t="s">
        <v>288</v>
      </c>
      <c r="C68" s="5" t="s">
        <v>542</v>
      </c>
      <c r="D68" s="5" t="s">
        <v>639</v>
      </c>
      <c r="E68" s="5" t="s">
        <v>77</v>
      </c>
      <c r="F68" s="11" t="n">
        <v>202140.11</v>
      </c>
      <c r="G68" s="12" t="n">
        <v>2.7294</v>
      </c>
      <c r="H68" s="12" t="n">
        <v>2.5788</v>
      </c>
      <c r="I68" s="5" t="s">
        <v>78</v>
      </c>
      <c r="J68" s="8" t="n">
        <v>-0.24739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1</v>
      </c>
      <c r="M68" s="14" t="n">
        <v>-247.39</v>
      </c>
      <c r="N68" s="9" t="n">
        <v>-50007.76</v>
      </c>
      <c r="O68" s="9" t="n">
        <v>101298.61</v>
      </c>
    </row>
    <row r="69" customFormat="false" ht="15" hidden="false" customHeight="false" outlineLevel="0" collapsed="false">
      <c r="A69" s="6" t="n">
        <v>64</v>
      </c>
      <c r="B69" s="5" t="s">
        <v>288</v>
      </c>
      <c r="C69" s="5" t="s">
        <v>639</v>
      </c>
      <c r="D69" s="5" t="s">
        <v>413</v>
      </c>
      <c r="E69" s="5" t="s">
        <v>81</v>
      </c>
      <c r="F69" s="11" t="n">
        <v>52863.63</v>
      </c>
      <c r="G69" s="12" t="n">
        <v>2.5788</v>
      </c>
      <c r="H69" s="12" t="n">
        <v>2.9505</v>
      </c>
      <c r="I69" s="5" t="s">
        <v>78</v>
      </c>
      <c r="J69" s="8" t="n">
        <v>-0.20388</v>
      </c>
      <c r="K69" s="13" t="str">
        <f aca="false">IF(J69&gt;0,"прибыль",IF(J69&lt;0,"убыток","ноль"))</f>
        <v>убыток</v>
      </c>
      <c r="L69" s="13" t="n">
        <f aca="false">IF(C69="",L68,IF(J69&lt;0,L68+1,0))</f>
        <v>2</v>
      </c>
      <c r="M69" s="14" t="n">
        <v>-203.88</v>
      </c>
      <c r="N69" s="9" t="n">
        <v>-10777.8</v>
      </c>
      <c r="O69" s="9" t="n">
        <v>90520.81</v>
      </c>
    </row>
    <row r="70" customFormat="false" ht="15" hidden="false" customHeight="false" outlineLevel="0" collapsed="false">
      <c r="A70" s="6" t="n">
        <v>65</v>
      </c>
      <c r="B70" s="5" t="s">
        <v>288</v>
      </c>
      <c r="C70" s="5" t="s">
        <v>413</v>
      </c>
      <c r="D70" s="5" t="s">
        <v>546</v>
      </c>
      <c r="E70" s="5" t="s">
        <v>81</v>
      </c>
      <c r="F70" s="11" t="n">
        <v>96926.78</v>
      </c>
      <c r="G70" s="12" t="n">
        <v>2.7107</v>
      </c>
      <c r="H70" s="12" t="n">
        <v>3.0273</v>
      </c>
      <c r="I70" s="5" t="s">
        <v>78</v>
      </c>
      <c r="J70" s="8" t="n">
        <v>0.02632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26.32</v>
      </c>
      <c r="N70" s="9" t="n">
        <v>2551.07</v>
      </c>
      <c r="O70" s="9" t="n">
        <v>93071.88</v>
      </c>
    </row>
    <row r="71" customFormat="false" ht="15" hidden="false" customHeight="false" outlineLevel="0" collapsed="false">
      <c r="A71" s="6" t="n">
        <v>66</v>
      </c>
      <c r="B71" s="5" t="s">
        <v>288</v>
      </c>
      <c r="C71" s="5" t="s">
        <v>546</v>
      </c>
      <c r="D71" s="5" t="s">
        <v>547</v>
      </c>
      <c r="E71" s="5" t="s">
        <v>81</v>
      </c>
      <c r="F71" s="11" t="n">
        <v>28105.28</v>
      </c>
      <c r="G71" s="12" t="n">
        <v>3.054</v>
      </c>
      <c r="H71" s="12" t="n">
        <v>3.1882</v>
      </c>
      <c r="J71" s="8" t="n">
        <v>-0.13438</v>
      </c>
      <c r="K71" s="13" t="str">
        <f aca="false">IF(J71&gt;0,"прибыль",IF(J71&lt;0,"убыток","ноль"))</f>
        <v>убыток</v>
      </c>
      <c r="L71" s="13" t="n">
        <f aca="false">IF(C71="",L70,IF(J71&lt;0,L70+1,0))</f>
        <v>1</v>
      </c>
      <c r="M71" s="14" t="n">
        <v>-134.38</v>
      </c>
      <c r="N71" s="9" t="n">
        <v>-3776.78</v>
      </c>
      <c r="O71" s="9" t="n">
        <v>89295.11</v>
      </c>
    </row>
    <row r="72" customFormat="false" ht="15" hidden="false" customHeight="false" outlineLevel="0" collapsed="false">
      <c r="A72" s="6" t="n">
        <v>67</v>
      </c>
      <c r="B72" s="5" t="s">
        <v>288</v>
      </c>
      <c r="D72" s="5" t="s">
        <v>428</v>
      </c>
      <c r="E72" s="5" t="s">
        <v>81</v>
      </c>
      <c r="F72" s="11" t="n">
        <v>107897.23</v>
      </c>
      <c r="H72" s="12" t="n">
        <v>3.043</v>
      </c>
      <c r="J72" s="8" t="n">
        <v>-0.0368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1</v>
      </c>
      <c r="M72" s="14" t="n">
        <v>-36.8</v>
      </c>
      <c r="N72" s="9" t="n">
        <v>-3970.47</v>
      </c>
      <c r="O72" s="9" t="n">
        <v>85324.64</v>
      </c>
      <c r="P72" s="5" t="s">
        <v>429</v>
      </c>
    </row>
  </sheetData>
  <autoFilter ref="A5:P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640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641</v>
      </c>
      <c r="D6" s="5" t="s">
        <v>76</v>
      </c>
      <c r="E6" s="5" t="s">
        <v>77</v>
      </c>
      <c r="F6" s="11" t="n">
        <v>3061.27</v>
      </c>
      <c r="G6" s="12" t="n">
        <v>120.4335</v>
      </c>
      <c r="H6" s="12" t="n">
        <v>125.9037</v>
      </c>
      <c r="J6" s="8" t="n">
        <v>5.44451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544.45</v>
      </c>
      <c r="N6" s="9" t="n">
        <v>16667.11</v>
      </c>
      <c r="O6" s="9" t="n">
        <v>16667.11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76</v>
      </c>
      <c r="D7" s="5" t="s">
        <v>79</v>
      </c>
      <c r="E7" s="5" t="s">
        <v>77</v>
      </c>
      <c r="F7" s="11" t="n">
        <v>6671.22</v>
      </c>
      <c r="G7" s="12" t="n">
        <v>120.4335</v>
      </c>
      <c r="H7" s="12" t="n">
        <v>119.9206</v>
      </c>
      <c r="I7" s="5" t="s">
        <v>78</v>
      </c>
      <c r="J7" s="8" t="n">
        <v>-2.76984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1</v>
      </c>
      <c r="M7" s="14" t="n">
        <v>-276.98</v>
      </c>
      <c r="N7" s="9" t="n">
        <v>-18478.18</v>
      </c>
      <c r="O7" s="9" t="n">
        <v>-1811.07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642</v>
      </c>
      <c r="D8" s="5" t="s">
        <v>643</v>
      </c>
      <c r="E8" s="5" t="s">
        <v>81</v>
      </c>
      <c r="F8" s="11" t="n">
        <v>2881.12</v>
      </c>
      <c r="G8" s="12" t="n">
        <v>112.926</v>
      </c>
      <c r="H8" s="12" t="n">
        <v>103.49</v>
      </c>
      <c r="I8" s="5" t="s">
        <v>78</v>
      </c>
      <c r="J8" s="8" t="n">
        <v>4.51052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451.05</v>
      </c>
      <c r="N8" s="9" t="n">
        <v>12995.37</v>
      </c>
      <c r="O8" s="9" t="n">
        <v>11184.3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643</v>
      </c>
      <c r="D9" s="5" t="s">
        <v>86</v>
      </c>
      <c r="E9" s="5" t="s">
        <v>81</v>
      </c>
      <c r="F9" s="11" t="n">
        <v>2206.23</v>
      </c>
      <c r="G9" s="12" t="n">
        <v>108.0259</v>
      </c>
      <c r="H9" s="12" t="n">
        <v>90.9197</v>
      </c>
      <c r="I9" s="5" t="s">
        <v>78</v>
      </c>
      <c r="J9" s="8" t="n">
        <v>18.01569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1801.57</v>
      </c>
      <c r="N9" s="9" t="n">
        <v>39746.83</v>
      </c>
      <c r="O9" s="9" t="n">
        <v>50931.13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86</v>
      </c>
      <c r="D10" s="5" t="s">
        <v>87</v>
      </c>
      <c r="E10" s="5" t="s">
        <v>81</v>
      </c>
      <c r="F10" s="11" t="n">
        <v>1465.1</v>
      </c>
      <c r="G10" s="12" t="n">
        <v>108.9399</v>
      </c>
      <c r="H10" s="12" t="n">
        <v>97.171</v>
      </c>
      <c r="J10" s="8" t="n">
        <v>11.76403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1176.4</v>
      </c>
      <c r="N10" s="9" t="n">
        <v>17235.43</v>
      </c>
      <c r="O10" s="9" t="n">
        <v>68166.56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87</v>
      </c>
      <c r="D11" s="5" t="s">
        <v>644</v>
      </c>
      <c r="E11" s="5" t="s">
        <v>81</v>
      </c>
      <c r="F11" s="11" t="n">
        <v>4145.25</v>
      </c>
      <c r="G11" s="12" t="n">
        <v>108.9399</v>
      </c>
      <c r="H11" s="12" t="n">
        <v>102.8782</v>
      </c>
      <c r="J11" s="8" t="n">
        <v>6.05654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605.65</v>
      </c>
      <c r="N11" s="9" t="n">
        <v>25105.86</v>
      </c>
      <c r="O11" s="9" t="n">
        <v>93272.42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645</v>
      </c>
      <c r="D12" s="5" t="s">
        <v>91</v>
      </c>
      <c r="E12" s="5" t="s">
        <v>77</v>
      </c>
      <c r="F12" s="11" t="n">
        <v>9917.35</v>
      </c>
      <c r="G12" s="12" t="n">
        <v>112.2184</v>
      </c>
      <c r="H12" s="12" t="n">
        <v>107.7963</v>
      </c>
      <c r="I12" s="5" t="s">
        <v>78</v>
      </c>
      <c r="J12" s="8" t="n">
        <v>-1.56462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1</v>
      </c>
      <c r="M12" s="14" t="n">
        <v>-156.46</v>
      </c>
      <c r="N12" s="9" t="n">
        <v>-15516.92</v>
      </c>
      <c r="O12" s="9" t="n">
        <v>77755.49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646</v>
      </c>
      <c r="D13" s="5" t="s">
        <v>103</v>
      </c>
      <c r="E13" s="5" t="s">
        <v>77</v>
      </c>
      <c r="F13" s="11" t="n">
        <v>3436.81</v>
      </c>
      <c r="G13" s="12" t="n">
        <v>114.579</v>
      </c>
      <c r="H13" s="12" t="n">
        <v>115.1254</v>
      </c>
      <c r="I13" s="5" t="s">
        <v>78</v>
      </c>
      <c r="J13" s="8" t="n">
        <v>0.61288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61.29</v>
      </c>
      <c r="N13" s="9" t="n">
        <v>2106.36</v>
      </c>
      <c r="O13" s="9" t="n">
        <v>79861.85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103</v>
      </c>
      <c r="D14" s="5" t="s">
        <v>647</v>
      </c>
      <c r="E14" s="5" t="s">
        <v>77</v>
      </c>
      <c r="F14" s="11" t="n">
        <v>11643.55</v>
      </c>
      <c r="G14" s="12" t="n">
        <v>114.4817</v>
      </c>
      <c r="H14" s="12" t="n">
        <v>111.8199</v>
      </c>
      <c r="J14" s="8" t="n">
        <v>-2.66738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1</v>
      </c>
      <c r="M14" s="14" t="n">
        <v>-266.74</v>
      </c>
      <c r="N14" s="9" t="n">
        <v>-31057.75</v>
      </c>
      <c r="O14" s="9" t="n">
        <v>48804.11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648</v>
      </c>
      <c r="D15" s="5" t="s">
        <v>105</v>
      </c>
      <c r="E15" s="5" t="s">
        <v>81</v>
      </c>
      <c r="F15" s="11" t="n">
        <v>3548.5</v>
      </c>
      <c r="G15" s="12" t="n">
        <v>108.9199</v>
      </c>
      <c r="H15" s="12" t="n">
        <v>107.3781</v>
      </c>
      <c r="I15" s="5" t="s">
        <v>78</v>
      </c>
      <c r="J15" s="8" t="n">
        <v>1.98325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198.33</v>
      </c>
      <c r="N15" s="9" t="n">
        <v>7037.57</v>
      </c>
      <c r="O15" s="9" t="n">
        <v>55841.68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105</v>
      </c>
      <c r="D16" s="5" t="s">
        <v>106</v>
      </c>
      <c r="E16" s="5" t="s">
        <v>81</v>
      </c>
      <c r="F16" s="11" t="n">
        <v>2188.67</v>
      </c>
      <c r="G16" s="12" t="n">
        <v>109.3879</v>
      </c>
      <c r="H16" s="12" t="n">
        <v>100.3583</v>
      </c>
      <c r="J16" s="8" t="n">
        <v>9.02461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902.46</v>
      </c>
      <c r="N16" s="9" t="n">
        <v>19751.9</v>
      </c>
      <c r="O16" s="9" t="n">
        <v>75593.58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106</v>
      </c>
      <c r="D17" s="5" t="s">
        <v>107</v>
      </c>
      <c r="E17" s="5" t="s">
        <v>81</v>
      </c>
      <c r="F17" s="11" t="n">
        <v>2106.04</v>
      </c>
      <c r="G17" s="12" t="n">
        <v>108.0908</v>
      </c>
      <c r="H17" s="12" t="n">
        <v>103.2269</v>
      </c>
      <c r="I17" s="5" t="s">
        <v>78</v>
      </c>
      <c r="J17" s="8" t="n">
        <v>5.41029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541.03</v>
      </c>
      <c r="N17" s="9" t="n">
        <v>11394.27</v>
      </c>
      <c r="O17" s="9" t="n">
        <v>86987.84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107</v>
      </c>
      <c r="D18" s="5" t="s">
        <v>110</v>
      </c>
      <c r="E18" s="5" t="s">
        <v>81</v>
      </c>
      <c r="F18" s="11" t="n">
        <v>8243.94</v>
      </c>
      <c r="G18" s="12" t="n">
        <v>108.6486</v>
      </c>
      <c r="H18" s="12" t="n">
        <v>107.7647</v>
      </c>
      <c r="I18" s="5" t="s">
        <v>78</v>
      </c>
      <c r="J18" s="8" t="n">
        <v>2.30555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230.55</v>
      </c>
      <c r="N18" s="9" t="n">
        <v>19006.8</v>
      </c>
      <c r="O18" s="9" t="n">
        <v>105994.64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557</v>
      </c>
      <c r="D19" s="5" t="s">
        <v>111</v>
      </c>
      <c r="E19" s="5" t="s">
        <v>77</v>
      </c>
      <c r="F19" s="11" t="n">
        <v>4998.49</v>
      </c>
      <c r="G19" s="12" t="n">
        <v>109.4956</v>
      </c>
      <c r="H19" s="12" t="n">
        <v>114.261</v>
      </c>
      <c r="I19" s="5" t="s">
        <v>78</v>
      </c>
      <c r="J19" s="8" t="n">
        <v>6.3783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637.83</v>
      </c>
      <c r="N19" s="9" t="n">
        <v>31881.89</v>
      </c>
      <c r="O19" s="9" t="n">
        <v>137876.53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111</v>
      </c>
      <c r="D20" s="5" t="s">
        <v>112</v>
      </c>
      <c r="E20" s="5" t="s">
        <v>77</v>
      </c>
      <c r="F20" s="11" t="n">
        <v>1763.73</v>
      </c>
      <c r="G20" s="12" t="n">
        <v>107.8624</v>
      </c>
      <c r="H20" s="12" t="n">
        <v>107.7106</v>
      </c>
      <c r="I20" s="5" t="s">
        <v>78</v>
      </c>
      <c r="J20" s="8" t="n">
        <v>2.18867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218.87</v>
      </c>
      <c r="N20" s="9" t="n">
        <v>3860.21</v>
      </c>
      <c r="O20" s="9" t="n">
        <v>141736.74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112</v>
      </c>
      <c r="D21" s="5" t="s">
        <v>649</v>
      </c>
      <c r="E21" s="5" t="s">
        <v>77</v>
      </c>
      <c r="F21" s="11" t="n">
        <v>6951.64</v>
      </c>
      <c r="G21" s="12" t="n">
        <v>105.5165</v>
      </c>
      <c r="H21" s="12" t="n">
        <v>107.4278</v>
      </c>
      <c r="J21" s="8" t="n">
        <v>1.90595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190.6</v>
      </c>
      <c r="N21" s="9" t="n">
        <v>13249.48</v>
      </c>
      <c r="O21" s="9" t="n">
        <v>154986.22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650</v>
      </c>
      <c r="D22" s="5" t="s">
        <v>651</v>
      </c>
      <c r="E22" s="5" t="s">
        <v>81</v>
      </c>
      <c r="F22" s="11" t="n">
        <v>8004.67</v>
      </c>
      <c r="G22" s="12" t="n">
        <v>104.9901</v>
      </c>
      <c r="H22" s="12" t="n">
        <v>110.0504</v>
      </c>
      <c r="I22" s="5" t="s">
        <v>78</v>
      </c>
      <c r="J22" s="8" t="n">
        <v>-5.34654</v>
      </c>
      <c r="K22" s="13" t="str">
        <f aca="false">IF(J22&gt;0,"прибыль",IF(J22&lt;0,"убыток","ноль"))</f>
        <v>убыток</v>
      </c>
      <c r="L22" s="13" t="n">
        <f aca="false">IF(C22="",L21,IF(J22&lt;0,L21+1,0))</f>
        <v>1</v>
      </c>
      <c r="M22" s="14" t="n">
        <v>-534.65</v>
      </c>
      <c r="N22" s="9" t="n">
        <v>-42797.32</v>
      </c>
      <c r="O22" s="9" t="n">
        <v>112188.9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651</v>
      </c>
      <c r="D23" s="5" t="s">
        <v>122</v>
      </c>
      <c r="E23" s="5" t="s">
        <v>77</v>
      </c>
      <c r="F23" s="11" t="n">
        <v>2756.74</v>
      </c>
      <c r="G23" s="12" t="n">
        <v>109.6875</v>
      </c>
      <c r="H23" s="12" t="n">
        <v>109.3032</v>
      </c>
      <c r="I23" s="5" t="s">
        <v>78</v>
      </c>
      <c r="J23" s="8" t="n">
        <v>2.02684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202.68</v>
      </c>
      <c r="N23" s="9" t="n">
        <v>5587.48</v>
      </c>
      <c r="O23" s="9" t="n">
        <v>117776.38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122</v>
      </c>
      <c r="D24" s="5" t="s">
        <v>652</v>
      </c>
      <c r="E24" s="5" t="s">
        <v>77</v>
      </c>
      <c r="F24" s="11" t="n">
        <v>10570.66</v>
      </c>
      <c r="G24" s="12" t="n">
        <v>107.2587</v>
      </c>
      <c r="H24" s="12" t="n">
        <v>107.3323</v>
      </c>
      <c r="I24" s="5" t="s">
        <v>78</v>
      </c>
      <c r="J24" s="8" t="n">
        <v>-0.25731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-25.73</v>
      </c>
      <c r="N24" s="9" t="n">
        <v>-2719.89</v>
      </c>
      <c r="O24" s="9" t="n">
        <v>115056.48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653</v>
      </c>
      <c r="D25" s="5" t="s">
        <v>133</v>
      </c>
      <c r="E25" s="5" t="s">
        <v>77</v>
      </c>
      <c r="F25" s="11" t="n">
        <v>10273.16</v>
      </c>
      <c r="G25" s="12" t="n">
        <v>110.2134</v>
      </c>
      <c r="H25" s="12" t="n">
        <v>113.2917</v>
      </c>
      <c r="J25" s="8" t="n">
        <v>3.06143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306.14</v>
      </c>
      <c r="N25" s="9" t="n">
        <v>31450.61</v>
      </c>
      <c r="O25" s="9" t="n">
        <v>146507.09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133</v>
      </c>
      <c r="D26" s="5" t="s">
        <v>134</v>
      </c>
      <c r="E26" s="5" t="s">
        <v>77</v>
      </c>
      <c r="F26" s="11" t="n">
        <v>10548.45</v>
      </c>
      <c r="G26" s="12" t="n">
        <v>110.2134</v>
      </c>
      <c r="H26" s="12" t="n">
        <v>108.049</v>
      </c>
      <c r="I26" s="5" t="s">
        <v>78</v>
      </c>
      <c r="J26" s="8" t="n">
        <v>-1.88754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1</v>
      </c>
      <c r="M26" s="14" t="n">
        <v>-188.75</v>
      </c>
      <c r="N26" s="9" t="n">
        <v>-19910.59</v>
      </c>
      <c r="O26" s="9" t="n">
        <v>126596.5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654</v>
      </c>
      <c r="D27" s="5" t="s">
        <v>135</v>
      </c>
      <c r="E27" s="5" t="s">
        <v>81</v>
      </c>
      <c r="F27" s="11" t="n">
        <v>3451.33</v>
      </c>
      <c r="G27" s="12" t="n">
        <v>106.5727</v>
      </c>
      <c r="H27" s="12" t="n">
        <v>102.4106</v>
      </c>
      <c r="I27" s="5" t="s">
        <v>78</v>
      </c>
      <c r="J27" s="8" t="n">
        <v>7.61366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761.37</v>
      </c>
      <c r="N27" s="9" t="n">
        <v>26277.24</v>
      </c>
      <c r="O27" s="9" t="n">
        <v>152873.74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135</v>
      </c>
      <c r="D28" s="5" t="s">
        <v>136</v>
      </c>
      <c r="E28" s="5" t="s">
        <v>81</v>
      </c>
      <c r="F28" s="11" t="n">
        <v>3642.92</v>
      </c>
      <c r="G28" s="12" t="n">
        <v>104.9164</v>
      </c>
      <c r="H28" s="12" t="n">
        <v>85.2819</v>
      </c>
      <c r="I28" s="5" t="s">
        <v>78</v>
      </c>
      <c r="J28" s="8" t="n">
        <v>22.21935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2221.94</v>
      </c>
      <c r="N28" s="9" t="n">
        <v>80943.37</v>
      </c>
      <c r="O28" s="9" t="n">
        <v>233817.11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136</v>
      </c>
      <c r="D29" s="5" t="s">
        <v>137</v>
      </c>
      <c r="E29" s="5" t="s">
        <v>81</v>
      </c>
      <c r="F29" s="11" t="n">
        <v>2029.61</v>
      </c>
      <c r="G29" s="12" t="n">
        <v>107.5117</v>
      </c>
      <c r="H29" s="12" t="n">
        <v>87.1156</v>
      </c>
      <c r="I29" s="5" t="s">
        <v>78</v>
      </c>
      <c r="J29" s="8" t="n">
        <v>22.60482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2260.48</v>
      </c>
      <c r="N29" s="9" t="n">
        <v>45878.87</v>
      </c>
      <c r="O29" s="9" t="n">
        <v>279695.98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137</v>
      </c>
      <c r="D30" s="5" t="s">
        <v>138</v>
      </c>
      <c r="E30" s="5" t="s">
        <v>81</v>
      </c>
      <c r="F30" s="11" t="n">
        <v>2204.07</v>
      </c>
      <c r="G30" s="12" t="n">
        <v>102.7117</v>
      </c>
      <c r="H30" s="12" t="n">
        <v>72.5912</v>
      </c>
      <c r="I30" s="5" t="s">
        <v>78</v>
      </c>
      <c r="J30" s="8" t="n">
        <v>32.49058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3249.06</v>
      </c>
      <c r="N30" s="9" t="n">
        <v>71611.64</v>
      </c>
      <c r="O30" s="9" t="n">
        <v>351307.62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138</v>
      </c>
      <c r="D31" s="5" t="s">
        <v>139</v>
      </c>
      <c r="E31" s="5" t="s">
        <v>81</v>
      </c>
      <c r="F31" s="11" t="n">
        <v>1744.32</v>
      </c>
      <c r="G31" s="12" t="n">
        <v>105.0898</v>
      </c>
      <c r="H31" s="12" t="n">
        <v>61.657</v>
      </c>
      <c r="I31" s="5" t="s">
        <v>78</v>
      </c>
      <c r="J31" s="8" t="n">
        <v>45.53858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4553.86</v>
      </c>
      <c r="N31" s="9" t="n">
        <v>79433.69</v>
      </c>
      <c r="O31" s="9" t="n">
        <v>430741.31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139</v>
      </c>
      <c r="D32" s="5" t="s">
        <v>140</v>
      </c>
      <c r="E32" s="5" t="s">
        <v>81</v>
      </c>
      <c r="F32" s="11" t="n">
        <v>2114.7</v>
      </c>
      <c r="G32" s="12" t="n">
        <v>95.8982</v>
      </c>
      <c r="H32" s="12" t="n">
        <v>55.0057</v>
      </c>
      <c r="I32" s="5" t="s">
        <v>78</v>
      </c>
      <c r="J32" s="8" t="n">
        <v>45.45294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4545.29</v>
      </c>
      <c r="N32" s="9" t="n">
        <v>96119.56</v>
      </c>
      <c r="O32" s="9" t="n">
        <v>526860.87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140</v>
      </c>
      <c r="D33" s="5" t="s">
        <v>655</v>
      </c>
      <c r="E33" s="5" t="s">
        <v>81</v>
      </c>
      <c r="F33" s="11" t="n">
        <v>6015.15</v>
      </c>
      <c r="G33" s="12" t="n">
        <v>92.3137</v>
      </c>
      <c r="H33" s="12" t="n">
        <v>60.2988</v>
      </c>
      <c r="I33" s="5" t="s">
        <v>78</v>
      </c>
      <c r="J33" s="8" t="n">
        <v>38.27039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3827.04</v>
      </c>
      <c r="N33" s="9" t="n">
        <v>230202.17</v>
      </c>
      <c r="O33" s="9" t="n">
        <v>757063.04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656</v>
      </c>
      <c r="D34" s="5" t="s">
        <v>657</v>
      </c>
      <c r="E34" s="5" t="s">
        <v>77</v>
      </c>
      <c r="F34" s="11" t="n">
        <v>9219.43</v>
      </c>
      <c r="G34" s="12" t="n">
        <v>66.4932</v>
      </c>
      <c r="H34" s="12" t="n">
        <v>62.5085</v>
      </c>
      <c r="I34" s="5" t="s">
        <v>78</v>
      </c>
      <c r="J34" s="8" t="n">
        <v>-4.42076</v>
      </c>
      <c r="K34" s="13" t="str">
        <f aca="false">IF(J34&gt;0,"прибыль",IF(J34&lt;0,"убыток","ноль"))</f>
        <v>убыток</v>
      </c>
      <c r="L34" s="13" t="n">
        <f aca="false">IF(C34="",L33,IF(J34&lt;0,L33+1,0))</f>
        <v>1</v>
      </c>
      <c r="M34" s="14" t="n">
        <v>-442.08</v>
      </c>
      <c r="N34" s="9" t="n">
        <v>-40756.93</v>
      </c>
      <c r="O34" s="9" t="n">
        <v>716306.11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658</v>
      </c>
      <c r="D35" s="5" t="s">
        <v>156</v>
      </c>
      <c r="E35" s="5" t="s">
        <v>81</v>
      </c>
      <c r="F35" s="11" t="n">
        <v>5088.76</v>
      </c>
      <c r="G35" s="12" t="n">
        <v>59.0988</v>
      </c>
      <c r="H35" s="12" t="n">
        <v>47.5888</v>
      </c>
      <c r="I35" s="5" t="s">
        <v>78</v>
      </c>
      <c r="J35" s="8" t="n">
        <v>10.56771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1056.77</v>
      </c>
      <c r="N35" s="9" t="n">
        <v>53776.5</v>
      </c>
      <c r="O35" s="9" t="n">
        <v>770082.61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156</v>
      </c>
      <c r="D36" s="5" t="s">
        <v>659</v>
      </c>
      <c r="E36" s="5" t="s">
        <v>81</v>
      </c>
      <c r="F36" s="11" t="n">
        <v>6261.33</v>
      </c>
      <c r="G36" s="12" t="n">
        <v>58.1653</v>
      </c>
      <c r="H36" s="12" t="n">
        <v>53.0071</v>
      </c>
      <c r="J36" s="8" t="n">
        <v>5.15554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515.55</v>
      </c>
      <c r="N36" s="9" t="n">
        <v>32280.56</v>
      </c>
      <c r="O36" s="9" t="n">
        <v>802363.17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660</v>
      </c>
      <c r="D37" s="5" t="s">
        <v>569</v>
      </c>
      <c r="E37" s="5" t="s">
        <v>81</v>
      </c>
      <c r="F37" s="11" t="n">
        <v>2827.33</v>
      </c>
      <c r="G37" s="12" t="n">
        <v>45.7851</v>
      </c>
      <c r="H37" s="12" t="n">
        <v>29.6072</v>
      </c>
      <c r="I37" s="5" t="s">
        <v>78</v>
      </c>
      <c r="J37" s="8" t="n">
        <v>14.54102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1454.1</v>
      </c>
      <c r="N37" s="9" t="n">
        <v>41112.25</v>
      </c>
      <c r="O37" s="9" t="n">
        <v>843475.43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569</v>
      </c>
      <c r="D38" s="5" t="s">
        <v>164</v>
      </c>
      <c r="E38" s="5" t="s">
        <v>81</v>
      </c>
      <c r="F38" s="11" t="n">
        <v>2110.83</v>
      </c>
      <c r="G38" s="12" t="n">
        <v>44.1594</v>
      </c>
      <c r="H38" s="12" t="n">
        <v>32.2216</v>
      </c>
      <c r="J38" s="8" t="n">
        <v>11.93621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1193.62</v>
      </c>
      <c r="N38" s="9" t="n">
        <v>25195.32</v>
      </c>
      <c r="O38" s="9" t="n">
        <v>868670.74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164</v>
      </c>
      <c r="D39" s="5" t="s">
        <v>165</v>
      </c>
      <c r="E39" s="5" t="s">
        <v>81</v>
      </c>
      <c r="F39" s="11" t="n">
        <v>2067.18</v>
      </c>
      <c r="G39" s="12" t="n">
        <v>44.1594</v>
      </c>
      <c r="H39" s="12" t="n">
        <v>35.5734</v>
      </c>
      <c r="I39" s="5" t="s">
        <v>78</v>
      </c>
      <c r="J39" s="8" t="n">
        <v>7.78204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778.2</v>
      </c>
      <c r="N39" s="9" t="n">
        <v>16086.89</v>
      </c>
      <c r="O39" s="9" t="n">
        <v>884757.63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165</v>
      </c>
      <c r="D40" s="5" t="s">
        <v>661</v>
      </c>
      <c r="E40" s="5" t="s">
        <v>81</v>
      </c>
      <c r="F40" s="11" t="n">
        <v>6823.3</v>
      </c>
      <c r="G40" s="12" t="n">
        <v>41.346</v>
      </c>
      <c r="H40" s="12" t="n">
        <v>38.9262</v>
      </c>
      <c r="I40" s="5" t="s">
        <v>78</v>
      </c>
      <c r="J40" s="8" t="n">
        <v>3.45035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345.03</v>
      </c>
      <c r="N40" s="9" t="n">
        <v>23542.78</v>
      </c>
      <c r="O40" s="9" t="n">
        <v>908300.41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661</v>
      </c>
      <c r="D41" s="5" t="s">
        <v>662</v>
      </c>
      <c r="E41" s="5" t="s">
        <v>77</v>
      </c>
      <c r="F41" s="11" t="n">
        <v>0</v>
      </c>
      <c r="G41" s="12" t="n">
        <v>38.9262</v>
      </c>
      <c r="H41" s="12" t="n">
        <v>40.6099</v>
      </c>
      <c r="J41" s="8" t="n">
        <v>1.6817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168.17</v>
      </c>
      <c r="N41" s="9" t="n">
        <v>0</v>
      </c>
      <c r="O41" s="9" t="n">
        <v>908300.41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662</v>
      </c>
      <c r="D42" s="5" t="s">
        <v>663</v>
      </c>
      <c r="E42" s="5" t="s">
        <v>77</v>
      </c>
      <c r="F42" s="11" t="n">
        <v>4061.63</v>
      </c>
      <c r="G42" s="12" t="n">
        <v>39.4345</v>
      </c>
      <c r="H42" s="12" t="n">
        <v>41.6705</v>
      </c>
      <c r="I42" s="5" t="s">
        <v>78</v>
      </c>
      <c r="J42" s="8" t="n">
        <v>3.22532</v>
      </c>
      <c r="K42" s="13" t="str">
        <f aca="false">IF(J42&gt;0,"прибыль",IF(J42&lt;0,"убыток","ноль"))</f>
        <v>прибыль</v>
      </c>
      <c r="L42" s="13" t="n">
        <f aca="false">IF(C42="",L41,IF(J42&lt;0,L41+1,0))</f>
        <v>0</v>
      </c>
      <c r="M42" s="14" t="n">
        <v>322.53</v>
      </c>
      <c r="N42" s="9" t="n">
        <v>13100.05</v>
      </c>
      <c r="O42" s="9" t="n">
        <v>921400.46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663</v>
      </c>
      <c r="D43" s="5" t="s">
        <v>664</v>
      </c>
      <c r="E43" s="5" t="s">
        <v>77</v>
      </c>
      <c r="F43" s="11" t="n">
        <v>14617.76</v>
      </c>
      <c r="G43" s="12" t="n">
        <v>42.2969</v>
      </c>
      <c r="H43" s="12" t="n">
        <v>47.1087</v>
      </c>
      <c r="I43" s="5" t="s">
        <v>78</v>
      </c>
      <c r="J43" s="8" t="n">
        <v>5.26852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526.85</v>
      </c>
      <c r="N43" s="9" t="n">
        <v>77013.94</v>
      </c>
      <c r="O43" s="9" t="n">
        <v>998414.4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665</v>
      </c>
      <c r="D44" s="5" t="s">
        <v>572</v>
      </c>
      <c r="E44" s="5" t="s">
        <v>81</v>
      </c>
      <c r="F44" s="11" t="n">
        <v>2619.1</v>
      </c>
      <c r="G44" s="12" t="n">
        <v>45.5503</v>
      </c>
      <c r="H44" s="12" t="n">
        <v>47.2828</v>
      </c>
      <c r="I44" s="5" t="s">
        <v>78</v>
      </c>
      <c r="J44" s="8" t="n">
        <v>-1.92796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1</v>
      </c>
      <c r="M44" s="14" t="n">
        <v>-192.8</v>
      </c>
      <c r="N44" s="9" t="n">
        <v>-5049.53</v>
      </c>
      <c r="O44" s="9" t="n">
        <v>993364.86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572</v>
      </c>
      <c r="D45" s="5" t="s">
        <v>666</v>
      </c>
      <c r="E45" s="5" t="s">
        <v>81</v>
      </c>
      <c r="F45" s="11" t="n">
        <v>9582.67</v>
      </c>
      <c r="G45" s="12" t="n">
        <v>45.3678</v>
      </c>
      <c r="H45" s="12" t="n">
        <v>48.3045</v>
      </c>
      <c r="J45" s="8" t="n">
        <v>-2.93908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2</v>
      </c>
      <c r="M45" s="14" t="n">
        <v>-293.91</v>
      </c>
      <c r="N45" s="9" t="n">
        <v>-28164.19</v>
      </c>
      <c r="O45" s="9" t="n">
        <v>965200.67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667</v>
      </c>
      <c r="D46" s="5" t="s">
        <v>181</v>
      </c>
      <c r="E46" s="5" t="s">
        <v>77</v>
      </c>
      <c r="F46" s="11" t="n">
        <v>14113.57</v>
      </c>
      <c r="G46" s="12" t="n">
        <v>49.3551</v>
      </c>
      <c r="H46" s="12" t="n">
        <v>48.2392</v>
      </c>
      <c r="I46" s="5" t="s">
        <v>78</v>
      </c>
      <c r="J46" s="8" t="n">
        <v>-2.79994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3</v>
      </c>
      <c r="M46" s="14" t="n">
        <v>-279.99</v>
      </c>
      <c r="N46" s="9" t="n">
        <v>-39517.08</v>
      </c>
      <c r="O46" s="9" t="n">
        <v>925683.6</v>
      </c>
    </row>
    <row r="47" customFormat="false" ht="15" hidden="false" customHeight="false" outlineLevel="0" collapsed="false">
      <c r="A47" s="6" t="n">
        <v>42</v>
      </c>
      <c r="B47" s="5" t="s">
        <v>74</v>
      </c>
      <c r="C47" s="5" t="s">
        <v>668</v>
      </c>
      <c r="D47" s="5" t="s">
        <v>182</v>
      </c>
      <c r="E47" s="5" t="s">
        <v>81</v>
      </c>
      <c r="F47" s="11" t="n">
        <v>5163.34</v>
      </c>
      <c r="G47" s="12" t="n">
        <v>44.6061</v>
      </c>
      <c r="H47" s="12" t="n">
        <v>47.1802</v>
      </c>
      <c r="J47" s="8" t="n">
        <v>-2.58312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4</v>
      </c>
      <c r="M47" s="14" t="n">
        <v>-258.31</v>
      </c>
      <c r="N47" s="9" t="n">
        <v>-13337.53</v>
      </c>
      <c r="O47" s="9" t="n">
        <v>912346.07</v>
      </c>
    </row>
    <row r="48" customFormat="false" ht="15" hidden="false" customHeight="false" outlineLevel="0" collapsed="false">
      <c r="A48" s="6" t="n">
        <v>43</v>
      </c>
      <c r="B48" s="5" t="s">
        <v>74</v>
      </c>
      <c r="C48" s="5" t="s">
        <v>182</v>
      </c>
      <c r="D48" s="5" t="s">
        <v>185</v>
      </c>
      <c r="E48" s="5" t="s">
        <v>81</v>
      </c>
      <c r="F48" s="11" t="n">
        <v>10117.87</v>
      </c>
      <c r="G48" s="12" t="n">
        <v>44.6061</v>
      </c>
      <c r="H48" s="12" t="n">
        <v>50.5328</v>
      </c>
      <c r="J48" s="8" t="n">
        <v>-5.92927</v>
      </c>
      <c r="K48" s="13" t="str">
        <f aca="false">IF(J48&gt;0,"прибыль",IF(J48&lt;0,"убыток","ноль"))</f>
        <v>убыток</v>
      </c>
      <c r="L48" s="13" t="n">
        <f aca="false">IF(C48="",L47,IF(J48&lt;0,L47+1,0))</f>
        <v>5</v>
      </c>
      <c r="M48" s="14" t="n">
        <v>-592.93</v>
      </c>
      <c r="N48" s="9" t="n">
        <v>-59991.6</v>
      </c>
      <c r="O48" s="9" t="n">
        <v>852354.47</v>
      </c>
    </row>
    <row r="49" customFormat="false" ht="15" hidden="false" customHeight="false" outlineLevel="0" collapsed="false">
      <c r="A49" s="6" t="n">
        <v>44</v>
      </c>
      <c r="B49" s="5" t="s">
        <v>74</v>
      </c>
      <c r="C49" s="5" t="s">
        <v>669</v>
      </c>
      <c r="D49" s="5" t="s">
        <v>194</v>
      </c>
      <c r="E49" s="5" t="s">
        <v>81</v>
      </c>
      <c r="F49" s="11" t="n">
        <v>4826.08</v>
      </c>
      <c r="G49" s="12" t="n">
        <v>55.1232</v>
      </c>
      <c r="H49" s="12" t="n">
        <v>52.6598</v>
      </c>
      <c r="J49" s="8" t="n">
        <v>2.45195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245.19</v>
      </c>
      <c r="N49" s="9" t="n">
        <v>11833.3</v>
      </c>
      <c r="O49" s="9" t="n">
        <v>864187.77</v>
      </c>
    </row>
    <row r="50" customFormat="false" ht="15" hidden="false" customHeight="false" outlineLevel="0" collapsed="false">
      <c r="A50" s="6" t="n">
        <v>45</v>
      </c>
      <c r="B50" s="5" t="s">
        <v>74</v>
      </c>
      <c r="C50" s="5" t="s">
        <v>194</v>
      </c>
      <c r="D50" s="5" t="s">
        <v>670</v>
      </c>
      <c r="E50" s="5" t="s">
        <v>81</v>
      </c>
      <c r="F50" s="11" t="n">
        <v>15061.93</v>
      </c>
      <c r="G50" s="12" t="n">
        <v>54.9231</v>
      </c>
      <c r="H50" s="12" t="n">
        <v>55.3226</v>
      </c>
      <c r="I50" s="5" t="s">
        <v>78</v>
      </c>
      <c r="J50" s="8" t="n">
        <v>-0.0177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1</v>
      </c>
      <c r="M50" s="14" t="n">
        <v>-1.77</v>
      </c>
      <c r="N50" s="9" t="n">
        <v>-266.55</v>
      </c>
      <c r="O50" s="9" t="n">
        <v>863921.22</v>
      </c>
    </row>
    <row r="51" customFormat="false" ht="15" hidden="false" customHeight="false" outlineLevel="0" collapsed="false">
      <c r="A51" s="6" t="n">
        <v>46</v>
      </c>
      <c r="B51" s="5" t="s">
        <v>74</v>
      </c>
      <c r="C51" s="5" t="s">
        <v>671</v>
      </c>
      <c r="D51" s="5" t="s">
        <v>197</v>
      </c>
      <c r="E51" s="5" t="s">
        <v>81</v>
      </c>
      <c r="F51" s="11" t="n">
        <v>3340.33</v>
      </c>
      <c r="G51" s="12" t="n">
        <v>48.4136</v>
      </c>
      <c r="H51" s="12" t="n">
        <v>52.167</v>
      </c>
      <c r="J51" s="8" t="n">
        <v>-3.76662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2</v>
      </c>
      <c r="M51" s="14" t="n">
        <v>-376.66</v>
      </c>
      <c r="N51" s="9" t="n">
        <v>-12581.76</v>
      </c>
      <c r="O51" s="9" t="n">
        <v>851339.46</v>
      </c>
    </row>
    <row r="52" customFormat="false" ht="15" hidden="false" customHeight="false" outlineLevel="0" collapsed="false">
      <c r="A52" s="6" t="n">
        <v>47</v>
      </c>
      <c r="B52" s="5" t="s">
        <v>74</v>
      </c>
      <c r="C52" s="5" t="s">
        <v>197</v>
      </c>
      <c r="D52" s="5" t="s">
        <v>200</v>
      </c>
      <c r="E52" s="5" t="s">
        <v>81</v>
      </c>
      <c r="F52" s="11" t="n">
        <v>13479.12</v>
      </c>
      <c r="G52" s="12" t="n">
        <v>47.9472</v>
      </c>
      <c r="H52" s="12" t="n">
        <v>50.8658</v>
      </c>
      <c r="I52" s="5" t="s">
        <v>78</v>
      </c>
      <c r="J52" s="8" t="n">
        <v>-1.19756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3</v>
      </c>
      <c r="M52" s="14" t="n">
        <v>-119.76</v>
      </c>
      <c r="N52" s="9" t="n">
        <v>-16142.1</v>
      </c>
      <c r="O52" s="9" t="n">
        <v>835197.36</v>
      </c>
    </row>
    <row r="53" customFormat="false" ht="15" hidden="false" customHeight="false" outlineLevel="0" collapsed="false">
      <c r="A53" s="6" t="n">
        <v>48</v>
      </c>
      <c r="B53" s="5" t="s">
        <v>74</v>
      </c>
      <c r="C53" s="5" t="s">
        <v>201</v>
      </c>
      <c r="D53" s="5" t="s">
        <v>202</v>
      </c>
      <c r="E53" s="5" t="s">
        <v>77</v>
      </c>
      <c r="F53" s="11" t="n">
        <v>3092.74</v>
      </c>
      <c r="G53" s="12" t="n">
        <v>55.2626</v>
      </c>
      <c r="H53" s="12" t="n">
        <v>62.0821</v>
      </c>
      <c r="I53" s="5" t="s">
        <v>78</v>
      </c>
      <c r="J53" s="8" t="n">
        <v>9.80815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980.81</v>
      </c>
      <c r="N53" s="9" t="n">
        <v>30334.04</v>
      </c>
      <c r="O53" s="9" t="n">
        <v>865531.4</v>
      </c>
    </row>
    <row r="54" customFormat="false" ht="15" hidden="false" customHeight="false" outlineLevel="0" collapsed="false">
      <c r="A54" s="6" t="n">
        <v>49</v>
      </c>
      <c r="B54" s="5" t="s">
        <v>74</v>
      </c>
      <c r="C54" s="5" t="s">
        <v>202</v>
      </c>
      <c r="D54" s="5" t="s">
        <v>203</v>
      </c>
      <c r="E54" s="5" t="s">
        <v>77</v>
      </c>
      <c r="F54" s="11" t="n">
        <v>3539.29</v>
      </c>
      <c r="G54" s="12" t="n">
        <v>54.8584</v>
      </c>
      <c r="H54" s="12" t="n">
        <v>62.8632</v>
      </c>
      <c r="I54" s="5" t="s">
        <v>78</v>
      </c>
      <c r="J54" s="8" t="n">
        <v>8.18825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818.82</v>
      </c>
      <c r="N54" s="9" t="n">
        <v>28980.6</v>
      </c>
      <c r="O54" s="9" t="n">
        <v>894512</v>
      </c>
    </row>
    <row r="55" customFormat="false" ht="15" hidden="false" customHeight="false" outlineLevel="0" collapsed="false">
      <c r="A55" s="6" t="n">
        <v>50</v>
      </c>
      <c r="B55" s="5" t="s">
        <v>74</v>
      </c>
      <c r="C55" s="5" t="s">
        <v>203</v>
      </c>
      <c r="D55" s="5" t="s">
        <v>204</v>
      </c>
      <c r="E55" s="5" t="s">
        <v>77</v>
      </c>
      <c r="F55" s="11" t="n">
        <v>3510.36</v>
      </c>
      <c r="G55" s="12" t="n">
        <v>58.4429</v>
      </c>
      <c r="H55" s="12" t="n">
        <v>70.0322</v>
      </c>
      <c r="J55" s="8" t="n">
        <v>11.58188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1158.19</v>
      </c>
      <c r="N55" s="9" t="n">
        <v>40656.54</v>
      </c>
      <c r="O55" s="9" t="n">
        <v>935168.54</v>
      </c>
    </row>
    <row r="56" customFormat="false" ht="15" hidden="false" customHeight="false" outlineLevel="0" collapsed="false">
      <c r="A56" s="6" t="n">
        <v>51</v>
      </c>
      <c r="B56" s="5" t="s">
        <v>74</v>
      </c>
      <c r="C56" s="5" t="s">
        <v>204</v>
      </c>
      <c r="D56" s="5" t="s">
        <v>672</v>
      </c>
      <c r="E56" s="5" t="s">
        <v>77</v>
      </c>
      <c r="F56" s="11" t="n">
        <v>15128.47</v>
      </c>
      <c r="G56" s="12" t="n">
        <v>60.2683</v>
      </c>
      <c r="H56" s="12" t="n">
        <v>67.2941</v>
      </c>
      <c r="I56" s="5" t="s">
        <v>78</v>
      </c>
      <c r="J56" s="8" t="n">
        <v>6.31509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631.51</v>
      </c>
      <c r="N56" s="9" t="n">
        <v>95537.61</v>
      </c>
      <c r="O56" s="9" t="n">
        <v>1030706.14</v>
      </c>
    </row>
    <row r="57" customFormat="false" ht="15" hidden="false" customHeight="false" outlineLevel="0" collapsed="false">
      <c r="A57" s="6" t="n">
        <v>52</v>
      </c>
      <c r="B57" s="5" t="s">
        <v>74</v>
      </c>
      <c r="C57" s="5" t="s">
        <v>215</v>
      </c>
      <c r="D57" s="5" t="s">
        <v>673</v>
      </c>
      <c r="E57" s="5" t="s">
        <v>77</v>
      </c>
      <c r="F57" s="11" t="n">
        <v>2727.94</v>
      </c>
      <c r="G57" s="12" t="n">
        <v>70.5982</v>
      </c>
      <c r="H57" s="12" t="n">
        <v>70.8861</v>
      </c>
      <c r="I57" s="5" t="s">
        <v>78</v>
      </c>
      <c r="J57" s="8" t="n">
        <v>2.72582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272.58</v>
      </c>
      <c r="N57" s="9" t="n">
        <v>7435.89</v>
      </c>
      <c r="O57" s="9" t="n">
        <v>1038142.03</v>
      </c>
    </row>
    <row r="58" customFormat="false" ht="15" hidden="false" customHeight="false" outlineLevel="0" collapsed="false">
      <c r="A58" s="6" t="n">
        <v>53</v>
      </c>
      <c r="B58" s="5" t="s">
        <v>74</v>
      </c>
      <c r="C58" s="5" t="s">
        <v>673</v>
      </c>
      <c r="D58" s="5" t="s">
        <v>581</v>
      </c>
      <c r="E58" s="5" t="s">
        <v>77</v>
      </c>
      <c r="F58" s="11" t="n">
        <v>1848.46</v>
      </c>
      <c r="G58" s="12" t="n">
        <v>68.1423</v>
      </c>
      <c r="H58" s="12" t="n">
        <v>76.053</v>
      </c>
      <c r="I58" s="5" t="s">
        <v>78</v>
      </c>
      <c r="J58" s="8" t="n">
        <v>9.76503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976.5</v>
      </c>
      <c r="N58" s="9" t="n">
        <v>18050.28</v>
      </c>
      <c r="O58" s="9" t="n">
        <v>1056192.32</v>
      </c>
    </row>
    <row r="59" customFormat="false" ht="15" hidden="false" customHeight="false" outlineLevel="0" collapsed="false">
      <c r="A59" s="6" t="n">
        <v>54</v>
      </c>
      <c r="B59" s="5" t="s">
        <v>74</v>
      </c>
      <c r="C59" s="5" t="s">
        <v>581</v>
      </c>
      <c r="D59" s="5" t="s">
        <v>674</v>
      </c>
      <c r="E59" s="5" t="s">
        <v>77</v>
      </c>
      <c r="F59" s="11" t="n">
        <v>7349.02</v>
      </c>
      <c r="G59" s="12" t="n">
        <v>66.2842</v>
      </c>
      <c r="H59" s="12" t="n">
        <v>72.9675</v>
      </c>
      <c r="I59" s="5" t="s">
        <v>78</v>
      </c>
      <c r="J59" s="8" t="n">
        <v>7.49112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749.11</v>
      </c>
      <c r="N59" s="9" t="n">
        <v>55052.4</v>
      </c>
      <c r="O59" s="9" t="n">
        <v>1111244.72</v>
      </c>
    </row>
    <row r="60" customFormat="false" ht="15" hidden="false" customHeight="false" outlineLevel="0" collapsed="false">
      <c r="A60" s="6" t="n">
        <v>55</v>
      </c>
      <c r="B60" s="5" t="s">
        <v>74</v>
      </c>
      <c r="C60" s="5" t="s">
        <v>675</v>
      </c>
      <c r="D60" s="5" t="s">
        <v>221</v>
      </c>
      <c r="E60" s="5" t="s">
        <v>77</v>
      </c>
      <c r="F60" s="11" t="n">
        <v>1440.23</v>
      </c>
      <c r="G60" s="12" t="n">
        <v>77.9389</v>
      </c>
      <c r="H60" s="12" t="n">
        <v>73.9556</v>
      </c>
      <c r="J60" s="8" t="n">
        <v>-4.00622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1</v>
      </c>
      <c r="M60" s="14" t="n">
        <v>-400.62</v>
      </c>
      <c r="N60" s="9" t="n">
        <v>-5769.86</v>
      </c>
      <c r="O60" s="9" t="n">
        <v>1105474.86</v>
      </c>
    </row>
    <row r="61" customFormat="false" ht="15" hidden="false" customHeight="false" outlineLevel="0" collapsed="false">
      <c r="A61" s="6" t="n">
        <v>56</v>
      </c>
      <c r="B61" s="5" t="s">
        <v>74</v>
      </c>
      <c r="C61" s="5" t="s">
        <v>221</v>
      </c>
      <c r="D61" s="5" t="s">
        <v>676</v>
      </c>
      <c r="E61" s="5" t="s">
        <v>77</v>
      </c>
      <c r="F61" s="11" t="n">
        <v>2389.34</v>
      </c>
      <c r="G61" s="12" t="n">
        <v>76.0934</v>
      </c>
      <c r="H61" s="12" t="n">
        <v>76.2281</v>
      </c>
      <c r="I61" s="5" t="s">
        <v>78</v>
      </c>
      <c r="J61" s="8" t="n">
        <v>1.93561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193.56</v>
      </c>
      <c r="N61" s="9" t="n">
        <v>4624.84</v>
      </c>
      <c r="O61" s="9" t="n">
        <v>1110099.7</v>
      </c>
    </row>
    <row r="62" customFormat="false" ht="15" hidden="false" customHeight="false" outlineLevel="0" collapsed="false">
      <c r="A62" s="6" t="n">
        <v>57</v>
      </c>
      <c r="B62" s="5" t="s">
        <v>74</v>
      </c>
      <c r="C62" s="5" t="s">
        <v>676</v>
      </c>
      <c r="D62" s="5" t="s">
        <v>233</v>
      </c>
      <c r="E62" s="5" t="s">
        <v>77</v>
      </c>
      <c r="F62" s="11" t="n">
        <v>2511.49</v>
      </c>
      <c r="G62" s="12" t="n">
        <v>74.6573</v>
      </c>
      <c r="H62" s="12" t="n">
        <v>82.3708</v>
      </c>
      <c r="I62" s="5" t="s">
        <v>78</v>
      </c>
      <c r="J62" s="8" t="n">
        <v>4.85793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485.79</v>
      </c>
      <c r="N62" s="9" t="n">
        <v>12200.64</v>
      </c>
      <c r="O62" s="9" t="n">
        <v>1122300.34</v>
      </c>
    </row>
    <row r="63" customFormat="false" ht="15" hidden="false" customHeight="false" outlineLevel="0" collapsed="false">
      <c r="A63" s="6" t="n">
        <v>58</v>
      </c>
      <c r="B63" s="5" t="s">
        <v>74</v>
      </c>
      <c r="C63" s="5" t="s">
        <v>233</v>
      </c>
      <c r="D63" s="5" t="s">
        <v>234</v>
      </c>
      <c r="E63" s="5" t="s">
        <v>77</v>
      </c>
      <c r="F63" s="11" t="n">
        <v>8555.34</v>
      </c>
      <c r="G63" s="12" t="n">
        <v>77.5057</v>
      </c>
      <c r="H63" s="12" t="n">
        <v>76.1043</v>
      </c>
      <c r="J63" s="8" t="n">
        <v>-1.40856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1</v>
      </c>
      <c r="M63" s="14" t="n">
        <v>-140.86</v>
      </c>
      <c r="N63" s="9" t="n">
        <v>-12050.67</v>
      </c>
      <c r="O63" s="9" t="n">
        <v>1110249.67</v>
      </c>
    </row>
    <row r="64" customFormat="false" ht="15" hidden="false" customHeight="false" outlineLevel="0" collapsed="false">
      <c r="A64" s="6" t="n">
        <v>59</v>
      </c>
      <c r="B64" s="5" t="s">
        <v>74</v>
      </c>
      <c r="C64" s="5" t="s">
        <v>234</v>
      </c>
      <c r="D64" s="5" t="s">
        <v>235</v>
      </c>
      <c r="E64" s="5" t="s">
        <v>81</v>
      </c>
      <c r="F64" s="11" t="n">
        <v>2154.43</v>
      </c>
      <c r="G64" s="12" t="n">
        <v>75.3301</v>
      </c>
      <c r="H64" s="12" t="n">
        <v>66.3547</v>
      </c>
      <c r="I64" s="5" t="s">
        <v>78</v>
      </c>
      <c r="J64" s="8" t="n">
        <v>6.32541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632.54</v>
      </c>
      <c r="N64" s="9" t="n">
        <v>13627.63</v>
      </c>
      <c r="O64" s="9" t="n">
        <v>1123877.3</v>
      </c>
    </row>
    <row r="65" customFormat="false" ht="15" hidden="false" customHeight="false" outlineLevel="0" collapsed="false">
      <c r="A65" s="6" t="n">
        <v>60</v>
      </c>
      <c r="B65" s="5" t="s">
        <v>74</v>
      </c>
      <c r="C65" s="5" t="s">
        <v>235</v>
      </c>
      <c r="D65" s="5" t="s">
        <v>236</v>
      </c>
      <c r="E65" s="5" t="s">
        <v>81</v>
      </c>
      <c r="F65" s="11" t="n">
        <v>4216.34</v>
      </c>
      <c r="G65" s="12" t="n">
        <v>67.0797</v>
      </c>
      <c r="H65" s="12" t="n">
        <v>55.0112</v>
      </c>
      <c r="I65" s="5" t="s">
        <v>78</v>
      </c>
      <c r="J65" s="8" t="n">
        <v>15.88241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1588.24</v>
      </c>
      <c r="N65" s="9" t="n">
        <v>66965.63</v>
      </c>
      <c r="O65" s="9" t="n">
        <v>1190842.93</v>
      </c>
    </row>
    <row r="66" customFormat="false" ht="15" hidden="false" customHeight="false" outlineLevel="0" collapsed="false">
      <c r="A66" s="6" t="n">
        <v>61</v>
      </c>
      <c r="B66" s="5" t="s">
        <v>74</v>
      </c>
      <c r="C66" s="5" t="s">
        <v>236</v>
      </c>
      <c r="D66" s="5" t="s">
        <v>237</v>
      </c>
      <c r="E66" s="5" t="s">
        <v>81</v>
      </c>
      <c r="F66" s="11" t="n">
        <v>10109.88</v>
      </c>
      <c r="G66" s="12" t="n">
        <v>63.0838</v>
      </c>
      <c r="H66" s="12" t="n">
        <v>64.8133</v>
      </c>
      <c r="I66" s="5" t="s">
        <v>78</v>
      </c>
      <c r="J66" s="8" t="n">
        <v>3.85621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385.62</v>
      </c>
      <c r="N66" s="9" t="n">
        <v>38985.82</v>
      </c>
      <c r="O66" s="9" t="n">
        <v>1229828.75</v>
      </c>
    </row>
    <row r="67" customFormat="false" ht="15" hidden="false" customHeight="false" outlineLevel="0" collapsed="false">
      <c r="A67" s="6" t="n">
        <v>62</v>
      </c>
      <c r="B67" s="5" t="s">
        <v>74</v>
      </c>
      <c r="C67" s="5" t="s">
        <v>677</v>
      </c>
      <c r="D67" s="5" t="s">
        <v>238</v>
      </c>
      <c r="E67" s="5" t="s">
        <v>77</v>
      </c>
      <c r="F67" s="11" t="n">
        <v>3826.54</v>
      </c>
      <c r="G67" s="12" t="n">
        <v>67.293</v>
      </c>
      <c r="H67" s="12" t="n">
        <v>74.1151</v>
      </c>
      <c r="I67" s="5" t="s">
        <v>78</v>
      </c>
      <c r="J67" s="8" t="n">
        <v>7.04681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704.68</v>
      </c>
      <c r="N67" s="9" t="n">
        <v>26964.89</v>
      </c>
      <c r="O67" s="9" t="n">
        <v>1256793.64</v>
      </c>
    </row>
    <row r="68" customFormat="false" ht="15" hidden="false" customHeight="false" outlineLevel="0" collapsed="false">
      <c r="A68" s="6" t="n">
        <v>63</v>
      </c>
      <c r="B68" s="5" t="s">
        <v>74</v>
      </c>
      <c r="C68" s="5" t="s">
        <v>238</v>
      </c>
      <c r="D68" s="5" t="s">
        <v>239</v>
      </c>
      <c r="E68" s="5" t="s">
        <v>77</v>
      </c>
      <c r="F68" s="11" t="n">
        <v>3795.52</v>
      </c>
      <c r="G68" s="12" t="n">
        <v>67.0487</v>
      </c>
      <c r="H68" s="12" t="n">
        <v>71.534</v>
      </c>
      <c r="J68" s="8" t="n">
        <v>4.48173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448.17</v>
      </c>
      <c r="N68" s="9" t="n">
        <v>17010.48</v>
      </c>
      <c r="O68" s="9" t="n">
        <v>1273804.13</v>
      </c>
    </row>
    <row r="69" customFormat="false" ht="15" hidden="false" customHeight="false" outlineLevel="0" collapsed="false">
      <c r="A69" s="6" t="n">
        <v>64</v>
      </c>
      <c r="B69" s="5" t="s">
        <v>74</v>
      </c>
      <c r="C69" s="5" t="s">
        <v>239</v>
      </c>
      <c r="D69" s="5" t="s">
        <v>240</v>
      </c>
      <c r="E69" s="5" t="s">
        <v>77</v>
      </c>
      <c r="F69" s="11" t="n">
        <v>10815.09</v>
      </c>
      <c r="G69" s="12" t="n">
        <v>67.0487</v>
      </c>
      <c r="H69" s="12" t="n">
        <v>67.8937</v>
      </c>
      <c r="I69" s="5" t="s">
        <v>78</v>
      </c>
      <c r="J69" s="8" t="n">
        <v>2.9691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296.91</v>
      </c>
      <c r="N69" s="9" t="n">
        <v>32111.14</v>
      </c>
      <c r="O69" s="9" t="n">
        <v>1305915.27</v>
      </c>
    </row>
    <row r="70" customFormat="false" ht="15" hidden="false" customHeight="false" outlineLevel="0" collapsed="false">
      <c r="A70" s="6" t="n">
        <v>65</v>
      </c>
      <c r="B70" s="5" t="s">
        <v>74</v>
      </c>
      <c r="C70" s="5" t="s">
        <v>241</v>
      </c>
      <c r="D70" s="5" t="s">
        <v>244</v>
      </c>
      <c r="E70" s="5" t="s">
        <v>81</v>
      </c>
      <c r="F70" s="11" t="n">
        <v>8292.04</v>
      </c>
      <c r="G70" s="12" t="n">
        <v>66.3692</v>
      </c>
      <c r="H70" s="12" t="n">
        <v>66.7792</v>
      </c>
      <c r="I70" s="5" t="s">
        <v>78</v>
      </c>
      <c r="J70" s="8" t="n">
        <v>-5.43457</v>
      </c>
      <c r="K70" s="13" t="str">
        <f aca="false">IF(J70&gt;0,"прибыль",IF(J70&lt;0,"убыток","ноль"))</f>
        <v>убыток</v>
      </c>
      <c r="L70" s="13" t="n">
        <f aca="false">IF(C70="",L69,IF(J70&lt;0,L69+1,0))</f>
        <v>1</v>
      </c>
      <c r="M70" s="14" t="n">
        <v>-543.46</v>
      </c>
      <c r="N70" s="9" t="n">
        <v>-45063.66</v>
      </c>
      <c r="O70" s="9" t="n">
        <v>1260851.61</v>
      </c>
    </row>
    <row r="71" customFormat="false" ht="15" hidden="false" customHeight="false" outlineLevel="0" collapsed="false">
      <c r="A71" s="6" t="n">
        <v>66</v>
      </c>
      <c r="B71" s="5" t="s">
        <v>74</v>
      </c>
      <c r="C71" s="5" t="s">
        <v>678</v>
      </c>
      <c r="D71" s="5" t="s">
        <v>261</v>
      </c>
      <c r="E71" s="5" t="s">
        <v>77</v>
      </c>
      <c r="F71" s="11" t="n">
        <v>6348.6</v>
      </c>
      <c r="G71" s="12" t="n">
        <v>62.4265</v>
      </c>
      <c r="H71" s="12" t="n">
        <v>67.8224</v>
      </c>
      <c r="J71" s="8" t="n">
        <v>5.38724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538.72</v>
      </c>
      <c r="N71" s="9" t="n">
        <v>34201.41</v>
      </c>
      <c r="O71" s="9" t="n">
        <v>1295053.02</v>
      </c>
    </row>
    <row r="72" customFormat="false" ht="15" hidden="false" customHeight="false" outlineLevel="0" collapsed="false">
      <c r="A72" s="6" t="n">
        <v>67</v>
      </c>
      <c r="B72" s="5" t="s">
        <v>74</v>
      </c>
      <c r="C72" s="5" t="s">
        <v>261</v>
      </c>
      <c r="D72" s="5" t="s">
        <v>265</v>
      </c>
      <c r="E72" s="5" t="s">
        <v>77</v>
      </c>
      <c r="F72" s="11" t="n">
        <v>2791.79</v>
      </c>
      <c r="G72" s="12" t="n">
        <v>61.5608</v>
      </c>
      <c r="H72" s="12" t="n">
        <v>62.389</v>
      </c>
      <c r="I72" s="5" t="s">
        <v>78</v>
      </c>
      <c r="J72" s="8" t="n">
        <v>0.83749</v>
      </c>
      <c r="K72" s="13" t="str">
        <f aca="false">IF(J72&gt;0,"прибыль",IF(J72&lt;0,"убыток","ноль"))</f>
        <v>прибыль</v>
      </c>
      <c r="L72" s="13" t="n">
        <f aca="false">IF(C72="",L71,IF(J72&lt;0,L71+1,0))</f>
        <v>0</v>
      </c>
      <c r="M72" s="14" t="n">
        <v>83.75</v>
      </c>
      <c r="N72" s="9" t="n">
        <v>2338.08</v>
      </c>
      <c r="O72" s="9" t="n">
        <v>1297391.11</v>
      </c>
    </row>
    <row r="73" customFormat="false" ht="15" hidden="false" customHeight="false" outlineLevel="0" collapsed="false">
      <c r="A73" s="6" t="n">
        <v>68</v>
      </c>
      <c r="B73" s="5" t="s">
        <v>74</v>
      </c>
      <c r="C73" s="5" t="s">
        <v>265</v>
      </c>
      <c r="D73" s="5" t="s">
        <v>266</v>
      </c>
      <c r="E73" s="5" t="s">
        <v>77</v>
      </c>
      <c r="F73" s="11" t="n">
        <v>4118.55</v>
      </c>
      <c r="G73" s="12" t="n">
        <v>63.772</v>
      </c>
      <c r="H73" s="12" t="n">
        <v>66.0107</v>
      </c>
      <c r="I73" s="5" t="s">
        <v>78</v>
      </c>
      <c r="J73" s="8" t="n">
        <v>5.28598</v>
      </c>
      <c r="K73" s="13" t="str">
        <f aca="false">IF(J73&gt;0,"прибыль",IF(J73&lt;0,"убыток","ноль"))</f>
        <v>прибыль</v>
      </c>
      <c r="L73" s="13" t="n">
        <f aca="false">IF(C73="",L72,IF(J73&lt;0,L72+1,0))</f>
        <v>0</v>
      </c>
      <c r="M73" s="14" t="n">
        <v>528.6</v>
      </c>
      <c r="N73" s="9" t="n">
        <v>21770.55</v>
      </c>
      <c r="O73" s="9" t="n">
        <v>1319161.66</v>
      </c>
    </row>
    <row r="74" customFormat="false" ht="15" hidden="false" customHeight="false" outlineLevel="0" collapsed="false">
      <c r="A74" s="6" t="n">
        <v>69</v>
      </c>
      <c r="B74" s="5" t="s">
        <v>74</v>
      </c>
      <c r="C74" s="5" t="s">
        <v>266</v>
      </c>
      <c r="D74" s="5" t="s">
        <v>679</v>
      </c>
      <c r="E74" s="5" t="s">
        <v>77</v>
      </c>
      <c r="F74" s="11" t="n">
        <v>11805.17</v>
      </c>
      <c r="G74" s="12" t="n">
        <v>60.7179</v>
      </c>
      <c r="H74" s="12" t="n">
        <v>63.0896</v>
      </c>
      <c r="J74" s="8" t="n">
        <v>2.36852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236.85</v>
      </c>
      <c r="N74" s="9" t="n">
        <v>27960.79</v>
      </c>
      <c r="O74" s="9" t="n">
        <v>1347122.44</v>
      </c>
    </row>
    <row r="75" customFormat="false" ht="15" hidden="false" customHeight="false" outlineLevel="0" collapsed="false">
      <c r="A75" s="6" t="n">
        <v>70</v>
      </c>
      <c r="B75" s="5" t="s">
        <v>74</v>
      </c>
      <c r="C75" s="5" t="s">
        <v>680</v>
      </c>
      <c r="D75" s="5" t="s">
        <v>268</v>
      </c>
      <c r="E75" s="5" t="s">
        <v>81</v>
      </c>
      <c r="F75" s="11" t="n">
        <v>3154.08</v>
      </c>
      <c r="G75" s="12" t="n">
        <v>53.2479</v>
      </c>
      <c r="H75" s="12" t="n">
        <v>56.1846</v>
      </c>
      <c r="J75" s="8" t="n">
        <v>-2.95041</v>
      </c>
      <c r="K75" s="13" t="str">
        <f aca="false">IF(J75&gt;0,"прибыль",IF(J75&lt;0,"убыток","ноль"))</f>
        <v>убыток</v>
      </c>
      <c r="L75" s="13" t="n">
        <f aca="false">IF(C75="",L74,IF(J75&lt;0,L74+1,0))</f>
        <v>1</v>
      </c>
      <c r="M75" s="14" t="n">
        <v>-295.04</v>
      </c>
      <c r="N75" s="9" t="n">
        <v>-9305.83</v>
      </c>
      <c r="O75" s="9" t="n">
        <v>1337816.61</v>
      </c>
    </row>
    <row r="76" customFormat="false" ht="15" hidden="false" customHeight="false" outlineLevel="0" collapsed="false">
      <c r="A76" s="6" t="n">
        <v>71</v>
      </c>
      <c r="B76" s="5" t="s">
        <v>74</v>
      </c>
      <c r="C76" s="5" t="s">
        <v>268</v>
      </c>
      <c r="D76" s="5" t="s">
        <v>269</v>
      </c>
      <c r="E76" s="5" t="s">
        <v>81</v>
      </c>
      <c r="F76" s="11" t="n">
        <v>2443.1</v>
      </c>
      <c r="G76" s="12" t="n">
        <v>53.2479</v>
      </c>
      <c r="H76" s="12" t="n">
        <v>45.2808</v>
      </c>
      <c r="I76" s="5" t="s">
        <v>78</v>
      </c>
      <c r="J76" s="8" t="n">
        <v>10.14872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1014.87</v>
      </c>
      <c r="N76" s="9" t="n">
        <v>24794.34</v>
      </c>
      <c r="O76" s="9" t="n">
        <v>1362610.95</v>
      </c>
    </row>
    <row r="77" customFormat="false" ht="15" hidden="false" customHeight="false" outlineLevel="0" collapsed="false">
      <c r="A77" s="6" t="n">
        <v>72</v>
      </c>
      <c r="B77" s="5" t="s">
        <v>74</v>
      </c>
      <c r="C77" s="5" t="s">
        <v>269</v>
      </c>
      <c r="D77" s="5" t="s">
        <v>270</v>
      </c>
      <c r="E77" s="5" t="s">
        <v>81</v>
      </c>
      <c r="F77" s="11" t="n">
        <v>1502.08</v>
      </c>
      <c r="G77" s="12" t="n">
        <v>55.4318</v>
      </c>
      <c r="H77" s="12" t="n">
        <v>37.8975</v>
      </c>
      <c r="J77" s="8" t="n">
        <v>17.53248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1753.25</v>
      </c>
      <c r="N77" s="9" t="n">
        <v>26335.23</v>
      </c>
      <c r="O77" s="9" t="n">
        <v>1388946.18</v>
      </c>
    </row>
    <row r="78" customFormat="false" ht="15" hidden="false" customHeight="false" outlineLevel="0" collapsed="false">
      <c r="A78" s="6" t="n">
        <v>73</v>
      </c>
      <c r="B78" s="5" t="s">
        <v>74</v>
      </c>
      <c r="C78" s="5" t="s">
        <v>270</v>
      </c>
      <c r="D78" s="5" t="s">
        <v>271</v>
      </c>
      <c r="E78" s="5" t="s">
        <v>81</v>
      </c>
      <c r="F78" s="11" t="n">
        <v>1680.47</v>
      </c>
      <c r="G78" s="12" t="n">
        <v>49.1476</v>
      </c>
      <c r="H78" s="12" t="n">
        <v>29.8391</v>
      </c>
      <c r="I78" s="5" t="s">
        <v>78</v>
      </c>
      <c r="J78" s="8" t="n">
        <v>25.89517</v>
      </c>
      <c r="K78" s="13" t="str">
        <f aca="false">IF(J78&gt;0,"прибыль",IF(J78&lt;0,"убыток","ноль"))</f>
        <v>прибыль</v>
      </c>
      <c r="L78" s="13" t="n">
        <f aca="false">IF(C78="",L77,IF(J78&lt;0,L77+1,0))</f>
        <v>0</v>
      </c>
      <c r="M78" s="14" t="n">
        <v>2589.52</v>
      </c>
      <c r="N78" s="9" t="n">
        <v>43516.07</v>
      </c>
      <c r="O78" s="9" t="n">
        <v>1432462.25</v>
      </c>
    </row>
    <row r="79" customFormat="false" ht="15" hidden="false" customHeight="false" outlineLevel="0" collapsed="false">
      <c r="A79" s="6" t="n">
        <v>74</v>
      </c>
      <c r="B79" s="5" t="s">
        <v>74</v>
      </c>
      <c r="C79" s="5" t="s">
        <v>271</v>
      </c>
      <c r="D79" s="5" t="s">
        <v>272</v>
      </c>
      <c r="E79" s="5" t="s">
        <v>81</v>
      </c>
      <c r="F79" s="11" t="n">
        <v>1289.19</v>
      </c>
      <c r="G79" s="12" t="n">
        <v>55.7367</v>
      </c>
      <c r="H79" s="12" t="n">
        <v>35.2874</v>
      </c>
      <c r="J79" s="8" t="n">
        <v>20.44744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2044.74</v>
      </c>
      <c r="N79" s="9" t="n">
        <v>26360.62</v>
      </c>
      <c r="O79" s="9" t="n">
        <v>1458822.87</v>
      </c>
    </row>
    <row r="80" customFormat="false" ht="15" hidden="false" customHeight="false" outlineLevel="0" collapsed="false">
      <c r="A80" s="6" t="n">
        <v>75</v>
      </c>
      <c r="B80" s="5" t="s">
        <v>74</v>
      </c>
      <c r="C80" s="5" t="s">
        <v>272</v>
      </c>
      <c r="D80" s="5" t="s">
        <v>273</v>
      </c>
      <c r="E80" s="5" t="s">
        <v>81</v>
      </c>
      <c r="F80" s="11" t="n">
        <v>4222.59</v>
      </c>
      <c r="G80" s="12" t="n">
        <v>46.0023</v>
      </c>
      <c r="H80" s="12" t="n">
        <v>35.61</v>
      </c>
      <c r="I80" s="5" t="s">
        <v>78</v>
      </c>
      <c r="J80" s="8" t="n">
        <v>15.50331</v>
      </c>
      <c r="K80" s="13" t="str">
        <f aca="false">IF(J80&gt;0,"прибыль",IF(J80&lt;0,"убыток","ноль"))</f>
        <v>прибыль</v>
      </c>
      <c r="L80" s="13" t="n">
        <f aca="false">IF(C80="",L79,IF(J80&lt;0,L79+1,0))</f>
        <v>0</v>
      </c>
      <c r="M80" s="14" t="n">
        <v>1550.33</v>
      </c>
      <c r="N80" s="9" t="n">
        <v>65464.12</v>
      </c>
      <c r="O80" s="9" t="n">
        <v>1524286.99</v>
      </c>
    </row>
    <row r="81" customFormat="false" ht="15" hidden="false" customHeight="false" outlineLevel="0" collapsed="false">
      <c r="A81" s="6" t="n">
        <v>76</v>
      </c>
      <c r="B81" s="5" t="s">
        <v>74</v>
      </c>
      <c r="C81" s="5" t="s">
        <v>681</v>
      </c>
      <c r="D81" s="5" t="s">
        <v>279</v>
      </c>
      <c r="E81" s="5" t="s">
        <v>77</v>
      </c>
      <c r="F81" s="11" t="n">
        <v>19614.89</v>
      </c>
      <c r="G81" s="12" t="n">
        <v>43.1705</v>
      </c>
      <c r="H81" s="12" t="n">
        <v>43.9897</v>
      </c>
      <c r="I81" s="5" t="s">
        <v>78</v>
      </c>
      <c r="J81" s="8" t="n">
        <v>-0.91315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1</v>
      </c>
      <c r="M81" s="14" t="n">
        <v>-91.32</v>
      </c>
      <c r="N81" s="9" t="n">
        <v>-17911.41</v>
      </c>
      <c r="O81" s="9" t="n">
        <v>1506375.58</v>
      </c>
    </row>
    <row r="82" customFormat="false" ht="15" hidden="false" customHeight="false" outlineLevel="0" collapsed="false">
      <c r="A82" s="6" t="n">
        <v>77</v>
      </c>
      <c r="B82" s="5" t="s">
        <v>74</v>
      </c>
      <c r="C82" s="5" t="s">
        <v>280</v>
      </c>
      <c r="D82" s="5" t="s">
        <v>281</v>
      </c>
      <c r="E82" s="5" t="s">
        <v>81</v>
      </c>
      <c r="F82" s="11" t="n">
        <v>3416.11</v>
      </c>
      <c r="G82" s="12" t="n">
        <v>42.2961</v>
      </c>
      <c r="H82" s="12" t="n">
        <v>40.8128</v>
      </c>
      <c r="J82" s="8" t="n">
        <v>1.472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147.2</v>
      </c>
      <c r="N82" s="9" t="n">
        <v>5028.51</v>
      </c>
      <c r="O82" s="9" t="n">
        <v>1511404.09</v>
      </c>
    </row>
    <row r="83" customFormat="false" ht="15" hidden="false" customHeight="false" outlineLevel="0" collapsed="false">
      <c r="A83" s="6" t="n">
        <v>78</v>
      </c>
      <c r="B83" s="5" t="s">
        <v>74</v>
      </c>
      <c r="C83" s="5" t="s">
        <v>281</v>
      </c>
      <c r="D83" s="5" t="s">
        <v>282</v>
      </c>
      <c r="E83" s="5" t="s">
        <v>81</v>
      </c>
      <c r="F83" s="11" t="n">
        <v>3481.55</v>
      </c>
      <c r="G83" s="12" t="n">
        <v>42.2961</v>
      </c>
      <c r="H83" s="12" t="n">
        <v>41.6703</v>
      </c>
      <c r="I83" s="5" t="s">
        <v>78</v>
      </c>
      <c r="J83" s="8" t="n">
        <v>0.47915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47.92</v>
      </c>
      <c r="N83" s="9" t="n">
        <v>1668.2</v>
      </c>
      <c r="O83" s="9" t="n">
        <v>1513072.29</v>
      </c>
    </row>
    <row r="84" customFormat="false" ht="15" hidden="false" customHeight="false" outlineLevel="0" collapsed="false">
      <c r="A84" s="6" t="n">
        <v>79</v>
      </c>
      <c r="B84" s="5" t="s">
        <v>74</v>
      </c>
      <c r="C84" s="5" t="s">
        <v>282</v>
      </c>
      <c r="D84" s="5" t="s">
        <v>283</v>
      </c>
      <c r="E84" s="5" t="s">
        <v>81</v>
      </c>
      <c r="F84" s="11" t="n">
        <v>3088.81</v>
      </c>
      <c r="G84" s="12" t="n">
        <v>40.981</v>
      </c>
      <c r="H84" s="12" t="n">
        <v>42.3565</v>
      </c>
      <c r="I84" s="5" t="s">
        <v>78</v>
      </c>
      <c r="J84" s="8" t="n">
        <v>0.64411</v>
      </c>
      <c r="K84" s="13" t="str">
        <f aca="false">IF(J84&gt;0,"прибыль",IF(J84&lt;0,"убыток","ноль"))</f>
        <v>прибыль</v>
      </c>
      <c r="L84" s="13" t="n">
        <f aca="false">IF(C84="",L83,IF(J84&lt;0,L83+1,0))</f>
        <v>0</v>
      </c>
      <c r="M84" s="14" t="n">
        <v>64.41</v>
      </c>
      <c r="N84" s="9" t="n">
        <v>1989.54</v>
      </c>
      <c r="O84" s="9" t="n">
        <v>1515061.83</v>
      </c>
    </row>
    <row r="85" customFormat="false" ht="15" hidden="false" customHeight="false" outlineLevel="0" collapsed="false">
      <c r="A85" s="6" t="n">
        <v>80</v>
      </c>
      <c r="B85" s="5" t="s">
        <v>74</v>
      </c>
      <c r="C85" s="5" t="s">
        <v>283</v>
      </c>
      <c r="D85" s="5" t="s">
        <v>682</v>
      </c>
      <c r="E85" s="5" t="s">
        <v>81</v>
      </c>
      <c r="F85" s="11" t="n">
        <v>8661.03</v>
      </c>
      <c r="G85" s="12" t="n">
        <v>43.0054</v>
      </c>
      <c r="H85" s="12" t="n">
        <v>46.0217</v>
      </c>
      <c r="J85" s="8" t="n">
        <v>-3.0208</v>
      </c>
      <c r="K85" s="13" t="str">
        <f aca="false">IF(J85&gt;0,"прибыль",IF(J85&lt;0,"убыток","ноль"))</f>
        <v>убыток</v>
      </c>
      <c r="L85" s="13" t="n">
        <f aca="false">IF(C85="",L84,IF(J85&lt;0,L84+1,0))</f>
        <v>1</v>
      </c>
      <c r="M85" s="14" t="n">
        <v>-302.08</v>
      </c>
      <c r="N85" s="9" t="n">
        <v>-26163.24</v>
      </c>
      <c r="O85" s="9" t="n">
        <v>1488898.59</v>
      </c>
    </row>
    <row r="86" customFormat="false" ht="15" hidden="false" customHeight="false" outlineLevel="0" collapsed="false">
      <c r="A86" s="6" t="n">
        <v>81</v>
      </c>
      <c r="B86" s="5" t="s">
        <v>74</v>
      </c>
      <c r="C86" s="5" t="s">
        <v>682</v>
      </c>
      <c r="D86" s="5" t="s">
        <v>287</v>
      </c>
      <c r="E86" s="5" t="s">
        <v>77</v>
      </c>
      <c r="F86" s="11" t="n">
        <v>4698.91</v>
      </c>
      <c r="G86" s="12" t="n">
        <v>47.8859</v>
      </c>
      <c r="H86" s="12" t="n">
        <v>53.5854</v>
      </c>
      <c r="I86" s="5" t="s">
        <v>78</v>
      </c>
      <c r="J86" s="8" t="n">
        <v>5.7857</v>
      </c>
      <c r="K86" s="13" t="str">
        <f aca="false">IF(J86&gt;0,"прибыль",IF(J86&lt;0,"убыток","ноль"))</f>
        <v>прибыль</v>
      </c>
      <c r="L86" s="13" t="n">
        <f aca="false">IF(C86="",L85,IF(J86&lt;0,L85+1,0))</f>
        <v>0</v>
      </c>
      <c r="M86" s="14" t="n">
        <v>578.57</v>
      </c>
      <c r="N86" s="9" t="n">
        <v>27186.51</v>
      </c>
      <c r="O86" s="9" t="n">
        <v>1516085.1</v>
      </c>
    </row>
    <row r="87" customFormat="false" ht="15" hidden="false" customHeight="false" outlineLevel="0" collapsed="false">
      <c r="A87" s="6" t="n">
        <v>82</v>
      </c>
      <c r="B87" s="5" t="s">
        <v>288</v>
      </c>
      <c r="C87" s="5" t="s">
        <v>287</v>
      </c>
      <c r="D87" s="5" t="s">
        <v>289</v>
      </c>
      <c r="E87" s="5" t="s">
        <v>77</v>
      </c>
      <c r="F87" s="11" t="n">
        <v>2600.1</v>
      </c>
      <c r="G87" s="12" t="n">
        <v>50.3522</v>
      </c>
      <c r="H87" s="12" t="n">
        <v>67.022</v>
      </c>
      <c r="I87" s="5" t="s">
        <v>78</v>
      </c>
      <c r="J87" s="8" t="n">
        <v>16.17665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1617.67</v>
      </c>
      <c r="N87" s="9" t="n">
        <v>42060.87</v>
      </c>
      <c r="O87" s="9" t="n">
        <v>1558145.96</v>
      </c>
    </row>
    <row r="88" customFormat="false" ht="15" hidden="false" customHeight="false" outlineLevel="0" collapsed="false">
      <c r="A88" s="6" t="n">
        <v>83</v>
      </c>
      <c r="B88" s="5" t="s">
        <v>288</v>
      </c>
      <c r="C88" s="5" t="s">
        <v>289</v>
      </c>
      <c r="D88" s="5" t="s">
        <v>290</v>
      </c>
      <c r="E88" s="5" t="s">
        <v>77</v>
      </c>
      <c r="F88" s="11" t="n">
        <v>2582.33</v>
      </c>
      <c r="G88" s="12" t="n">
        <v>50.8387</v>
      </c>
      <c r="H88" s="12" t="n">
        <v>67.1081</v>
      </c>
      <c r="I88" s="5" t="s">
        <v>78</v>
      </c>
      <c r="J88" s="8" t="n">
        <v>18.30082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1830.08</v>
      </c>
      <c r="N88" s="9" t="n">
        <v>47258.8</v>
      </c>
      <c r="O88" s="9" t="n">
        <v>1605404.77</v>
      </c>
    </row>
    <row r="89" customFormat="false" ht="15" hidden="false" customHeight="false" outlineLevel="0" collapsed="false">
      <c r="A89" s="6" t="n">
        <v>84</v>
      </c>
      <c r="B89" s="5" t="s">
        <v>288</v>
      </c>
      <c r="C89" s="5" t="s">
        <v>290</v>
      </c>
      <c r="D89" s="5" t="s">
        <v>291</v>
      </c>
      <c r="E89" s="5" t="s">
        <v>77</v>
      </c>
      <c r="F89" s="11" t="n">
        <v>2266.31</v>
      </c>
      <c r="G89" s="12" t="n">
        <v>48.8039</v>
      </c>
      <c r="H89" s="12" t="n">
        <v>62.7629</v>
      </c>
      <c r="J89" s="8" t="n">
        <v>13.95581</v>
      </c>
      <c r="K89" s="13" t="str">
        <f aca="false">IF(J89&gt;0,"прибыль",IF(J89&lt;0,"убыток","ноль"))</f>
        <v>прибыль</v>
      </c>
      <c r="L89" s="13" t="n">
        <f aca="false">IF(C89="",L88,IF(J89&lt;0,L88+1,0))</f>
        <v>0</v>
      </c>
      <c r="M89" s="14" t="n">
        <v>1395.58</v>
      </c>
      <c r="N89" s="9" t="n">
        <v>31628.2</v>
      </c>
      <c r="O89" s="9" t="n">
        <v>1637032.97</v>
      </c>
    </row>
    <row r="90" customFormat="false" ht="15" hidden="false" customHeight="false" outlineLevel="0" collapsed="false">
      <c r="A90" s="6" t="n">
        <v>85</v>
      </c>
      <c r="B90" s="5" t="s">
        <v>288</v>
      </c>
      <c r="C90" s="5" t="s">
        <v>291</v>
      </c>
      <c r="D90" s="5" t="s">
        <v>292</v>
      </c>
      <c r="E90" s="5" t="s">
        <v>77</v>
      </c>
      <c r="F90" s="11" t="n">
        <v>1239.21</v>
      </c>
      <c r="G90" s="12" t="n">
        <v>48.8039</v>
      </c>
      <c r="H90" s="12" t="n">
        <v>64.2656</v>
      </c>
      <c r="J90" s="8" t="n">
        <v>15.45842</v>
      </c>
      <c r="K90" s="13" t="str">
        <f aca="false">IF(J90&gt;0,"прибыль",IF(J90&lt;0,"убыток","ноль"))</f>
        <v>прибыль</v>
      </c>
      <c r="L90" s="13" t="n">
        <f aca="false">IF(C90="",L89,IF(J90&lt;0,L89+1,0))</f>
        <v>0</v>
      </c>
      <c r="M90" s="14" t="n">
        <v>1545.84</v>
      </c>
      <c r="N90" s="9" t="n">
        <v>19156.29</v>
      </c>
      <c r="O90" s="9" t="n">
        <v>1656189.26</v>
      </c>
    </row>
    <row r="91" customFormat="false" ht="15" hidden="false" customHeight="false" outlineLevel="0" collapsed="false">
      <c r="A91" s="6" t="n">
        <v>86</v>
      </c>
      <c r="B91" s="5" t="s">
        <v>288</v>
      </c>
      <c r="C91" s="5" t="s">
        <v>292</v>
      </c>
      <c r="D91" s="5" t="s">
        <v>593</v>
      </c>
      <c r="E91" s="5" t="s">
        <v>77</v>
      </c>
      <c r="F91" s="11" t="n">
        <v>2296.84</v>
      </c>
      <c r="G91" s="12" t="n">
        <v>58.0824</v>
      </c>
      <c r="H91" s="12" t="n">
        <v>66.655</v>
      </c>
      <c r="I91" s="5" t="s">
        <v>78</v>
      </c>
      <c r="J91" s="8" t="n">
        <v>8.06609</v>
      </c>
      <c r="K91" s="13" t="str">
        <f aca="false">IF(J91&gt;0,"прибыль",IF(J91&lt;0,"убыток","ноль"))</f>
        <v>прибыль</v>
      </c>
      <c r="L91" s="13" t="n">
        <f aca="false">IF(C91="",L90,IF(J91&lt;0,L90+1,0))</f>
        <v>0</v>
      </c>
      <c r="M91" s="14" t="n">
        <v>806.61</v>
      </c>
      <c r="N91" s="9" t="n">
        <v>18526.53</v>
      </c>
      <c r="O91" s="9" t="n">
        <v>1674715.79</v>
      </c>
    </row>
    <row r="92" customFormat="false" ht="15" hidden="false" customHeight="false" outlineLevel="0" collapsed="false">
      <c r="A92" s="6" t="n">
        <v>87</v>
      </c>
      <c r="B92" s="5" t="s">
        <v>288</v>
      </c>
      <c r="C92" s="5" t="s">
        <v>593</v>
      </c>
      <c r="D92" s="5" t="s">
        <v>297</v>
      </c>
      <c r="E92" s="5" t="s">
        <v>77</v>
      </c>
      <c r="F92" s="11" t="n">
        <v>5405.83</v>
      </c>
      <c r="G92" s="12" t="n">
        <v>67.0141</v>
      </c>
      <c r="H92" s="12" t="n">
        <v>74.7837</v>
      </c>
      <c r="I92" s="5" t="s">
        <v>78</v>
      </c>
      <c r="J92" s="8" t="n">
        <v>7.49391</v>
      </c>
      <c r="K92" s="13" t="str">
        <f aca="false">IF(J92&gt;0,"прибыль",IF(J92&lt;0,"убыток","ноль"))</f>
        <v>прибыль</v>
      </c>
      <c r="L92" s="13" t="n">
        <f aca="false">IF(C92="",L91,IF(J92&lt;0,L91+1,0))</f>
        <v>0</v>
      </c>
      <c r="M92" s="14" t="n">
        <v>749.39</v>
      </c>
      <c r="N92" s="9" t="n">
        <v>40510.81</v>
      </c>
      <c r="O92" s="9" t="n">
        <v>1715226.61</v>
      </c>
    </row>
    <row r="93" customFormat="false" ht="15" hidden="false" customHeight="false" outlineLevel="0" collapsed="false">
      <c r="A93" s="6" t="n">
        <v>88</v>
      </c>
      <c r="B93" s="5" t="s">
        <v>288</v>
      </c>
      <c r="C93" s="5" t="s">
        <v>297</v>
      </c>
      <c r="D93" s="5" t="s">
        <v>298</v>
      </c>
      <c r="E93" s="5" t="s">
        <v>77</v>
      </c>
      <c r="F93" s="11" t="n">
        <v>10639.43</v>
      </c>
      <c r="G93" s="12" t="n">
        <v>67.28</v>
      </c>
      <c r="H93" s="12" t="n">
        <v>68.6246</v>
      </c>
      <c r="J93" s="8" t="n">
        <v>1.34119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134.12</v>
      </c>
      <c r="N93" s="9" t="n">
        <v>14269.44</v>
      </c>
      <c r="O93" s="9" t="n">
        <v>1729496.05</v>
      </c>
    </row>
    <row r="94" customFormat="false" ht="15" hidden="false" customHeight="false" outlineLevel="0" collapsed="false">
      <c r="A94" s="6" t="n">
        <v>89</v>
      </c>
      <c r="B94" s="5" t="s">
        <v>288</v>
      </c>
      <c r="C94" s="5" t="s">
        <v>683</v>
      </c>
      <c r="D94" s="5" t="s">
        <v>684</v>
      </c>
      <c r="E94" s="5" t="s">
        <v>77</v>
      </c>
      <c r="F94" s="11" t="n">
        <v>9263.73</v>
      </c>
      <c r="G94" s="12" t="n">
        <v>77.343</v>
      </c>
      <c r="H94" s="12" t="n">
        <v>78.4326</v>
      </c>
      <c r="I94" s="5" t="s">
        <v>78</v>
      </c>
      <c r="J94" s="8" t="n">
        <v>0.16766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16.77</v>
      </c>
      <c r="N94" s="9" t="n">
        <v>1553.11</v>
      </c>
      <c r="O94" s="9" t="n">
        <v>1731049.16</v>
      </c>
    </row>
    <row r="95" customFormat="false" ht="15" hidden="false" customHeight="false" outlineLevel="0" collapsed="false">
      <c r="A95" s="6" t="n">
        <v>90</v>
      </c>
      <c r="B95" s="5" t="s">
        <v>288</v>
      </c>
      <c r="C95" s="5" t="s">
        <v>307</v>
      </c>
      <c r="D95" s="5" t="s">
        <v>685</v>
      </c>
      <c r="E95" s="5" t="s">
        <v>81</v>
      </c>
      <c r="F95" s="11" t="n">
        <v>5654.4</v>
      </c>
      <c r="G95" s="12" t="n">
        <v>73.8263</v>
      </c>
      <c r="H95" s="12" t="n">
        <v>78.8144</v>
      </c>
      <c r="I95" s="5" t="s">
        <v>78</v>
      </c>
      <c r="J95" s="8" t="n">
        <v>-6.79573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1</v>
      </c>
      <c r="M95" s="14" t="n">
        <v>-679.57</v>
      </c>
      <c r="N95" s="9" t="n">
        <v>-38425.73</v>
      </c>
      <c r="O95" s="9" t="n">
        <v>1692623.44</v>
      </c>
    </row>
    <row r="96" customFormat="false" ht="15" hidden="false" customHeight="false" outlineLevel="0" collapsed="false">
      <c r="A96" s="6" t="n">
        <v>91</v>
      </c>
      <c r="B96" s="5" t="s">
        <v>288</v>
      </c>
      <c r="C96" s="5" t="s">
        <v>686</v>
      </c>
      <c r="D96" s="5" t="s">
        <v>312</v>
      </c>
      <c r="E96" s="5" t="s">
        <v>77</v>
      </c>
      <c r="F96" s="11" t="n">
        <v>2003.99</v>
      </c>
      <c r="G96" s="12" t="n">
        <v>84.8187</v>
      </c>
      <c r="H96" s="12" t="n">
        <v>93.0201</v>
      </c>
      <c r="I96" s="5" t="s">
        <v>78</v>
      </c>
      <c r="J96" s="8" t="n">
        <v>10.00938</v>
      </c>
      <c r="K96" s="13" t="str">
        <f aca="false">IF(J96&gt;0,"прибыль",IF(J96&lt;0,"убыток","ноль"))</f>
        <v>прибыль</v>
      </c>
      <c r="L96" s="13" t="n">
        <f aca="false">IF(C96="",L95,IF(J96&lt;0,L95+1,0))</f>
        <v>0</v>
      </c>
      <c r="M96" s="14" t="n">
        <v>1000.94</v>
      </c>
      <c r="N96" s="9" t="n">
        <v>20058.75</v>
      </c>
      <c r="O96" s="9" t="n">
        <v>1712682.19</v>
      </c>
    </row>
    <row r="97" customFormat="false" ht="15" hidden="false" customHeight="false" outlineLevel="0" collapsed="false">
      <c r="A97" s="6" t="n">
        <v>92</v>
      </c>
      <c r="B97" s="5" t="s">
        <v>288</v>
      </c>
      <c r="C97" s="5" t="s">
        <v>312</v>
      </c>
      <c r="D97" s="5" t="s">
        <v>313</v>
      </c>
      <c r="E97" s="5" t="s">
        <v>77</v>
      </c>
      <c r="F97" s="11" t="n">
        <v>4450.23</v>
      </c>
      <c r="G97" s="12" t="n">
        <v>82.9885</v>
      </c>
      <c r="H97" s="12" t="n">
        <v>114.2133</v>
      </c>
      <c r="I97" s="5" t="s">
        <v>78</v>
      </c>
      <c r="J97" s="8" t="n">
        <v>34.94512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3494.51</v>
      </c>
      <c r="N97" s="9" t="n">
        <v>155513.76</v>
      </c>
      <c r="O97" s="9" t="n">
        <v>1868195.95</v>
      </c>
    </row>
    <row r="98" customFormat="false" ht="15" hidden="false" customHeight="false" outlineLevel="0" collapsed="false">
      <c r="A98" s="6" t="n">
        <v>93</v>
      </c>
      <c r="B98" s="5" t="s">
        <v>288</v>
      </c>
      <c r="C98" s="5" t="s">
        <v>313</v>
      </c>
      <c r="D98" s="5" t="s">
        <v>314</v>
      </c>
      <c r="E98" s="5" t="s">
        <v>77</v>
      </c>
      <c r="F98" s="11" t="n">
        <v>531.45</v>
      </c>
      <c r="G98" s="12" t="n">
        <v>79.2625</v>
      </c>
      <c r="H98" s="12" t="n">
        <v>119.7061</v>
      </c>
      <c r="J98" s="8" t="n">
        <v>40.43762</v>
      </c>
      <c r="K98" s="13" t="str">
        <f aca="false">IF(J98&gt;0,"прибыль",IF(J98&lt;0,"убыток","ноль"))</f>
        <v>прибыль</v>
      </c>
      <c r="L98" s="13" t="n">
        <f aca="false">IF(C98="",L97,IF(J98&lt;0,L97+1,0))</f>
        <v>0</v>
      </c>
      <c r="M98" s="14" t="n">
        <v>4043.76</v>
      </c>
      <c r="N98" s="9" t="n">
        <v>21490.5</v>
      </c>
      <c r="O98" s="9" t="n">
        <v>1889686.44</v>
      </c>
    </row>
    <row r="99" customFormat="false" ht="15" hidden="false" customHeight="false" outlineLevel="0" collapsed="false">
      <c r="A99" s="6" t="n">
        <v>94</v>
      </c>
      <c r="B99" s="5" t="s">
        <v>288</v>
      </c>
      <c r="C99" s="5" t="s">
        <v>314</v>
      </c>
      <c r="D99" s="5" t="s">
        <v>315</v>
      </c>
      <c r="E99" s="5" t="s">
        <v>77</v>
      </c>
      <c r="F99" s="11" t="n">
        <v>397.34</v>
      </c>
      <c r="G99" s="12" t="n">
        <v>79.2625</v>
      </c>
      <c r="H99" s="12" t="n">
        <v>121.0817</v>
      </c>
      <c r="J99" s="8" t="n">
        <v>41.8131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4181.31</v>
      </c>
      <c r="N99" s="9" t="n">
        <v>16614.13</v>
      </c>
      <c r="O99" s="9" t="n">
        <v>1906300.57</v>
      </c>
    </row>
    <row r="100" customFormat="false" ht="15" hidden="false" customHeight="false" outlineLevel="0" collapsed="false">
      <c r="A100" s="6" t="n">
        <v>95</v>
      </c>
      <c r="B100" s="5" t="s">
        <v>288</v>
      </c>
      <c r="C100" s="5" t="s">
        <v>315</v>
      </c>
      <c r="D100" s="5" t="s">
        <v>320</v>
      </c>
      <c r="E100" s="5" t="s">
        <v>77</v>
      </c>
      <c r="F100" s="11" t="n">
        <v>5165.38</v>
      </c>
      <c r="G100" s="12" t="n">
        <v>107.2729</v>
      </c>
      <c r="H100" s="12" t="n">
        <v>105.6688</v>
      </c>
      <c r="I100" s="5" t="s">
        <v>78</v>
      </c>
      <c r="J100" s="8" t="n">
        <v>9.99912</v>
      </c>
      <c r="K100" s="13" t="str">
        <f aca="false">IF(J100&gt;0,"прибыль",IF(J100&lt;0,"убыток","ноль"))</f>
        <v>прибыль</v>
      </c>
      <c r="L100" s="13" t="n">
        <f aca="false">IF(C100="",L99,IF(J100&lt;0,L99+1,0))</f>
        <v>0</v>
      </c>
      <c r="M100" s="14" t="n">
        <v>999.91</v>
      </c>
      <c r="N100" s="9" t="n">
        <v>51649.21</v>
      </c>
      <c r="O100" s="9" t="n">
        <v>1957949.78</v>
      </c>
    </row>
    <row r="101" customFormat="false" ht="15" hidden="false" customHeight="false" outlineLevel="0" collapsed="false">
      <c r="A101" s="6" t="n">
        <v>96</v>
      </c>
      <c r="B101" s="5" t="s">
        <v>288</v>
      </c>
      <c r="C101" s="5" t="s">
        <v>687</v>
      </c>
      <c r="D101" s="5" t="s">
        <v>600</v>
      </c>
      <c r="E101" s="5" t="s">
        <v>81</v>
      </c>
      <c r="F101" s="11" t="n">
        <v>1854.73</v>
      </c>
      <c r="G101" s="12" t="n">
        <v>82.607</v>
      </c>
      <c r="H101" s="12" t="n">
        <v>78.0303</v>
      </c>
      <c r="I101" s="5" t="s">
        <v>78</v>
      </c>
      <c r="J101" s="8" t="n">
        <v>23.32975</v>
      </c>
      <c r="K101" s="13" t="str">
        <f aca="false">IF(J101&gt;0,"прибыль",IF(J101&lt;0,"убыток","ноль"))</f>
        <v>прибыль</v>
      </c>
      <c r="L101" s="13" t="n">
        <f aca="false">IF(C101="",L100,IF(J101&lt;0,L100+1,0))</f>
        <v>0</v>
      </c>
      <c r="M101" s="14" t="n">
        <v>2332.97</v>
      </c>
      <c r="N101" s="9" t="n">
        <v>43270.36</v>
      </c>
      <c r="O101" s="9" t="n">
        <v>2001220.14</v>
      </c>
    </row>
    <row r="102" customFormat="false" ht="15" hidden="false" customHeight="false" outlineLevel="0" collapsed="false">
      <c r="A102" s="6" t="n">
        <v>97</v>
      </c>
      <c r="B102" s="5" t="s">
        <v>288</v>
      </c>
      <c r="C102" s="5" t="s">
        <v>600</v>
      </c>
      <c r="D102" s="5" t="s">
        <v>688</v>
      </c>
      <c r="E102" s="5" t="s">
        <v>81</v>
      </c>
      <c r="F102" s="11" t="n">
        <v>5593.24</v>
      </c>
      <c r="G102" s="12" t="n">
        <v>101.3856</v>
      </c>
      <c r="H102" s="12" t="n">
        <v>87.7259</v>
      </c>
      <c r="I102" s="5" t="s">
        <v>78</v>
      </c>
      <c r="J102" s="8" t="n">
        <v>22.04582</v>
      </c>
      <c r="K102" s="13" t="str">
        <f aca="false">IF(J102&gt;0,"прибыль",IF(J102&lt;0,"убыток","ноль"))</f>
        <v>прибыль</v>
      </c>
      <c r="L102" s="13" t="n">
        <f aca="false">IF(C102="",L101,IF(J102&lt;0,L101+1,0))</f>
        <v>0</v>
      </c>
      <c r="M102" s="14" t="n">
        <v>2204.58</v>
      </c>
      <c r="N102" s="9" t="n">
        <v>123307.48</v>
      </c>
      <c r="O102" s="9" t="n">
        <v>2124527.62</v>
      </c>
    </row>
    <row r="103" customFormat="false" ht="15" hidden="false" customHeight="false" outlineLevel="0" collapsed="false">
      <c r="A103" s="6" t="n">
        <v>98</v>
      </c>
      <c r="B103" s="5" t="s">
        <v>288</v>
      </c>
      <c r="C103" s="5" t="s">
        <v>689</v>
      </c>
      <c r="D103" s="5" t="s">
        <v>690</v>
      </c>
      <c r="E103" s="5" t="s">
        <v>81</v>
      </c>
      <c r="F103" s="11" t="n">
        <v>7524.11</v>
      </c>
      <c r="G103" s="12" t="n">
        <v>75.3884</v>
      </c>
      <c r="H103" s="12" t="n">
        <v>79.5218</v>
      </c>
      <c r="I103" s="5" t="s">
        <v>78</v>
      </c>
      <c r="J103" s="8" t="n">
        <v>-0.28597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1</v>
      </c>
      <c r="M103" s="14" t="n">
        <v>-28.6</v>
      </c>
      <c r="N103" s="9" t="n">
        <v>-2151.71</v>
      </c>
      <c r="O103" s="9" t="n">
        <v>2122375.91</v>
      </c>
    </row>
    <row r="104" customFormat="false" ht="15" hidden="false" customHeight="false" outlineLevel="0" collapsed="false">
      <c r="A104" s="6" t="n">
        <v>99</v>
      </c>
      <c r="B104" s="5" t="s">
        <v>288</v>
      </c>
      <c r="C104" s="5" t="s">
        <v>349</v>
      </c>
      <c r="D104" s="5" t="s">
        <v>603</v>
      </c>
      <c r="E104" s="5" t="s">
        <v>77</v>
      </c>
      <c r="F104" s="11" t="n">
        <v>2923.19</v>
      </c>
      <c r="G104" s="12" t="n">
        <v>84.5693</v>
      </c>
      <c r="H104" s="12" t="n">
        <v>95.0423</v>
      </c>
      <c r="I104" s="5" t="s">
        <v>78</v>
      </c>
      <c r="J104" s="8" t="n">
        <v>8.27602</v>
      </c>
      <c r="K104" s="13" t="str">
        <f aca="false">IF(J104&gt;0,"прибыль",IF(J104&lt;0,"убыток","ноль"))</f>
        <v>прибыль</v>
      </c>
      <c r="L104" s="13" t="n">
        <f aca="false">IF(C104="",L103,IF(J104&lt;0,L103+1,0))</f>
        <v>0</v>
      </c>
      <c r="M104" s="14" t="n">
        <v>827.6</v>
      </c>
      <c r="N104" s="9" t="n">
        <v>24192.4</v>
      </c>
      <c r="O104" s="9" t="n">
        <v>2146568.31</v>
      </c>
    </row>
    <row r="105" customFormat="false" ht="15" hidden="false" customHeight="false" outlineLevel="0" collapsed="false">
      <c r="A105" s="6" t="n">
        <v>100</v>
      </c>
      <c r="B105" s="5" t="s">
        <v>288</v>
      </c>
      <c r="C105" s="5" t="s">
        <v>603</v>
      </c>
      <c r="D105" s="5" t="s">
        <v>350</v>
      </c>
      <c r="E105" s="5" t="s">
        <v>77</v>
      </c>
      <c r="F105" s="11" t="n">
        <v>3211.85</v>
      </c>
      <c r="G105" s="12" t="n">
        <v>86.7431</v>
      </c>
      <c r="H105" s="12" t="n">
        <v>86.5446</v>
      </c>
      <c r="I105" s="5" t="s">
        <v>78</v>
      </c>
      <c r="J105" s="8" t="n">
        <v>3.73048</v>
      </c>
      <c r="K105" s="13" t="str">
        <f aca="false">IF(J105&gt;0,"прибыль",IF(J105&lt;0,"убыток","ноль"))</f>
        <v>прибыль</v>
      </c>
      <c r="L105" s="13" t="n">
        <f aca="false">IF(C105="",L104,IF(J105&lt;0,L104+1,0))</f>
        <v>0</v>
      </c>
      <c r="M105" s="14" t="n">
        <v>373.05</v>
      </c>
      <c r="N105" s="9" t="n">
        <v>11981.74</v>
      </c>
      <c r="O105" s="9" t="n">
        <v>2158550.05</v>
      </c>
    </row>
    <row r="106" customFormat="false" ht="15" hidden="false" customHeight="false" outlineLevel="0" collapsed="false">
      <c r="A106" s="6" t="n">
        <v>101</v>
      </c>
      <c r="B106" s="5" t="s">
        <v>288</v>
      </c>
      <c r="C106" s="5" t="s">
        <v>350</v>
      </c>
      <c r="D106" s="5" t="s">
        <v>630</v>
      </c>
      <c r="E106" s="5" t="s">
        <v>77</v>
      </c>
      <c r="F106" s="11" t="n">
        <v>6723.54</v>
      </c>
      <c r="G106" s="12" t="n">
        <v>82.8098</v>
      </c>
      <c r="H106" s="12" t="n">
        <v>84.6544</v>
      </c>
      <c r="J106" s="8" t="n">
        <v>1.8404</v>
      </c>
      <c r="K106" s="13" t="str">
        <f aca="false">IF(J106&gt;0,"прибыль",IF(J106&lt;0,"убыток","ноль"))</f>
        <v>прибыль</v>
      </c>
      <c r="L106" s="13" t="n">
        <f aca="false">IF(C106="",L105,IF(J106&lt;0,L105+1,0))</f>
        <v>0</v>
      </c>
      <c r="M106" s="14" t="n">
        <v>184.04</v>
      </c>
      <c r="N106" s="9" t="n">
        <v>12373.98</v>
      </c>
      <c r="O106" s="9" t="n">
        <v>2170924.03</v>
      </c>
    </row>
    <row r="107" customFormat="false" ht="15" hidden="false" customHeight="false" outlineLevel="0" collapsed="false">
      <c r="A107" s="6" t="n">
        <v>102</v>
      </c>
      <c r="B107" s="5" t="s">
        <v>288</v>
      </c>
      <c r="C107" s="5" t="s">
        <v>691</v>
      </c>
      <c r="D107" s="5" t="s">
        <v>352</v>
      </c>
      <c r="E107" s="5" t="s">
        <v>77</v>
      </c>
      <c r="F107" s="11" t="n">
        <v>5473.06</v>
      </c>
      <c r="G107" s="12" t="n">
        <v>92.3384</v>
      </c>
      <c r="H107" s="12" t="n">
        <v>83.1286</v>
      </c>
      <c r="I107" s="5" t="s">
        <v>78</v>
      </c>
      <c r="J107" s="8" t="n">
        <v>-7.74989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1</v>
      </c>
      <c r="M107" s="14" t="n">
        <v>-774.99</v>
      </c>
      <c r="N107" s="9" t="n">
        <v>-42415.6</v>
      </c>
      <c r="O107" s="9" t="n">
        <v>2128508.43</v>
      </c>
    </row>
    <row r="108" customFormat="false" ht="15" hidden="false" customHeight="false" outlineLevel="0" collapsed="false">
      <c r="A108" s="6" t="n">
        <v>103</v>
      </c>
      <c r="B108" s="5" t="s">
        <v>288</v>
      </c>
      <c r="C108" s="5" t="s">
        <v>480</v>
      </c>
      <c r="D108" s="5" t="s">
        <v>692</v>
      </c>
      <c r="E108" s="5" t="s">
        <v>81</v>
      </c>
      <c r="F108" s="11" t="n">
        <v>8753.2</v>
      </c>
      <c r="G108" s="12" t="n">
        <v>81.9176</v>
      </c>
      <c r="H108" s="12" t="n">
        <v>82.3832</v>
      </c>
      <c r="I108" s="5" t="s">
        <v>78</v>
      </c>
      <c r="J108" s="8" t="n">
        <v>-4.96019</v>
      </c>
      <c r="K108" s="13" t="str">
        <f aca="false">IF(J108&gt;0,"прибыль",IF(J108&lt;0,"убыток","ноль"))</f>
        <v>убыток</v>
      </c>
      <c r="L108" s="13" t="n">
        <f aca="false">IF(C108="",L107,IF(J108&lt;0,L107+1,0))</f>
        <v>2</v>
      </c>
      <c r="M108" s="14" t="n">
        <v>-496.02</v>
      </c>
      <c r="N108" s="9" t="n">
        <v>-43417.5</v>
      </c>
      <c r="O108" s="9" t="n">
        <v>2085090.93</v>
      </c>
    </row>
    <row r="109" customFormat="false" ht="15" hidden="false" customHeight="false" outlineLevel="0" collapsed="false">
      <c r="A109" s="6" t="n">
        <v>104</v>
      </c>
      <c r="B109" s="5" t="s">
        <v>288</v>
      </c>
      <c r="C109" s="5" t="s">
        <v>692</v>
      </c>
      <c r="D109" s="5" t="s">
        <v>360</v>
      </c>
      <c r="E109" s="5" t="s">
        <v>77</v>
      </c>
      <c r="F109" s="11" t="n">
        <v>2849.15</v>
      </c>
      <c r="G109" s="12" t="n">
        <v>82.567</v>
      </c>
      <c r="H109" s="12" t="n">
        <v>87.7068</v>
      </c>
      <c r="I109" s="5" t="s">
        <v>78</v>
      </c>
      <c r="J109" s="8" t="n">
        <v>5.96262</v>
      </c>
      <c r="K109" s="13" t="str">
        <f aca="false">IF(J109&gt;0,"прибыль",IF(J109&lt;0,"убыток","ноль"))</f>
        <v>прибыль</v>
      </c>
      <c r="L109" s="13" t="n">
        <f aca="false">IF(C109="",L108,IF(J109&lt;0,L108+1,0))</f>
        <v>0</v>
      </c>
      <c r="M109" s="14" t="n">
        <v>596.26</v>
      </c>
      <c r="N109" s="9" t="n">
        <v>16988.44</v>
      </c>
      <c r="O109" s="9" t="n">
        <v>2102079.36</v>
      </c>
    </row>
    <row r="110" customFormat="false" ht="15" hidden="false" customHeight="false" outlineLevel="0" collapsed="false">
      <c r="A110" s="6" t="n">
        <v>105</v>
      </c>
      <c r="B110" s="5" t="s">
        <v>288</v>
      </c>
      <c r="C110" s="5" t="s">
        <v>360</v>
      </c>
      <c r="D110" s="5" t="s">
        <v>693</v>
      </c>
      <c r="E110" s="5" t="s">
        <v>77</v>
      </c>
      <c r="F110" s="11" t="n">
        <v>2811.43</v>
      </c>
      <c r="G110" s="12" t="n">
        <v>83.0929</v>
      </c>
      <c r="H110" s="12" t="n">
        <v>81.7724</v>
      </c>
      <c r="I110" s="5" t="s">
        <v>78</v>
      </c>
      <c r="J110" s="8" t="n">
        <v>2.15911</v>
      </c>
      <c r="K110" s="13" t="str">
        <f aca="false">IF(J110&gt;0,"прибыль",IF(J110&lt;0,"убыток","ноль"))</f>
        <v>прибыль</v>
      </c>
      <c r="L110" s="13" t="n">
        <f aca="false">IF(C110="",L109,IF(J110&lt;0,L109+1,0))</f>
        <v>0</v>
      </c>
      <c r="M110" s="14" t="n">
        <v>215.91</v>
      </c>
      <c r="N110" s="9" t="n">
        <v>6070.21</v>
      </c>
      <c r="O110" s="9" t="n">
        <v>2108149.57</v>
      </c>
    </row>
    <row r="111" customFormat="false" ht="15" hidden="false" customHeight="false" outlineLevel="0" collapsed="false">
      <c r="A111" s="6" t="n">
        <v>106</v>
      </c>
      <c r="B111" s="5" t="s">
        <v>288</v>
      </c>
      <c r="C111" s="5" t="s">
        <v>693</v>
      </c>
      <c r="D111" s="5" t="s">
        <v>366</v>
      </c>
      <c r="E111" s="5" t="s">
        <v>77</v>
      </c>
      <c r="F111" s="11" t="n">
        <v>2331.29</v>
      </c>
      <c r="G111" s="12" t="n">
        <v>79.6043</v>
      </c>
      <c r="H111" s="12" t="n">
        <v>81.3439</v>
      </c>
      <c r="I111" s="5" t="s">
        <v>78</v>
      </c>
      <c r="J111" s="8" t="n">
        <v>5.22838</v>
      </c>
      <c r="K111" s="13" t="str">
        <f aca="false">IF(J111&gt;0,"прибыль",IF(J111&lt;0,"убыток","ноль"))</f>
        <v>прибыль</v>
      </c>
      <c r="L111" s="13" t="n">
        <f aca="false">IF(C111="",L110,IF(J111&lt;0,L110+1,0))</f>
        <v>0</v>
      </c>
      <c r="M111" s="14" t="n">
        <v>522.84</v>
      </c>
      <c r="N111" s="9" t="n">
        <v>12188.83</v>
      </c>
      <c r="O111" s="9" t="n">
        <v>2120338.41</v>
      </c>
    </row>
    <row r="112" customFormat="false" ht="15" hidden="false" customHeight="false" outlineLevel="0" collapsed="false">
      <c r="A112" s="6" t="n">
        <v>107</v>
      </c>
      <c r="B112" s="5" t="s">
        <v>288</v>
      </c>
      <c r="C112" s="5" t="s">
        <v>366</v>
      </c>
      <c r="D112" s="5" t="s">
        <v>694</v>
      </c>
      <c r="E112" s="5" t="s">
        <v>77</v>
      </c>
      <c r="F112" s="11" t="n">
        <v>12296.14</v>
      </c>
      <c r="G112" s="12" t="n">
        <v>78.3012</v>
      </c>
      <c r="H112" s="12" t="n">
        <v>83.772</v>
      </c>
      <c r="I112" s="5" t="s">
        <v>78</v>
      </c>
      <c r="J112" s="8" t="n">
        <v>4.93078</v>
      </c>
      <c r="K112" s="13" t="str">
        <f aca="false">IF(J112&gt;0,"прибыль",IF(J112&lt;0,"убыток","ноль"))</f>
        <v>прибыль</v>
      </c>
      <c r="L112" s="13" t="n">
        <f aca="false">IF(C112="",L111,IF(J112&lt;0,L111+1,0))</f>
        <v>0</v>
      </c>
      <c r="M112" s="14" t="n">
        <v>493.08</v>
      </c>
      <c r="N112" s="9" t="n">
        <v>60629.58</v>
      </c>
      <c r="O112" s="9" t="n">
        <v>2180967.99</v>
      </c>
    </row>
    <row r="113" customFormat="false" ht="15" hidden="false" customHeight="false" outlineLevel="0" collapsed="false">
      <c r="A113" s="6" t="n">
        <v>108</v>
      </c>
      <c r="B113" s="5" t="s">
        <v>288</v>
      </c>
      <c r="C113" s="5" t="s">
        <v>695</v>
      </c>
      <c r="D113" s="5" t="s">
        <v>696</v>
      </c>
      <c r="E113" s="5" t="s">
        <v>81</v>
      </c>
      <c r="F113" s="11" t="n">
        <v>7453.69</v>
      </c>
      <c r="G113" s="12" t="n">
        <v>73.4505</v>
      </c>
      <c r="H113" s="12" t="n">
        <v>79.9906</v>
      </c>
      <c r="I113" s="5" t="s">
        <v>78</v>
      </c>
      <c r="J113" s="8" t="n">
        <v>-3.33532</v>
      </c>
      <c r="K113" s="13" t="str">
        <f aca="false">IF(J113&gt;0,"прибыль",IF(J113&lt;0,"убыток","ноль"))</f>
        <v>убыток</v>
      </c>
      <c r="L113" s="13" t="n">
        <f aca="false">IF(C113="",L112,IF(J113&lt;0,L112+1,0))</f>
        <v>1</v>
      </c>
      <c r="M113" s="14" t="n">
        <v>-333.53</v>
      </c>
      <c r="N113" s="9" t="n">
        <v>-24860.45</v>
      </c>
      <c r="O113" s="9" t="n">
        <v>2156107.54</v>
      </c>
    </row>
    <row r="114" customFormat="false" ht="15" hidden="false" customHeight="false" outlineLevel="0" collapsed="false">
      <c r="A114" s="6" t="n">
        <v>109</v>
      </c>
      <c r="B114" s="5" t="s">
        <v>288</v>
      </c>
      <c r="C114" s="5" t="s">
        <v>697</v>
      </c>
      <c r="D114" s="5" t="s">
        <v>380</v>
      </c>
      <c r="E114" s="5" t="s">
        <v>81</v>
      </c>
      <c r="F114" s="11" t="n">
        <v>13601.08</v>
      </c>
      <c r="G114" s="12" t="n">
        <v>72.5888</v>
      </c>
      <c r="H114" s="12" t="n">
        <v>81.3449</v>
      </c>
      <c r="I114" s="5" t="s">
        <v>78</v>
      </c>
      <c r="J114" s="8" t="n">
        <v>-7.29507</v>
      </c>
      <c r="K114" s="13" t="str">
        <f aca="false">IF(J114&gt;0,"прибыль",IF(J114&lt;0,"убыток","ноль"))</f>
        <v>убыток</v>
      </c>
      <c r="L114" s="13" t="n">
        <f aca="false">IF(C114="",L113,IF(J114&lt;0,L113+1,0))</f>
        <v>2</v>
      </c>
      <c r="M114" s="14" t="n">
        <v>-729.51</v>
      </c>
      <c r="N114" s="9" t="n">
        <v>-99220.89</v>
      </c>
      <c r="O114" s="9" t="n">
        <v>2056886.65</v>
      </c>
    </row>
    <row r="115" customFormat="false" ht="15" hidden="false" customHeight="false" outlineLevel="0" collapsed="false">
      <c r="A115" s="6" t="n">
        <v>110</v>
      </c>
      <c r="B115" s="5" t="s">
        <v>288</v>
      </c>
      <c r="C115" s="5" t="s">
        <v>380</v>
      </c>
      <c r="D115" s="5" t="s">
        <v>381</v>
      </c>
      <c r="E115" s="5" t="s">
        <v>77</v>
      </c>
      <c r="F115" s="11" t="n">
        <v>2625.54</v>
      </c>
      <c r="G115" s="12" t="n">
        <v>81.3449</v>
      </c>
      <c r="H115" s="12" t="n">
        <v>77.3354</v>
      </c>
      <c r="J115" s="8" t="n">
        <v>-4.01331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3</v>
      </c>
      <c r="M115" s="14" t="n">
        <v>-401.33</v>
      </c>
      <c r="N115" s="9" t="n">
        <v>-10537.12</v>
      </c>
      <c r="O115" s="9" t="n">
        <v>2046349.53</v>
      </c>
    </row>
    <row r="116" customFormat="false" ht="15" hidden="false" customHeight="false" outlineLevel="0" collapsed="false">
      <c r="A116" s="6" t="n">
        <v>111</v>
      </c>
      <c r="B116" s="5" t="s">
        <v>288</v>
      </c>
      <c r="C116" s="5" t="s">
        <v>381</v>
      </c>
      <c r="D116" s="5" t="s">
        <v>382</v>
      </c>
      <c r="E116" s="5" t="s">
        <v>77</v>
      </c>
      <c r="F116" s="11" t="n">
        <v>11361.3</v>
      </c>
      <c r="G116" s="12" t="n">
        <v>80.5112</v>
      </c>
      <c r="H116" s="12" t="n">
        <v>73.2231</v>
      </c>
      <c r="I116" s="5" t="s">
        <v>78</v>
      </c>
      <c r="J116" s="8" t="n">
        <v>-5.73301</v>
      </c>
      <c r="K116" s="13" t="str">
        <f aca="false">IF(J116&gt;0,"прибыль",IF(J116&lt;0,"убыток","ноль"))</f>
        <v>убыток</v>
      </c>
      <c r="L116" s="13" t="n">
        <f aca="false">IF(C116="",L115,IF(J116&lt;0,L115+1,0))</f>
        <v>4</v>
      </c>
      <c r="M116" s="14" t="n">
        <v>-573.3</v>
      </c>
      <c r="N116" s="9" t="n">
        <v>-65134.38</v>
      </c>
      <c r="O116" s="9" t="n">
        <v>1981215.14</v>
      </c>
    </row>
    <row r="117" customFormat="false" ht="15" hidden="false" customHeight="false" outlineLevel="0" collapsed="false">
      <c r="A117" s="6" t="n">
        <v>112</v>
      </c>
      <c r="B117" s="5" t="s">
        <v>288</v>
      </c>
      <c r="C117" s="5" t="s">
        <v>382</v>
      </c>
      <c r="D117" s="5" t="s">
        <v>698</v>
      </c>
      <c r="E117" s="5" t="s">
        <v>81</v>
      </c>
      <c r="F117" s="11" t="n">
        <v>10704.04</v>
      </c>
      <c r="G117" s="12" t="n">
        <v>73.2231</v>
      </c>
      <c r="H117" s="12" t="n">
        <v>73.0382</v>
      </c>
      <c r="I117" s="5" t="s">
        <v>78</v>
      </c>
      <c r="J117" s="8" t="n">
        <v>-1.91996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5</v>
      </c>
      <c r="M117" s="14" t="n">
        <v>-192</v>
      </c>
      <c r="N117" s="9" t="n">
        <v>-20551.31</v>
      </c>
      <c r="O117" s="9" t="n">
        <v>1960663.83</v>
      </c>
    </row>
    <row r="118" customFormat="false" ht="15" hidden="false" customHeight="false" outlineLevel="0" collapsed="false">
      <c r="A118" s="6" t="n">
        <v>113</v>
      </c>
      <c r="B118" s="5" t="s">
        <v>288</v>
      </c>
      <c r="C118" s="5" t="s">
        <v>699</v>
      </c>
      <c r="D118" s="5" t="s">
        <v>385</v>
      </c>
      <c r="E118" s="5" t="s">
        <v>81</v>
      </c>
      <c r="F118" s="11" t="n">
        <v>1736.86</v>
      </c>
      <c r="G118" s="12" t="n">
        <v>64.8131</v>
      </c>
      <c r="H118" s="12" t="n">
        <v>65.1908</v>
      </c>
      <c r="J118" s="8" t="n">
        <v>-0.39363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6</v>
      </c>
      <c r="M118" s="14" t="n">
        <v>-39.36</v>
      </c>
      <c r="N118" s="9" t="n">
        <v>-683.68</v>
      </c>
      <c r="O118" s="9" t="n">
        <v>1959980.16</v>
      </c>
    </row>
    <row r="119" customFormat="false" ht="15" hidden="false" customHeight="false" outlineLevel="0" collapsed="false">
      <c r="A119" s="6" t="n">
        <v>114</v>
      </c>
      <c r="B119" s="5" t="s">
        <v>288</v>
      </c>
      <c r="C119" s="5" t="s">
        <v>385</v>
      </c>
      <c r="D119" s="5" t="s">
        <v>522</v>
      </c>
      <c r="E119" s="5" t="s">
        <v>81</v>
      </c>
      <c r="F119" s="11" t="n">
        <v>7953.17</v>
      </c>
      <c r="G119" s="12" t="n">
        <v>65.5031</v>
      </c>
      <c r="H119" s="12" t="n">
        <v>66.3804</v>
      </c>
      <c r="I119" s="5" t="s">
        <v>78</v>
      </c>
      <c r="J119" s="8" t="n">
        <v>-4.43196</v>
      </c>
      <c r="K119" s="13" t="str">
        <f aca="false">IF(J119&gt;0,"прибыль",IF(J119&lt;0,"убыток","ноль"))</f>
        <v>убыток</v>
      </c>
      <c r="L119" s="13" t="n">
        <f aca="false">IF(C119="",L118,IF(J119&lt;0,L118+1,0))</f>
        <v>7</v>
      </c>
      <c r="M119" s="14" t="n">
        <v>-443.2</v>
      </c>
      <c r="N119" s="9" t="n">
        <v>-35248.1</v>
      </c>
      <c r="O119" s="9" t="n">
        <v>1924732.06</v>
      </c>
    </row>
    <row r="120" customFormat="false" ht="15" hidden="false" customHeight="false" outlineLevel="0" collapsed="false">
      <c r="A120" s="6" t="n">
        <v>115</v>
      </c>
      <c r="B120" s="5" t="s">
        <v>288</v>
      </c>
      <c r="C120" s="5" t="s">
        <v>387</v>
      </c>
      <c r="D120" s="5" t="s">
        <v>388</v>
      </c>
      <c r="E120" s="5" t="s">
        <v>77</v>
      </c>
      <c r="F120" s="11" t="n">
        <v>2732.07</v>
      </c>
      <c r="G120" s="12" t="n">
        <v>73.8393</v>
      </c>
      <c r="H120" s="12" t="n">
        <v>74.5287</v>
      </c>
      <c r="J120" s="8" t="n">
        <v>0.67401</v>
      </c>
      <c r="K120" s="13" t="str">
        <f aca="false">IF(J120&gt;0,"прибыль",IF(J120&lt;0,"убыток","ноль"))</f>
        <v>прибыль</v>
      </c>
      <c r="L120" s="13" t="n">
        <f aca="false">IF(C120="",L119,IF(J120&lt;0,L119+1,0))</f>
        <v>0</v>
      </c>
      <c r="M120" s="14" t="n">
        <v>67.4</v>
      </c>
      <c r="N120" s="9" t="n">
        <v>1841.44</v>
      </c>
      <c r="O120" s="9" t="n">
        <v>1926573.5</v>
      </c>
    </row>
    <row r="121" customFormat="false" ht="15" hidden="false" customHeight="false" outlineLevel="0" collapsed="false">
      <c r="A121" s="6" t="n">
        <v>116</v>
      </c>
      <c r="B121" s="5" t="s">
        <v>288</v>
      </c>
      <c r="C121" s="5" t="s">
        <v>388</v>
      </c>
      <c r="D121" s="5" t="s">
        <v>389</v>
      </c>
      <c r="E121" s="5" t="s">
        <v>77</v>
      </c>
      <c r="F121" s="11" t="n">
        <v>1839.81</v>
      </c>
      <c r="G121" s="12" t="n">
        <v>73.8393</v>
      </c>
      <c r="H121" s="12" t="n">
        <v>68.647</v>
      </c>
      <c r="J121" s="8" t="n">
        <v>-5.19574</v>
      </c>
      <c r="K121" s="13" t="str">
        <f aca="false">IF(J121&gt;0,"прибыль",IF(J121&lt;0,"убыток","ноль"))</f>
        <v>убыток</v>
      </c>
      <c r="L121" s="13" t="n">
        <f aca="false">IF(C121="",L120,IF(J121&lt;0,L120+1,0))</f>
        <v>1</v>
      </c>
      <c r="M121" s="14" t="n">
        <v>-519.57</v>
      </c>
      <c r="N121" s="9" t="n">
        <v>-9559.16</v>
      </c>
      <c r="O121" s="9" t="n">
        <v>1917014.33</v>
      </c>
    </row>
    <row r="122" customFormat="false" ht="15" hidden="false" customHeight="false" outlineLevel="0" collapsed="false">
      <c r="A122" s="6" t="n">
        <v>117</v>
      </c>
      <c r="B122" s="5" t="s">
        <v>288</v>
      </c>
      <c r="C122" s="5" t="s">
        <v>389</v>
      </c>
      <c r="D122" s="5" t="s">
        <v>397</v>
      </c>
      <c r="E122" s="5" t="s">
        <v>77</v>
      </c>
      <c r="F122" s="11" t="n">
        <v>2939.07</v>
      </c>
      <c r="G122" s="12" t="n">
        <v>71.1758</v>
      </c>
      <c r="H122" s="12" t="n">
        <v>67.6595</v>
      </c>
      <c r="I122" s="5" t="s">
        <v>78</v>
      </c>
      <c r="J122" s="8" t="n">
        <v>-0.2945</v>
      </c>
      <c r="K122" s="13" t="str">
        <f aca="false">IF(J122&gt;0,"прибыль",IF(J122&lt;0,"убыток","ноль"))</f>
        <v>убыток</v>
      </c>
      <c r="L122" s="13" t="n">
        <f aca="false">IF(C122="",L121,IF(J122&lt;0,L121+1,0))</f>
        <v>2</v>
      </c>
      <c r="M122" s="14" t="n">
        <v>-29.45</v>
      </c>
      <c r="N122" s="9" t="n">
        <v>-865.55</v>
      </c>
      <c r="O122" s="9" t="n">
        <v>1916148.78</v>
      </c>
    </row>
    <row r="123" customFormat="false" ht="15" hidden="false" customHeight="false" outlineLevel="0" collapsed="false">
      <c r="A123" s="6" t="n">
        <v>118</v>
      </c>
      <c r="B123" s="5" t="s">
        <v>288</v>
      </c>
      <c r="C123" s="5" t="s">
        <v>397</v>
      </c>
      <c r="D123" s="5" t="s">
        <v>700</v>
      </c>
      <c r="E123" s="5" t="s">
        <v>77</v>
      </c>
      <c r="F123" s="11" t="n">
        <v>11821.22</v>
      </c>
      <c r="G123" s="12" t="n">
        <v>67.939</v>
      </c>
      <c r="H123" s="12" t="n">
        <v>64.5972</v>
      </c>
      <c r="I123" s="5" t="s">
        <v>78</v>
      </c>
      <c r="J123" s="8" t="n">
        <v>-2.03746</v>
      </c>
      <c r="K123" s="13" t="str">
        <f aca="false">IF(J123&gt;0,"прибыль",IF(J123&lt;0,"убыток","ноль"))</f>
        <v>убыток</v>
      </c>
      <c r="L123" s="13" t="n">
        <f aca="false">IF(C123="",L122,IF(J123&lt;0,L122+1,0))</f>
        <v>3</v>
      </c>
      <c r="M123" s="14" t="n">
        <v>-203.75</v>
      </c>
      <c r="N123" s="9" t="n">
        <v>-24085.28</v>
      </c>
      <c r="O123" s="9" t="n">
        <v>1892063.5</v>
      </c>
    </row>
    <row r="124" customFormat="false" ht="15" hidden="false" customHeight="false" outlineLevel="0" collapsed="false">
      <c r="A124" s="6" t="n">
        <v>119</v>
      </c>
      <c r="B124" s="5" t="s">
        <v>288</v>
      </c>
      <c r="C124" s="5" t="s">
        <v>701</v>
      </c>
      <c r="D124" s="5" t="s">
        <v>405</v>
      </c>
      <c r="E124" s="5" t="s">
        <v>81</v>
      </c>
      <c r="F124" s="11" t="n">
        <v>3347.6</v>
      </c>
      <c r="G124" s="12" t="n">
        <v>62.8646</v>
      </c>
      <c r="H124" s="12" t="n">
        <v>61.9493</v>
      </c>
      <c r="I124" s="5" t="s">
        <v>78</v>
      </c>
      <c r="J124" s="8" t="n">
        <v>0.52202</v>
      </c>
      <c r="K124" s="13" t="str">
        <f aca="false">IF(J124&gt;0,"прибыль",IF(J124&lt;0,"убыток","ноль"))</f>
        <v>прибыль</v>
      </c>
      <c r="L124" s="13" t="n">
        <f aca="false">IF(C124="",L123,IF(J124&lt;0,L123+1,0))</f>
        <v>0</v>
      </c>
      <c r="M124" s="14" t="n">
        <v>52.2</v>
      </c>
      <c r="N124" s="9" t="n">
        <v>1747.53</v>
      </c>
      <c r="O124" s="9" t="n">
        <v>1893811.03</v>
      </c>
    </row>
    <row r="125" customFormat="false" ht="15" hidden="false" customHeight="false" outlineLevel="0" collapsed="false">
      <c r="A125" s="6" t="n">
        <v>120</v>
      </c>
      <c r="B125" s="5" t="s">
        <v>288</v>
      </c>
      <c r="C125" s="5" t="s">
        <v>405</v>
      </c>
      <c r="D125" s="5" t="s">
        <v>702</v>
      </c>
      <c r="E125" s="5" t="s">
        <v>81</v>
      </c>
      <c r="F125" s="11" t="n">
        <v>11477.22</v>
      </c>
      <c r="G125" s="12" t="n">
        <v>62.4882</v>
      </c>
      <c r="H125" s="12" t="n">
        <v>62.4069</v>
      </c>
      <c r="I125" s="5" t="s">
        <v>78</v>
      </c>
      <c r="J125" s="8" t="n">
        <v>-0.28485</v>
      </c>
      <c r="K125" s="13" t="str">
        <f aca="false">IF(J125&gt;0,"прибыль",IF(J125&lt;0,"убыток","ноль"))</f>
        <v>убыток</v>
      </c>
      <c r="L125" s="13" t="n">
        <f aca="false">IF(C125="",L124,IF(J125&lt;0,L124+1,0))</f>
        <v>1</v>
      </c>
      <c r="M125" s="14" t="n">
        <v>-28.48</v>
      </c>
      <c r="N125" s="9" t="n">
        <v>-3269.26</v>
      </c>
      <c r="O125" s="9" t="n">
        <v>1890541.77</v>
      </c>
    </row>
    <row r="126" customFormat="false" ht="15" hidden="false" customHeight="false" outlineLevel="0" collapsed="false">
      <c r="A126" s="6" t="n">
        <v>121</v>
      </c>
      <c r="B126" s="5" t="s">
        <v>288</v>
      </c>
      <c r="C126" s="5" t="s">
        <v>703</v>
      </c>
      <c r="D126" s="5" t="s">
        <v>621</v>
      </c>
      <c r="E126" s="5" t="s">
        <v>77</v>
      </c>
      <c r="F126" s="11" t="n">
        <v>2052.24</v>
      </c>
      <c r="G126" s="12" t="n">
        <v>65.2862</v>
      </c>
      <c r="H126" s="12" t="n">
        <v>69.9509</v>
      </c>
      <c r="J126" s="8" t="n">
        <v>4.64531</v>
      </c>
      <c r="K126" s="13" t="str">
        <f aca="false">IF(J126&gt;0,"прибыль",IF(J126&lt;0,"убыток","ноль"))</f>
        <v>прибыль</v>
      </c>
      <c r="L126" s="13" t="n">
        <f aca="false">IF(C126="",L125,IF(J126&lt;0,L125+1,0))</f>
        <v>0</v>
      </c>
      <c r="M126" s="14" t="n">
        <v>464.53</v>
      </c>
      <c r="N126" s="9" t="n">
        <v>9533.3</v>
      </c>
      <c r="O126" s="9" t="n">
        <v>1900075.07</v>
      </c>
    </row>
    <row r="127" customFormat="false" ht="15" hidden="false" customHeight="false" outlineLevel="0" collapsed="false">
      <c r="A127" s="6" t="n">
        <v>122</v>
      </c>
      <c r="B127" s="5" t="s">
        <v>288</v>
      </c>
      <c r="C127" s="5" t="s">
        <v>621</v>
      </c>
      <c r="D127" s="5" t="s">
        <v>409</v>
      </c>
      <c r="E127" s="5" t="s">
        <v>77</v>
      </c>
      <c r="F127" s="11" t="n">
        <v>3295.62</v>
      </c>
      <c r="G127" s="12" t="n">
        <v>65.2862</v>
      </c>
      <c r="H127" s="12" t="n">
        <v>105.4565</v>
      </c>
      <c r="I127" s="5" t="s">
        <v>78</v>
      </c>
      <c r="J127" s="8" t="n">
        <v>37.86337</v>
      </c>
      <c r="K127" s="13" t="str">
        <f aca="false">IF(J127&gt;0,"прибыль",IF(J127&lt;0,"убыток","ноль"))</f>
        <v>прибыль</v>
      </c>
      <c r="L127" s="13" t="n">
        <f aca="false">IF(C127="",L126,IF(J127&lt;0,L126+1,0))</f>
        <v>0</v>
      </c>
      <c r="M127" s="14" t="n">
        <v>3786.34</v>
      </c>
      <c r="N127" s="9" t="n">
        <v>124783.44</v>
      </c>
      <c r="O127" s="9" t="n">
        <v>2024858.51</v>
      </c>
    </row>
    <row r="128" customFormat="false" ht="15" hidden="false" customHeight="false" outlineLevel="0" collapsed="false">
      <c r="A128" s="6" t="n">
        <v>123</v>
      </c>
      <c r="B128" s="5" t="s">
        <v>288</v>
      </c>
      <c r="C128" s="5" t="s">
        <v>409</v>
      </c>
      <c r="D128" s="5" t="s">
        <v>410</v>
      </c>
      <c r="E128" s="5" t="s">
        <v>77</v>
      </c>
      <c r="F128" s="11" t="n">
        <v>1445.7</v>
      </c>
      <c r="G128" s="12" t="n">
        <v>67.5879</v>
      </c>
      <c r="H128" s="12" t="n">
        <v>100.9716</v>
      </c>
      <c r="J128" s="8" t="n">
        <v>33.37862</v>
      </c>
      <c r="K128" s="13" t="str">
        <f aca="false">IF(J128&gt;0,"прибыль",IF(J128&lt;0,"убыток","ноль"))</f>
        <v>прибыль</v>
      </c>
      <c r="L128" s="13" t="n">
        <f aca="false">IF(C128="",L127,IF(J128&lt;0,L127+1,0))</f>
        <v>0</v>
      </c>
      <c r="M128" s="14" t="n">
        <v>3337.86</v>
      </c>
      <c r="N128" s="9" t="n">
        <v>48255.59</v>
      </c>
      <c r="O128" s="9" t="n">
        <v>2073114.1</v>
      </c>
    </row>
    <row r="129" customFormat="false" ht="15" hidden="false" customHeight="false" outlineLevel="0" collapsed="false">
      <c r="A129" s="6" t="n">
        <v>124</v>
      </c>
      <c r="B129" s="5" t="s">
        <v>288</v>
      </c>
      <c r="C129" s="5" t="s">
        <v>410</v>
      </c>
      <c r="D129" s="5" t="s">
        <v>411</v>
      </c>
      <c r="E129" s="5" t="s">
        <v>77</v>
      </c>
      <c r="F129" s="11" t="n">
        <v>698.56</v>
      </c>
      <c r="G129" s="12" t="n">
        <v>67.5879</v>
      </c>
      <c r="H129" s="12" t="n">
        <v>103.702</v>
      </c>
      <c r="J129" s="8" t="n">
        <v>36.10886</v>
      </c>
      <c r="K129" s="13" t="str">
        <f aca="false">IF(J129&gt;0,"прибыль",IF(J129&lt;0,"убыток","ноль"))</f>
        <v>прибыль</v>
      </c>
      <c r="L129" s="13" t="n">
        <f aca="false">IF(C129="",L128,IF(J129&lt;0,L128+1,0))</f>
        <v>0</v>
      </c>
      <c r="M129" s="14" t="n">
        <v>3610.89</v>
      </c>
      <c r="N129" s="9" t="n">
        <v>25224.32</v>
      </c>
      <c r="O129" s="9" t="n">
        <v>2098338.42</v>
      </c>
    </row>
    <row r="130" customFormat="false" ht="15" hidden="false" customHeight="false" outlineLevel="0" collapsed="false">
      <c r="A130" s="6" t="n">
        <v>125</v>
      </c>
      <c r="B130" s="5" t="s">
        <v>288</v>
      </c>
      <c r="C130" s="5" t="s">
        <v>411</v>
      </c>
      <c r="D130" s="5" t="s">
        <v>704</v>
      </c>
      <c r="E130" s="5" t="s">
        <v>77</v>
      </c>
      <c r="F130" s="11" t="n">
        <v>3075.37</v>
      </c>
      <c r="G130" s="12" t="n">
        <v>77.8306</v>
      </c>
      <c r="H130" s="12" t="n">
        <v>98.4386</v>
      </c>
      <c r="I130" s="5" t="s">
        <v>78</v>
      </c>
      <c r="J130" s="8" t="n">
        <v>27.4858</v>
      </c>
      <c r="K130" s="13" t="str">
        <f aca="false">IF(J130&gt;0,"прибыль",IF(J130&lt;0,"убыток","ноль"))</f>
        <v>прибыль</v>
      </c>
      <c r="L130" s="13" t="n">
        <f aca="false">IF(C130="",L129,IF(J130&lt;0,L129+1,0))</f>
        <v>0</v>
      </c>
      <c r="M130" s="14" t="n">
        <v>2748.58</v>
      </c>
      <c r="N130" s="9" t="n">
        <v>84528.88</v>
      </c>
      <c r="O130" s="9" t="n">
        <v>2182867.3</v>
      </c>
    </row>
    <row r="131" customFormat="false" ht="15" hidden="false" customHeight="false" outlineLevel="0" collapsed="false">
      <c r="A131" s="6" t="n">
        <v>126</v>
      </c>
      <c r="B131" s="5" t="s">
        <v>288</v>
      </c>
      <c r="C131" s="5" t="s">
        <v>705</v>
      </c>
      <c r="D131" s="5" t="s">
        <v>421</v>
      </c>
      <c r="E131" s="5" t="s">
        <v>81</v>
      </c>
      <c r="F131" s="11" t="n">
        <v>1226.69</v>
      </c>
      <c r="G131" s="12" t="n">
        <v>88.3538</v>
      </c>
      <c r="H131" s="12" t="n">
        <v>76.6711</v>
      </c>
      <c r="I131" s="5" t="s">
        <v>78</v>
      </c>
      <c r="J131" s="8" t="n">
        <v>9.73181</v>
      </c>
      <c r="K131" s="13" t="str">
        <f aca="false">IF(J131&gt;0,"прибыль",IF(J131&lt;0,"убыток","ноль"))</f>
        <v>прибыль</v>
      </c>
      <c r="L131" s="13" t="n">
        <f aca="false">IF(C131="",L130,IF(J131&lt;0,L130+1,0))</f>
        <v>0</v>
      </c>
      <c r="M131" s="14" t="n">
        <v>973.18</v>
      </c>
      <c r="N131" s="9" t="n">
        <v>11937.91</v>
      </c>
      <c r="O131" s="9" t="n">
        <v>2194805.21</v>
      </c>
    </row>
    <row r="132" customFormat="false" ht="15" hidden="false" customHeight="false" outlineLevel="0" collapsed="false">
      <c r="A132" s="6" t="n">
        <v>127</v>
      </c>
      <c r="B132" s="5" t="s">
        <v>288</v>
      </c>
      <c r="C132" s="5" t="s">
        <v>421</v>
      </c>
      <c r="D132" s="5" t="s">
        <v>622</v>
      </c>
      <c r="E132" s="5" t="s">
        <v>81</v>
      </c>
      <c r="F132" s="11" t="n">
        <v>4764.72</v>
      </c>
      <c r="G132" s="12" t="n">
        <v>86.4278</v>
      </c>
      <c r="H132" s="12" t="n">
        <v>84.8639</v>
      </c>
      <c r="J132" s="8" t="n">
        <v>1.55973</v>
      </c>
      <c r="K132" s="13" t="str">
        <f aca="false">IF(J132&gt;0,"прибыль",IF(J132&lt;0,"убыток","ноль"))</f>
        <v>прибыль</v>
      </c>
      <c r="L132" s="13" t="n">
        <f aca="false">IF(C132="",L131,IF(J132&lt;0,L131+1,0))</f>
        <v>0</v>
      </c>
      <c r="M132" s="14" t="n">
        <v>155.97</v>
      </c>
      <c r="N132" s="9" t="n">
        <v>7431.68</v>
      </c>
      <c r="O132" s="9" t="n">
        <v>2202236.89</v>
      </c>
    </row>
    <row r="133" customFormat="false" ht="15" hidden="false" customHeight="false" outlineLevel="0" collapsed="false">
      <c r="A133" s="6" t="n">
        <v>128</v>
      </c>
      <c r="B133" s="5" t="s">
        <v>288</v>
      </c>
      <c r="C133" s="5" t="s">
        <v>706</v>
      </c>
      <c r="D133" s="5" t="s">
        <v>707</v>
      </c>
      <c r="E133" s="5" t="s">
        <v>77</v>
      </c>
      <c r="F133" s="11" t="n">
        <v>940.99</v>
      </c>
      <c r="G133" s="12" t="n">
        <v>96.5055</v>
      </c>
      <c r="H133" s="12" t="n">
        <v>92.304</v>
      </c>
      <c r="J133" s="8" t="n">
        <v>-4.22714</v>
      </c>
      <c r="K133" s="13" t="str">
        <f aca="false">IF(J133&gt;0,"прибыль",IF(J133&lt;0,"убыток","ноль"))</f>
        <v>убыток</v>
      </c>
      <c r="L133" s="13" t="n">
        <f aca="false">IF(C133="",L132,IF(J133&lt;0,L132+1,0))</f>
        <v>1</v>
      </c>
      <c r="M133" s="14" t="n">
        <v>-422.71</v>
      </c>
      <c r="N133" s="9" t="n">
        <v>-3977.69</v>
      </c>
      <c r="O133" s="9" t="n">
        <v>2198259.2</v>
      </c>
    </row>
    <row r="134" customFormat="false" ht="15" hidden="false" customHeight="false" outlineLevel="0" collapsed="false">
      <c r="A134" s="6" t="n">
        <v>129</v>
      </c>
      <c r="B134" s="5" t="s">
        <v>288</v>
      </c>
      <c r="C134" s="5" t="s">
        <v>707</v>
      </c>
      <c r="D134" s="5" t="s">
        <v>708</v>
      </c>
      <c r="E134" s="5" t="s">
        <v>77</v>
      </c>
      <c r="F134" s="11" t="n">
        <v>741.74</v>
      </c>
      <c r="G134" s="12" t="n">
        <v>96.5055</v>
      </c>
      <c r="H134" s="12" t="n">
        <v>87.6738</v>
      </c>
      <c r="I134" s="5" t="s">
        <v>78</v>
      </c>
      <c r="J134" s="8" t="n">
        <v>-3.81329</v>
      </c>
      <c r="K134" s="13" t="str">
        <f aca="false">IF(J134&gt;0,"прибыль",IF(J134&lt;0,"убыток","ноль"))</f>
        <v>убыток</v>
      </c>
      <c r="L134" s="13" t="n">
        <f aca="false">IF(C134="",L133,IF(J134&lt;0,L133+1,0))</f>
        <v>2</v>
      </c>
      <c r="M134" s="14" t="n">
        <v>-381.33</v>
      </c>
      <c r="N134" s="9" t="n">
        <v>-2828.48</v>
      </c>
      <c r="O134" s="9" t="n">
        <v>2195430.73</v>
      </c>
    </row>
    <row r="135" customFormat="false" ht="15" hidden="false" customHeight="false" outlineLevel="0" collapsed="false">
      <c r="A135" s="6" t="n">
        <v>130</v>
      </c>
      <c r="B135" s="5" t="s">
        <v>288</v>
      </c>
      <c r="C135" s="5" t="s">
        <v>708</v>
      </c>
      <c r="D135" s="5" t="s">
        <v>427</v>
      </c>
      <c r="E135" s="5" t="s">
        <v>77</v>
      </c>
      <c r="F135" s="11" t="n">
        <v>1741.72</v>
      </c>
      <c r="G135" s="12" t="n">
        <v>91.5732</v>
      </c>
      <c r="H135" s="12" t="n">
        <v>108.4954</v>
      </c>
      <c r="I135" s="5" t="s">
        <v>78</v>
      </c>
      <c r="J135" s="8" t="n">
        <v>14.76637</v>
      </c>
      <c r="K135" s="13" t="str">
        <f aca="false">IF(J135&gt;0,"прибыль",IF(J135&lt;0,"убыток","ноль"))</f>
        <v>прибыль</v>
      </c>
      <c r="L135" s="13" t="n">
        <f aca="false">IF(C135="",L134,IF(J135&lt;0,L134+1,0))</f>
        <v>0</v>
      </c>
      <c r="M135" s="14" t="n">
        <v>1476.64</v>
      </c>
      <c r="N135" s="9" t="n">
        <v>25718.89</v>
      </c>
      <c r="O135" s="9" t="n">
        <v>2221149.62</v>
      </c>
    </row>
    <row r="136" customFormat="false" ht="15" hidden="false" customHeight="false" outlineLevel="0" collapsed="false">
      <c r="A136" s="6" t="n">
        <v>131</v>
      </c>
      <c r="B136" s="5" t="s">
        <v>288</v>
      </c>
      <c r="D136" s="5" t="s">
        <v>428</v>
      </c>
      <c r="E136" s="5" t="s">
        <v>77</v>
      </c>
      <c r="F136" s="11" t="n">
        <v>3566</v>
      </c>
      <c r="H136" s="12" t="n">
        <v>102.44</v>
      </c>
      <c r="J136" s="8" t="n">
        <v>9.83719</v>
      </c>
      <c r="K136" s="13" t="str">
        <f aca="false">IF(J136&gt;0,"прибыль",IF(J136&lt;0,"убыток","ноль"))</f>
        <v>прибыль</v>
      </c>
      <c r="L136" s="13" t="n">
        <f aca="false">IF(C136="",L135,IF(J136&lt;0,L135+1,0))</f>
        <v>0</v>
      </c>
      <c r="M136" s="14" t="n">
        <v>983.72</v>
      </c>
      <c r="N136" s="9" t="n">
        <v>35079.39</v>
      </c>
      <c r="O136" s="9" t="n">
        <v>2256229.01</v>
      </c>
      <c r="P136" s="5" t="s">
        <v>429</v>
      </c>
    </row>
  </sheetData>
  <autoFilter ref="A5:P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709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270</v>
      </c>
      <c r="D6" s="5" t="s">
        <v>710</v>
      </c>
      <c r="E6" s="5" t="s">
        <v>77</v>
      </c>
      <c r="F6" s="11" t="n">
        <v>125652.75</v>
      </c>
      <c r="G6" s="12" t="n">
        <v>1.9282</v>
      </c>
      <c r="H6" s="12" t="n">
        <v>1.6301</v>
      </c>
      <c r="J6" s="8" t="n">
        <v>-0.29825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-298.25</v>
      </c>
      <c r="N6" s="9" t="n">
        <v>-37475.61</v>
      </c>
      <c r="O6" s="9" t="n">
        <v>-37475.61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711</v>
      </c>
      <c r="D7" s="5" t="s">
        <v>712</v>
      </c>
      <c r="E7" s="5" t="s">
        <v>77</v>
      </c>
      <c r="F7" s="11" t="n">
        <v>93734.02</v>
      </c>
      <c r="G7" s="12" t="n">
        <v>1.9232</v>
      </c>
      <c r="H7" s="12" t="n">
        <v>1.6351</v>
      </c>
      <c r="I7" s="5" t="s">
        <v>78</v>
      </c>
      <c r="J7" s="8" t="n">
        <v>-0.37514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2</v>
      </c>
      <c r="M7" s="14" t="n">
        <v>-375.14</v>
      </c>
      <c r="N7" s="9" t="n">
        <v>-35163.4</v>
      </c>
      <c r="O7" s="9" t="n">
        <v>-72639.01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431</v>
      </c>
      <c r="D8" s="5" t="s">
        <v>432</v>
      </c>
      <c r="E8" s="5" t="s">
        <v>81</v>
      </c>
      <c r="F8" s="11" t="n">
        <v>44555.81</v>
      </c>
      <c r="G8" s="12" t="n">
        <v>1.6668</v>
      </c>
      <c r="H8" s="12" t="n">
        <v>1.7117</v>
      </c>
      <c r="I8" s="5" t="s">
        <v>78</v>
      </c>
      <c r="J8" s="8" t="n">
        <v>0.0413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41.3</v>
      </c>
      <c r="N8" s="9" t="n">
        <v>1840.33</v>
      </c>
      <c r="O8" s="9" t="n">
        <v>-70798.68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432</v>
      </c>
      <c r="D9" s="5" t="s">
        <v>713</v>
      </c>
      <c r="E9" s="5" t="s">
        <v>81</v>
      </c>
      <c r="F9" s="11" t="n">
        <v>145839.61</v>
      </c>
      <c r="G9" s="12" t="n">
        <v>1.7534</v>
      </c>
      <c r="H9" s="12" t="n">
        <v>1.8392</v>
      </c>
      <c r="J9" s="8" t="n">
        <v>-0.08582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1</v>
      </c>
      <c r="M9" s="14" t="n">
        <v>-85.82</v>
      </c>
      <c r="N9" s="9" t="n">
        <v>-12516.19</v>
      </c>
      <c r="O9" s="9" t="n">
        <v>-83314.87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433</v>
      </c>
      <c r="D10" s="5" t="s">
        <v>278</v>
      </c>
      <c r="E10" s="5" t="s">
        <v>77</v>
      </c>
      <c r="F10" s="11" t="n">
        <v>121044.81</v>
      </c>
      <c r="G10" s="12" t="n">
        <v>2.1877</v>
      </c>
      <c r="H10" s="12" t="n">
        <v>2.4975</v>
      </c>
      <c r="I10" s="5" t="s">
        <v>78</v>
      </c>
      <c r="J10" s="8" t="n">
        <v>0.08916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89.16</v>
      </c>
      <c r="N10" s="9" t="n">
        <v>10792.93</v>
      </c>
      <c r="O10" s="9" t="n">
        <v>-72521.94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436</v>
      </c>
      <c r="D11" s="5" t="s">
        <v>438</v>
      </c>
      <c r="E11" s="5" t="s">
        <v>81</v>
      </c>
      <c r="F11" s="11" t="n">
        <v>52609.61</v>
      </c>
      <c r="G11" s="12" t="n">
        <v>2.3075</v>
      </c>
      <c r="H11" s="12" t="n">
        <v>2.2064</v>
      </c>
      <c r="J11" s="8" t="n">
        <v>0.10074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100.74</v>
      </c>
      <c r="N11" s="9" t="n">
        <v>5300.11</v>
      </c>
      <c r="O11" s="9" t="n">
        <v>-67221.83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438</v>
      </c>
      <c r="D12" s="5" t="s">
        <v>714</v>
      </c>
      <c r="E12" s="5" t="s">
        <v>81</v>
      </c>
      <c r="F12" s="11" t="n">
        <v>52668.62</v>
      </c>
      <c r="G12" s="12" t="n">
        <v>2.3075</v>
      </c>
      <c r="H12" s="12" t="n">
        <v>2.8403</v>
      </c>
      <c r="I12" s="5" t="s">
        <v>78</v>
      </c>
      <c r="J12" s="8" t="n">
        <v>0.14704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147.04</v>
      </c>
      <c r="N12" s="9" t="n">
        <v>7744.22</v>
      </c>
      <c r="O12" s="9" t="n">
        <v>-59477.61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715</v>
      </c>
      <c r="D13" s="5" t="s">
        <v>716</v>
      </c>
      <c r="E13" s="5" t="s">
        <v>77</v>
      </c>
      <c r="F13" s="11" t="n">
        <v>79464.74</v>
      </c>
      <c r="G13" s="12" t="n">
        <v>3.0398</v>
      </c>
      <c r="H13" s="12" t="n">
        <v>3.045</v>
      </c>
      <c r="I13" s="5" t="s">
        <v>78</v>
      </c>
      <c r="J13" s="8" t="n">
        <v>-0.26689</v>
      </c>
      <c r="K13" s="13" t="str">
        <f aca="false">IF(J13&gt;0,"прибыль",IF(J13&lt;0,"убыток","ноль"))</f>
        <v>убыток</v>
      </c>
      <c r="L13" s="13" t="n">
        <f aca="false">IF(C13="",L12,IF(J13&lt;0,L12+1,0))</f>
        <v>1</v>
      </c>
      <c r="M13" s="14" t="n">
        <v>-266.89</v>
      </c>
      <c r="N13" s="9" t="n">
        <v>-21208.28</v>
      </c>
      <c r="O13" s="9" t="n">
        <v>-80685.89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443</v>
      </c>
      <c r="D14" s="5" t="s">
        <v>717</v>
      </c>
      <c r="E14" s="5" t="s">
        <v>81</v>
      </c>
      <c r="F14" s="11" t="n">
        <v>102982.38</v>
      </c>
      <c r="G14" s="12" t="n">
        <v>2.6509</v>
      </c>
      <c r="H14" s="12" t="n">
        <v>2.7744</v>
      </c>
      <c r="I14" s="5" t="s">
        <v>78</v>
      </c>
      <c r="J14" s="8" t="n">
        <v>0.03957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39.57</v>
      </c>
      <c r="N14" s="9" t="n">
        <v>4075.29</v>
      </c>
      <c r="O14" s="9" t="n">
        <v>-76610.6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718</v>
      </c>
      <c r="D15" s="5" t="s">
        <v>719</v>
      </c>
      <c r="E15" s="5" t="s">
        <v>77</v>
      </c>
      <c r="F15" s="11" t="n">
        <v>109547.75</v>
      </c>
      <c r="G15" s="12" t="n">
        <v>3.0501</v>
      </c>
      <c r="H15" s="12" t="n">
        <v>2.6502</v>
      </c>
      <c r="I15" s="5" t="s">
        <v>78</v>
      </c>
      <c r="J15" s="8" t="n">
        <v>-0.31667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1</v>
      </c>
      <c r="M15" s="14" t="n">
        <v>-316.67</v>
      </c>
      <c r="N15" s="9" t="n">
        <v>-34690.45</v>
      </c>
      <c r="O15" s="9" t="n">
        <v>-111301.05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719</v>
      </c>
      <c r="D16" s="5" t="s">
        <v>720</v>
      </c>
      <c r="E16" s="5" t="s">
        <v>81</v>
      </c>
      <c r="F16" s="11" t="n">
        <v>167390.23</v>
      </c>
      <c r="G16" s="12" t="n">
        <v>2.6033</v>
      </c>
      <c r="H16" s="12" t="n">
        <v>2.7433</v>
      </c>
      <c r="I16" s="5" t="s">
        <v>78</v>
      </c>
      <c r="J16" s="8" t="n">
        <v>-0.05068</v>
      </c>
      <c r="K16" s="13" t="str">
        <f aca="false">IF(J16&gt;0,"прибыль",IF(J16&lt;0,"убыток","ноль"))</f>
        <v>убыток</v>
      </c>
      <c r="L16" s="13" t="n">
        <f aca="false">IF(C16="",L15,IF(J16&lt;0,L15+1,0))</f>
        <v>2</v>
      </c>
      <c r="M16" s="14" t="n">
        <v>-50.68</v>
      </c>
      <c r="N16" s="9" t="n">
        <v>-8482.85</v>
      </c>
      <c r="O16" s="9" t="n">
        <v>-119783.9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720</v>
      </c>
      <c r="D17" s="5" t="s">
        <v>721</v>
      </c>
      <c r="E17" s="5" t="s">
        <v>77</v>
      </c>
      <c r="F17" s="11" t="n">
        <v>0</v>
      </c>
      <c r="G17" s="12" t="n">
        <v>2.7433</v>
      </c>
      <c r="H17" s="12" t="n">
        <v>2.7189</v>
      </c>
      <c r="J17" s="8" t="n">
        <v>-0.02453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3</v>
      </c>
      <c r="M17" s="14" t="n">
        <v>-24.53</v>
      </c>
      <c r="N17" s="9" t="n">
        <v>0</v>
      </c>
      <c r="O17" s="9" t="n">
        <v>-119783.9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721</v>
      </c>
      <c r="D18" s="5" t="s">
        <v>450</v>
      </c>
      <c r="E18" s="5" t="s">
        <v>77</v>
      </c>
      <c r="F18" s="11" t="n">
        <v>50040.34</v>
      </c>
      <c r="G18" s="12" t="n">
        <v>2.7669</v>
      </c>
      <c r="H18" s="12" t="n">
        <v>3.1164</v>
      </c>
      <c r="I18" s="5" t="s">
        <v>78</v>
      </c>
      <c r="J18" s="8" t="n">
        <v>0.276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276</v>
      </c>
      <c r="N18" s="9" t="n">
        <v>13810.96</v>
      </c>
      <c r="O18" s="9" t="n">
        <v>-105972.94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450</v>
      </c>
      <c r="D19" s="5" t="s">
        <v>297</v>
      </c>
      <c r="E19" s="5" t="s">
        <v>77</v>
      </c>
      <c r="F19" s="11" t="n">
        <v>37519.98</v>
      </c>
      <c r="G19" s="12" t="n">
        <v>2.8401</v>
      </c>
      <c r="H19" s="12" t="n">
        <v>3.6742</v>
      </c>
      <c r="I19" s="5" t="s">
        <v>78</v>
      </c>
      <c r="J19" s="8" t="n">
        <v>0.6642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664.2</v>
      </c>
      <c r="N19" s="9" t="n">
        <v>24920.94</v>
      </c>
      <c r="O19" s="9" t="n">
        <v>-81052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297</v>
      </c>
      <c r="D20" s="5" t="s">
        <v>302</v>
      </c>
      <c r="E20" s="5" t="s">
        <v>77</v>
      </c>
      <c r="F20" s="11" t="n">
        <v>125320.39</v>
      </c>
      <c r="G20" s="12" t="n">
        <v>3.0098</v>
      </c>
      <c r="H20" s="12" t="n">
        <v>3.8495</v>
      </c>
      <c r="I20" s="5" t="s">
        <v>78</v>
      </c>
      <c r="J20" s="8" t="n">
        <v>0.86455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864.55</v>
      </c>
      <c r="N20" s="9" t="n">
        <v>108345.86</v>
      </c>
      <c r="O20" s="9" t="n">
        <v>27293.86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305</v>
      </c>
      <c r="D21" s="5" t="s">
        <v>722</v>
      </c>
      <c r="E21" s="5" t="s">
        <v>77</v>
      </c>
      <c r="F21" s="11" t="n">
        <v>16727</v>
      </c>
      <c r="G21" s="12" t="n">
        <v>4.6353</v>
      </c>
      <c r="H21" s="12" t="n">
        <v>5.0459</v>
      </c>
      <c r="J21" s="8" t="n">
        <v>0.40928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409.28</v>
      </c>
      <c r="N21" s="9" t="n">
        <v>6846</v>
      </c>
      <c r="O21" s="9" t="n">
        <v>34139.86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722</v>
      </c>
      <c r="D22" s="5" t="s">
        <v>453</v>
      </c>
      <c r="E22" s="5" t="s">
        <v>77</v>
      </c>
      <c r="F22" s="11" t="n">
        <v>16713.13</v>
      </c>
      <c r="G22" s="12" t="n">
        <v>4.6353</v>
      </c>
      <c r="H22" s="12" t="n">
        <v>5.6948</v>
      </c>
      <c r="J22" s="8" t="n">
        <v>1.05921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1059.21</v>
      </c>
      <c r="N22" s="9" t="n">
        <v>17702.7</v>
      </c>
      <c r="O22" s="9" t="n">
        <v>51842.56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453</v>
      </c>
      <c r="D23" s="5" t="s">
        <v>454</v>
      </c>
      <c r="E23" s="5" t="s">
        <v>77</v>
      </c>
      <c r="F23" s="11" t="n">
        <v>9538.47</v>
      </c>
      <c r="G23" s="12" t="n">
        <v>4.6353</v>
      </c>
      <c r="H23" s="12" t="n">
        <v>5.8046</v>
      </c>
      <c r="I23" s="5" t="s">
        <v>78</v>
      </c>
      <c r="J23" s="8" t="n">
        <v>1.08283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1082.83</v>
      </c>
      <c r="N23" s="9" t="n">
        <v>10328.54</v>
      </c>
      <c r="O23" s="9" t="n">
        <v>62171.1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454</v>
      </c>
      <c r="D24" s="5" t="s">
        <v>723</v>
      </c>
      <c r="E24" s="5" t="s">
        <v>77</v>
      </c>
      <c r="F24" s="11" t="n">
        <v>33473.33</v>
      </c>
      <c r="G24" s="12" t="n">
        <v>4.7214</v>
      </c>
      <c r="H24" s="12" t="n">
        <v>4.9555</v>
      </c>
      <c r="J24" s="8" t="n">
        <v>0.2338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233.8</v>
      </c>
      <c r="N24" s="9" t="n">
        <v>7826.14</v>
      </c>
      <c r="O24" s="9" t="n">
        <v>69997.24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724</v>
      </c>
      <c r="D25" s="5" t="s">
        <v>725</v>
      </c>
      <c r="E25" s="5" t="s">
        <v>81</v>
      </c>
      <c r="F25" s="11" t="n">
        <v>60033.86</v>
      </c>
      <c r="G25" s="12" t="n">
        <v>4.481</v>
      </c>
      <c r="H25" s="12" t="n">
        <v>4.1514</v>
      </c>
      <c r="I25" s="5" t="s">
        <v>78</v>
      </c>
      <c r="J25" s="8" t="n">
        <v>0.39775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397.75</v>
      </c>
      <c r="N25" s="9" t="n">
        <v>23878.22</v>
      </c>
      <c r="O25" s="9" t="n">
        <v>93875.46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725</v>
      </c>
      <c r="D26" s="5" t="s">
        <v>686</v>
      </c>
      <c r="E26" s="5" t="s">
        <v>77</v>
      </c>
      <c r="F26" s="11" t="n">
        <v>0</v>
      </c>
      <c r="G26" s="12" t="n">
        <v>4.1514</v>
      </c>
      <c r="H26" s="12" t="n">
        <v>4.2224</v>
      </c>
      <c r="J26" s="8" t="n">
        <v>0.07084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70.84</v>
      </c>
      <c r="N26" s="9" t="n">
        <v>0</v>
      </c>
      <c r="O26" s="9" t="n">
        <v>93875.46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686</v>
      </c>
      <c r="D27" s="5" t="s">
        <v>457</v>
      </c>
      <c r="E27" s="5" t="s">
        <v>77</v>
      </c>
      <c r="F27" s="11" t="n">
        <v>16289.67</v>
      </c>
      <c r="G27" s="12" t="n">
        <v>4.1514</v>
      </c>
      <c r="H27" s="12" t="n">
        <v>4.8041</v>
      </c>
      <c r="J27" s="8" t="n">
        <v>0.65247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652.47</v>
      </c>
      <c r="N27" s="9" t="n">
        <v>10628.44</v>
      </c>
      <c r="O27" s="9" t="n">
        <v>104503.9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457</v>
      </c>
      <c r="D28" s="5" t="s">
        <v>458</v>
      </c>
      <c r="E28" s="5" t="s">
        <v>77</v>
      </c>
      <c r="F28" s="11" t="n">
        <v>9129.15</v>
      </c>
      <c r="G28" s="12" t="n">
        <v>4.1514</v>
      </c>
      <c r="H28" s="12" t="n">
        <v>5.4162</v>
      </c>
      <c r="I28" s="5" t="s">
        <v>78</v>
      </c>
      <c r="J28" s="8" t="n">
        <v>1.1859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1185.9</v>
      </c>
      <c r="N28" s="9" t="n">
        <v>10826.27</v>
      </c>
      <c r="O28" s="9" t="n">
        <v>115330.18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458</v>
      </c>
      <c r="D29" s="5" t="s">
        <v>726</v>
      </c>
      <c r="E29" s="5" t="s">
        <v>77</v>
      </c>
      <c r="F29" s="11" t="n">
        <v>30194.54</v>
      </c>
      <c r="G29" s="12" t="n">
        <v>4.23</v>
      </c>
      <c r="H29" s="12" t="n">
        <v>3.9881</v>
      </c>
      <c r="J29" s="8" t="n">
        <v>-0.24206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1</v>
      </c>
      <c r="M29" s="14" t="n">
        <v>-242.06</v>
      </c>
      <c r="N29" s="9" t="n">
        <v>-7308.77</v>
      </c>
      <c r="O29" s="9" t="n">
        <v>108021.41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459</v>
      </c>
      <c r="D30" s="5" t="s">
        <v>460</v>
      </c>
      <c r="E30" s="5" t="s">
        <v>77</v>
      </c>
      <c r="F30" s="11" t="n">
        <v>16837.67</v>
      </c>
      <c r="G30" s="12" t="n">
        <v>5.5184</v>
      </c>
      <c r="H30" s="12" t="n">
        <v>7.1895</v>
      </c>
      <c r="I30" s="5" t="s">
        <v>78</v>
      </c>
      <c r="J30" s="8" t="n">
        <v>2.00731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2007.31</v>
      </c>
      <c r="N30" s="9" t="n">
        <v>33798.45</v>
      </c>
      <c r="O30" s="9" t="n">
        <v>141819.86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460</v>
      </c>
      <c r="D31" s="5" t="s">
        <v>461</v>
      </c>
      <c r="E31" s="5" t="s">
        <v>77</v>
      </c>
      <c r="F31" s="11" t="n">
        <v>14484.62</v>
      </c>
      <c r="G31" s="12" t="n">
        <v>5.1807</v>
      </c>
      <c r="H31" s="12" t="n">
        <v>6.8356</v>
      </c>
      <c r="J31" s="8" t="n">
        <v>1.65456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1654.56</v>
      </c>
      <c r="N31" s="9" t="n">
        <v>23965.64</v>
      </c>
      <c r="O31" s="9" t="n">
        <v>165785.5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461</v>
      </c>
      <c r="D32" s="5" t="s">
        <v>462</v>
      </c>
      <c r="E32" s="5" t="s">
        <v>77</v>
      </c>
      <c r="F32" s="11" t="n">
        <v>10194.65</v>
      </c>
      <c r="G32" s="12" t="n">
        <v>5.1807</v>
      </c>
      <c r="H32" s="12" t="n">
        <v>7.6313</v>
      </c>
      <c r="I32" s="5" t="s">
        <v>78</v>
      </c>
      <c r="J32" s="8" t="n">
        <v>2.26116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2261.16</v>
      </c>
      <c r="N32" s="9" t="n">
        <v>23051.78</v>
      </c>
      <c r="O32" s="9" t="n">
        <v>188837.27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462</v>
      </c>
      <c r="D33" s="5" t="s">
        <v>463</v>
      </c>
      <c r="E33" s="5" t="s">
        <v>77</v>
      </c>
      <c r="F33" s="11" t="n">
        <v>38437.29</v>
      </c>
      <c r="G33" s="12" t="n">
        <v>6.2528</v>
      </c>
      <c r="H33" s="12" t="n">
        <v>7.4956</v>
      </c>
      <c r="I33" s="5" t="s">
        <v>78</v>
      </c>
      <c r="J33" s="8" t="n">
        <v>1.33015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1330.15</v>
      </c>
      <c r="N33" s="9" t="n">
        <v>51127.5</v>
      </c>
      <c r="O33" s="9" t="n">
        <v>239964.78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727</v>
      </c>
      <c r="D34" s="5" t="s">
        <v>728</v>
      </c>
      <c r="E34" s="5" t="s">
        <v>81</v>
      </c>
      <c r="F34" s="11" t="n">
        <v>35428.92</v>
      </c>
      <c r="G34" s="12" t="n">
        <v>6.7701</v>
      </c>
      <c r="H34" s="12" t="n">
        <v>6.7266</v>
      </c>
      <c r="I34" s="5" t="s">
        <v>78</v>
      </c>
      <c r="J34" s="8" t="n">
        <v>0.40736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407.36</v>
      </c>
      <c r="N34" s="9" t="n">
        <v>14432.24</v>
      </c>
      <c r="O34" s="9" t="n">
        <v>254397.01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729</v>
      </c>
      <c r="D35" s="5" t="s">
        <v>329</v>
      </c>
      <c r="E35" s="5" t="s">
        <v>77</v>
      </c>
      <c r="F35" s="11" t="n">
        <v>32180.88</v>
      </c>
      <c r="G35" s="12" t="n">
        <v>8.149</v>
      </c>
      <c r="H35" s="12" t="n">
        <v>8.2545</v>
      </c>
      <c r="I35" s="5" t="s">
        <v>78</v>
      </c>
      <c r="J35" s="8" t="n">
        <v>0.55919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559.19</v>
      </c>
      <c r="N35" s="9" t="n">
        <v>17995.23</v>
      </c>
      <c r="O35" s="9" t="n">
        <v>272392.25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730</v>
      </c>
      <c r="D36" s="5" t="s">
        <v>466</v>
      </c>
      <c r="E36" s="5" t="s">
        <v>81</v>
      </c>
      <c r="F36" s="11" t="n">
        <v>20380.38</v>
      </c>
      <c r="G36" s="12" t="n">
        <v>6.7404</v>
      </c>
      <c r="H36" s="12" t="n">
        <v>5.7217</v>
      </c>
      <c r="I36" s="5" t="s">
        <v>78</v>
      </c>
      <c r="J36" s="8" t="n">
        <v>1.55837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1558.37</v>
      </c>
      <c r="N36" s="9" t="n">
        <v>31760.17</v>
      </c>
      <c r="O36" s="9" t="n">
        <v>304152.41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466</v>
      </c>
      <c r="D37" s="5" t="s">
        <v>335</v>
      </c>
      <c r="E37" s="5" t="s">
        <v>81</v>
      </c>
      <c r="F37" s="11" t="n">
        <v>38970.5</v>
      </c>
      <c r="G37" s="12" t="n">
        <v>7.2815</v>
      </c>
      <c r="H37" s="12" t="n">
        <v>6.7698</v>
      </c>
      <c r="I37" s="5" t="s">
        <v>78</v>
      </c>
      <c r="J37" s="8" t="n">
        <v>1.00632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1006.32</v>
      </c>
      <c r="N37" s="9" t="n">
        <v>39216.86</v>
      </c>
      <c r="O37" s="9" t="n">
        <v>343369.27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340</v>
      </c>
      <c r="D38" s="5" t="s">
        <v>731</v>
      </c>
      <c r="E38" s="5" t="s">
        <v>77</v>
      </c>
      <c r="F38" s="11" t="n">
        <v>32069.31</v>
      </c>
      <c r="G38" s="12" t="n">
        <v>7.1402</v>
      </c>
      <c r="H38" s="12" t="n">
        <v>5.9067</v>
      </c>
      <c r="I38" s="5" t="s">
        <v>78</v>
      </c>
      <c r="J38" s="8" t="n">
        <v>-1.56395</v>
      </c>
      <c r="K38" s="13" t="str">
        <f aca="false">IF(J38&gt;0,"прибыль",IF(J38&lt;0,"убыток","ноль"))</f>
        <v>убыток</v>
      </c>
      <c r="L38" s="13" t="n">
        <f aca="false">IF(C38="",L37,IF(J38&lt;0,L37+1,0))</f>
        <v>1</v>
      </c>
      <c r="M38" s="14" t="n">
        <v>-1563.95</v>
      </c>
      <c r="N38" s="9" t="n">
        <v>-50154.74</v>
      </c>
      <c r="O38" s="9" t="n">
        <v>293214.54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731</v>
      </c>
      <c r="D39" s="5" t="s">
        <v>468</v>
      </c>
      <c r="E39" s="5" t="s">
        <v>81</v>
      </c>
      <c r="F39" s="11" t="n">
        <v>9502.13</v>
      </c>
      <c r="G39" s="12" t="n">
        <v>5.9067</v>
      </c>
      <c r="H39" s="12" t="n">
        <v>6.8721</v>
      </c>
      <c r="J39" s="8" t="n">
        <v>-0.96567</v>
      </c>
      <c r="K39" s="13" t="str">
        <f aca="false">IF(J39&gt;0,"прибыль",IF(J39&lt;0,"убыток","ноль"))</f>
        <v>убыток</v>
      </c>
      <c r="L39" s="13" t="n">
        <f aca="false">IF(C39="",L38,IF(J39&lt;0,L38+1,0))</f>
        <v>2</v>
      </c>
      <c r="M39" s="14" t="n">
        <v>-965.67</v>
      </c>
      <c r="N39" s="9" t="n">
        <v>-9175.9</v>
      </c>
      <c r="O39" s="9" t="n">
        <v>284038.63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468</v>
      </c>
      <c r="D40" s="5" t="s">
        <v>469</v>
      </c>
      <c r="E40" s="5" t="s">
        <v>81</v>
      </c>
      <c r="F40" s="11" t="n">
        <v>19432.42</v>
      </c>
      <c r="G40" s="12" t="n">
        <v>4.0172</v>
      </c>
      <c r="H40" s="12" t="n">
        <v>2.8047</v>
      </c>
      <c r="I40" s="5" t="s">
        <v>78</v>
      </c>
      <c r="J40" s="8" t="n">
        <v>1.88412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1884.12</v>
      </c>
      <c r="N40" s="9" t="n">
        <v>36613.1</v>
      </c>
      <c r="O40" s="9" t="n">
        <v>320651.73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469</v>
      </c>
      <c r="D41" s="5" t="s">
        <v>470</v>
      </c>
      <c r="E41" s="5" t="s">
        <v>81</v>
      </c>
      <c r="F41" s="11" t="n">
        <v>146278.37</v>
      </c>
      <c r="G41" s="12" t="n">
        <v>3.0955</v>
      </c>
      <c r="H41" s="12" t="n">
        <v>2.3317</v>
      </c>
      <c r="I41" s="5" t="s">
        <v>78</v>
      </c>
      <c r="J41" s="8" t="n">
        <v>1.1494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1149.4</v>
      </c>
      <c r="N41" s="9" t="n">
        <v>168132.25</v>
      </c>
      <c r="O41" s="9" t="n">
        <v>488783.99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732</v>
      </c>
      <c r="D42" s="5" t="s">
        <v>733</v>
      </c>
      <c r="E42" s="5" t="s">
        <v>77</v>
      </c>
      <c r="F42" s="11" t="n">
        <v>91105.18</v>
      </c>
      <c r="G42" s="12" t="n">
        <v>2.6145</v>
      </c>
      <c r="H42" s="12" t="n">
        <v>2.4046</v>
      </c>
      <c r="I42" s="5" t="s">
        <v>78</v>
      </c>
      <c r="J42" s="8" t="n">
        <v>-0.39039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1</v>
      </c>
      <c r="M42" s="14" t="n">
        <v>-390.39</v>
      </c>
      <c r="N42" s="9" t="n">
        <v>-35566.86</v>
      </c>
      <c r="O42" s="9" t="n">
        <v>453217.13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734</v>
      </c>
      <c r="D43" s="5" t="s">
        <v>735</v>
      </c>
      <c r="E43" s="5" t="s">
        <v>81</v>
      </c>
      <c r="F43" s="11" t="n">
        <v>113115.65</v>
      </c>
      <c r="G43" s="12" t="n">
        <v>2.2123</v>
      </c>
      <c r="H43" s="12" t="n">
        <v>2.5789</v>
      </c>
      <c r="J43" s="8" t="n">
        <v>-0.3669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2</v>
      </c>
      <c r="M43" s="14" t="n">
        <v>-366.9</v>
      </c>
      <c r="N43" s="9" t="n">
        <v>-41502.42</v>
      </c>
      <c r="O43" s="9" t="n">
        <v>411714.71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736</v>
      </c>
      <c r="D44" s="5" t="s">
        <v>737</v>
      </c>
      <c r="E44" s="5" t="s">
        <v>77</v>
      </c>
      <c r="F44" s="11" t="n">
        <v>130408.1</v>
      </c>
      <c r="G44" s="12" t="n">
        <v>2.7184</v>
      </c>
      <c r="H44" s="12" t="n">
        <v>2.5034</v>
      </c>
      <c r="I44" s="5" t="s">
        <v>78</v>
      </c>
      <c r="J44" s="8" t="n">
        <v>-0.10972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3</v>
      </c>
      <c r="M44" s="14" t="n">
        <v>-109.72</v>
      </c>
      <c r="N44" s="9" t="n">
        <v>-14307.87</v>
      </c>
      <c r="O44" s="9" t="n">
        <v>397406.83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738</v>
      </c>
      <c r="D45" s="5" t="s">
        <v>739</v>
      </c>
      <c r="E45" s="5" t="s">
        <v>77</v>
      </c>
      <c r="F45" s="11" t="n">
        <v>132989.91</v>
      </c>
      <c r="G45" s="12" t="n">
        <v>2.7863</v>
      </c>
      <c r="H45" s="12" t="n">
        <v>2.4883</v>
      </c>
      <c r="J45" s="8" t="n">
        <v>-0.29824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4</v>
      </c>
      <c r="M45" s="14" t="n">
        <v>-298.24</v>
      </c>
      <c r="N45" s="9" t="n">
        <v>-39662.4</v>
      </c>
      <c r="O45" s="9" t="n">
        <v>357744.43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475</v>
      </c>
      <c r="D46" s="5" t="s">
        <v>740</v>
      </c>
      <c r="E46" s="5" t="s">
        <v>81</v>
      </c>
      <c r="F46" s="11" t="n">
        <v>139979.34</v>
      </c>
      <c r="G46" s="12" t="n">
        <v>2.536</v>
      </c>
      <c r="H46" s="12" t="n">
        <v>2.8454</v>
      </c>
      <c r="J46" s="8" t="n">
        <v>-0.30971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5</v>
      </c>
      <c r="M46" s="14" t="n">
        <v>-309.71</v>
      </c>
      <c r="N46" s="9" t="n">
        <v>-43352.95</v>
      </c>
      <c r="O46" s="9" t="n">
        <v>314391.48</v>
      </c>
    </row>
    <row r="47" customFormat="false" ht="15" hidden="false" customHeight="false" outlineLevel="0" collapsed="false">
      <c r="A47" s="6" t="n">
        <v>42</v>
      </c>
      <c r="B47" s="5" t="s">
        <v>74</v>
      </c>
      <c r="C47" s="5" t="s">
        <v>630</v>
      </c>
      <c r="D47" s="5" t="s">
        <v>741</v>
      </c>
      <c r="E47" s="5" t="s">
        <v>77</v>
      </c>
      <c r="F47" s="11" t="n">
        <v>109201.23</v>
      </c>
      <c r="G47" s="12" t="n">
        <v>3.1762</v>
      </c>
      <c r="H47" s="12" t="n">
        <v>2.9294</v>
      </c>
      <c r="J47" s="8" t="n">
        <v>-0.24706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6</v>
      </c>
      <c r="M47" s="14" t="n">
        <v>-247.06</v>
      </c>
      <c r="N47" s="9" t="n">
        <v>-26979.14</v>
      </c>
      <c r="O47" s="9" t="n">
        <v>287412.34</v>
      </c>
    </row>
    <row r="48" customFormat="false" ht="15" hidden="false" customHeight="false" outlineLevel="0" collapsed="false">
      <c r="A48" s="6" t="n">
        <v>43</v>
      </c>
      <c r="B48" s="5" t="s">
        <v>74</v>
      </c>
      <c r="C48" s="5" t="s">
        <v>742</v>
      </c>
      <c r="D48" s="5" t="s">
        <v>486</v>
      </c>
      <c r="E48" s="5" t="s">
        <v>81</v>
      </c>
      <c r="F48" s="11" t="n">
        <v>46349.22</v>
      </c>
      <c r="G48" s="12" t="n">
        <v>2.7637</v>
      </c>
      <c r="H48" s="12" t="n">
        <v>2.5309</v>
      </c>
      <c r="I48" s="5" t="s">
        <v>78</v>
      </c>
      <c r="J48" s="8" t="n">
        <v>0.29435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294.35</v>
      </c>
      <c r="N48" s="9" t="n">
        <v>13643.1</v>
      </c>
      <c r="O48" s="9" t="n">
        <v>301055.44</v>
      </c>
    </row>
    <row r="49" customFormat="false" ht="15" hidden="false" customHeight="false" outlineLevel="0" collapsed="false">
      <c r="A49" s="6" t="n">
        <v>44</v>
      </c>
      <c r="B49" s="5" t="s">
        <v>74</v>
      </c>
      <c r="C49" s="5" t="s">
        <v>486</v>
      </c>
      <c r="D49" s="5" t="s">
        <v>487</v>
      </c>
      <c r="E49" s="5" t="s">
        <v>81</v>
      </c>
      <c r="F49" s="11" t="n">
        <v>34598.58</v>
      </c>
      <c r="G49" s="12" t="n">
        <v>2.826</v>
      </c>
      <c r="H49" s="12" t="n">
        <v>2.5838</v>
      </c>
      <c r="J49" s="8" t="n">
        <v>0.24205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242.05</v>
      </c>
      <c r="N49" s="9" t="n">
        <v>8374.59</v>
      </c>
      <c r="O49" s="9" t="n">
        <v>309430.03</v>
      </c>
    </row>
    <row r="50" customFormat="false" ht="15" hidden="false" customHeight="false" outlineLevel="0" collapsed="false">
      <c r="A50" s="6" t="n">
        <v>45</v>
      </c>
      <c r="B50" s="5" t="s">
        <v>74</v>
      </c>
      <c r="C50" s="5" t="s">
        <v>487</v>
      </c>
      <c r="D50" s="5" t="s">
        <v>743</v>
      </c>
      <c r="E50" s="5" t="s">
        <v>81</v>
      </c>
      <c r="F50" s="11" t="n">
        <v>116261.09</v>
      </c>
      <c r="G50" s="12" t="n">
        <v>2.826</v>
      </c>
      <c r="H50" s="12" t="n">
        <v>2.5599</v>
      </c>
      <c r="I50" s="5" t="s">
        <v>78</v>
      </c>
      <c r="J50" s="8" t="n">
        <v>0.19726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197.26</v>
      </c>
      <c r="N50" s="9" t="n">
        <v>22933.86</v>
      </c>
      <c r="O50" s="9" t="n">
        <v>332363.89</v>
      </c>
    </row>
    <row r="51" customFormat="false" ht="15" hidden="false" customHeight="false" outlineLevel="0" collapsed="false">
      <c r="A51" s="6" t="n">
        <v>46</v>
      </c>
      <c r="B51" s="5" t="s">
        <v>74</v>
      </c>
      <c r="C51" s="5" t="s">
        <v>488</v>
      </c>
      <c r="D51" s="5" t="s">
        <v>490</v>
      </c>
      <c r="E51" s="5" t="s">
        <v>77</v>
      </c>
      <c r="F51" s="11" t="n">
        <v>18778.57</v>
      </c>
      <c r="G51" s="12" t="n">
        <v>2.8111</v>
      </c>
      <c r="H51" s="12" t="n">
        <v>2.8215</v>
      </c>
      <c r="J51" s="8" t="n">
        <v>0.00961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9.61</v>
      </c>
      <c r="N51" s="9" t="n">
        <v>180.45</v>
      </c>
      <c r="O51" s="9" t="n">
        <v>332544.34</v>
      </c>
    </row>
    <row r="52" customFormat="false" ht="15" hidden="false" customHeight="false" outlineLevel="0" collapsed="false">
      <c r="A52" s="6" t="n">
        <v>47</v>
      </c>
      <c r="B52" s="5" t="s">
        <v>74</v>
      </c>
      <c r="C52" s="5" t="s">
        <v>490</v>
      </c>
      <c r="D52" s="5" t="s">
        <v>359</v>
      </c>
      <c r="E52" s="5" t="s">
        <v>77</v>
      </c>
      <c r="F52" s="11" t="n">
        <v>67921.41</v>
      </c>
      <c r="G52" s="12" t="n">
        <v>2.8111</v>
      </c>
      <c r="H52" s="12" t="n">
        <v>2.3264</v>
      </c>
      <c r="J52" s="8" t="n">
        <v>-0.48474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1</v>
      </c>
      <c r="M52" s="14" t="n">
        <v>-484.74</v>
      </c>
      <c r="N52" s="9" t="n">
        <v>-32924.37</v>
      </c>
      <c r="O52" s="9" t="n">
        <v>299619.97</v>
      </c>
    </row>
    <row r="53" customFormat="false" ht="15" hidden="false" customHeight="false" outlineLevel="0" collapsed="false">
      <c r="A53" s="6" t="n">
        <v>48</v>
      </c>
      <c r="B53" s="5" t="s">
        <v>491</v>
      </c>
      <c r="C53" s="5" t="s">
        <v>744</v>
      </c>
      <c r="D53" s="5" t="s">
        <v>492</v>
      </c>
      <c r="E53" s="5" t="s">
        <v>81</v>
      </c>
      <c r="F53" s="11" t="n">
        <v>33224.12</v>
      </c>
      <c r="G53" s="12" t="n">
        <v>1.6465</v>
      </c>
      <c r="H53" s="12" t="n">
        <v>2.0333</v>
      </c>
      <c r="I53" s="5" t="s">
        <v>78</v>
      </c>
      <c r="J53" s="8" t="n">
        <v>0.38124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381.24</v>
      </c>
      <c r="N53" s="9" t="n">
        <v>12666.26</v>
      </c>
      <c r="O53" s="9" t="n">
        <v>312286.23</v>
      </c>
    </row>
    <row r="54" customFormat="false" ht="15" hidden="false" customHeight="false" outlineLevel="0" collapsed="false">
      <c r="A54" s="6" t="n">
        <v>49</v>
      </c>
      <c r="B54" s="5" t="s">
        <v>491</v>
      </c>
      <c r="C54" s="5" t="s">
        <v>492</v>
      </c>
      <c r="D54" s="5" t="s">
        <v>745</v>
      </c>
      <c r="E54" s="5" t="s">
        <v>81</v>
      </c>
      <c r="F54" s="11" t="n">
        <v>123789.47</v>
      </c>
      <c r="G54" s="12" t="n">
        <v>2.4152</v>
      </c>
      <c r="H54" s="12" t="n">
        <v>2.1758</v>
      </c>
      <c r="J54" s="8" t="n">
        <v>0.23928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239.28</v>
      </c>
      <c r="N54" s="9" t="n">
        <v>29620.25</v>
      </c>
      <c r="O54" s="9" t="n">
        <v>341906.48</v>
      </c>
    </row>
    <row r="55" customFormat="false" ht="15" hidden="false" customHeight="false" outlineLevel="0" collapsed="false">
      <c r="A55" s="6" t="n">
        <v>50</v>
      </c>
      <c r="B55" s="5" t="s">
        <v>288</v>
      </c>
      <c r="C55" s="5" t="s">
        <v>746</v>
      </c>
      <c r="D55" s="5" t="s">
        <v>747</v>
      </c>
      <c r="E55" s="5" t="s">
        <v>77</v>
      </c>
      <c r="F55" s="11" t="n">
        <v>20578.16</v>
      </c>
      <c r="G55" s="12" t="n">
        <v>2.3682</v>
      </c>
      <c r="H55" s="12" t="n">
        <v>2.7985</v>
      </c>
      <c r="J55" s="8" t="n">
        <v>0.42956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429.56</v>
      </c>
      <c r="N55" s="9" t="n">
        <v>8839.61</v>
      </c>
      <c r="O55" s="9" t="n">
        <v>350746.09</v>
      </c>
    </row>
    <row r="56" customFormat="false" ht="15" hidden="false" customHeight="false" outlineLevel="0" collapsed="false">
      <c r="A56" s="6" t="n">
        <v>51</v>
      </c>
      <c r="B56" s="5" t="s">
        <v>288</v>
      </c>
      <c r="C56" s="5" t="s">
        <v>747</v>
      </c>
      <c r="D56" s="5" t="s">
        <v>494</v>
      </c>
      <c r="E56" s="5" t="s">
        <v>77</v>
      </c>
      <c r="F56" s="11" t="n">
        <v>24548.76</v>
      </c>
      <c r="G56" s="12" t="n">
        <v>2.4347</v>
      </c>
      <c r="H56" s="12" t="n">
        <v>3.0283</v>
      </c>
      <c r="I56" s="5" t="s">
        <v>78</v>
      </c>
      <c r="J56" s="8" t="n">
        <v>0.52744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527.44</v>
      </c>
      <c r="N56" s="9" t="n">
        <v>12948.05</v>
      </c>
      <c r="O56" s="9" t="n">
        <v>363694.14</v>
      </c>
    </row>
    <row r="57" customFormat="false" ht="15" hidden="false" customHeight="false" outlineLevel="0" collapsed="false">
      <c r="A57" s="6" t="n">
        <v>52</v>
      </c>
      <c r="B57" s="5" t="s">
        <v>288</v>
      </c>
      <c r="C57" s="5" t="s">
        <v>494</v>
      </c>
      <c r="D57" s="5" t="s">
        <v>748</v>
      </c>
      <c r="E57" s="5" t="s">
        <v>77</v>
      </c>
      <c r="F57" s="11" t="n">
        <v>75705.39</v>
      </c>
      <c r="G57" s="12" t="n">
        <v>2.5005</v>
      </c>
      <c r="H57" s="12" t="n">
        <v>2.5981</v>
      </c>
      <c r="I57" s="5" t="s">
        <v>78</v>
      </c>
      <c r="J57" s="8" t="n">
        <v>0.09197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91.97</v>
      </c>
      <c r="N57" s="9" t="n">
        <v>6962.31</v>
      </c>
      <c r="O57" s="9" t="n">
        <v>370656.45</v>
      </c>
    </row>
    <row r="58" customFormat="false" ht="15" hidden="false" customHeight="false" outlineLevel="0" collapsed="false">
      <c r="A58" s="6" t="n">
        <v>53</v>
      </c>
      <c r="B58" s="5" t="s">
        <v>288</v>
      </c>
      <c r="C58" s="5" t="s">
        <v>749</v>
      </c>
      <c r="D58" s="5" t="s">
        <v>634</v>
      </c>
      <c r="E58" s="5" t="s">
        <v>81</v>
      </c>
      <c r="F58" s="11" t="n">
        <v>151799.15</v>
      </c>
      <c r="G58" s="12" t="n">
        <v>2.3331</v>
      </c>
      <c r="H58" s="12" t="n">
        <v>2.3897</v>
      </c>
      <c r="I58" s="5" t="s">
        <v>78</v>
      </c>
      <c r="J58" s="8" t="n">
        <v>0.32543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325.43</v>
      </c>
      <c r="N58" s="9" t="n">
        <v>49400.58</v>
      </c>
      <c r="O58" s="9" t="n">
        <v>420057.03</v>
      </c>
    </row>
    <row r="59" customFormat="false" ht="15" hidden="false" customHeight="false" outlineLevel="0" collapsed="false">
      <c r="A59" s="6" t="n">
        <v>54</v>
      </c>
      <c r="B59" s="5" t="s">
        <v>288</v>
      </c>
      <c r="C59" s="5" t="s">
        <v>750</v>
      </c>
      <c r="D59" s="5" t="s">
        <v>751</v>
      </c>
      <c r="E59" s="5" t="s">
        <v>77</v>
      </c>
      <c r="F59" s="11" t="n">
        <v>24598.8</v>
      </c>
      <c r="G59" s="12" t="n">
        <v>2.4696</v>
      </c>
      <c r="H59" s="12" t="n">
        <v>2.8871</v>
      </c>
      <c r="I59" s="5" t="s">
        <v>78</v>
      </c>
      <c r="J59" s="8" t="n">
        <v>0.29404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294.04</v>
      </c>
      <c r="N59" s="9" t="n">
        <v>7233.11</v>
      </c>
      <c r="O59" s="9" t="n">
        <v>427290.14</v>
      </c>
    </row>
    <row r="60" customFormat="false" ht="15" hidden="false" customHeight="false" outlineLevel="0" collapsed="false">
      <c r="A60" s="6" t="n">
        <v>55</v>
      </c>
      <c r="B60" s="5" t="s">
        <v>288</v>
      </c>
      <c r="C60" s="5" t="s">
        <v>751</v>
      </c>
      <c r="D60" s="5" t="s">
        <v>752</v>
      </c>
      <c r="E60" s="5" t="s">
        <v>77</v>
      </c>
      <c r="F60" s="11" t="n">
        <v>90179.24</v>
      </c>
      <c r="G60" s="12" t="n">
        <v>2.5923</v>
      </c>
      <c r="H60" s="12" t="n">
        <v>2.6508</v>
      </c>
      <c r="J60" s="8" t="n">
        <v>0.05841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58.41</v>
      </c>
      <c r="N60" s="9" t="n">
        <v>5267.34</v>
      </c>
      <c r="O60" s="9" t="n">
        <v>432557.48</v>
      </c>
    </row>
    <row r="61" customFormat="false" ht="15" hidden="false" customHeight="false" outlineLevel="0" collapsed="false">
      <c r="A61" s="6" t="n">
        <v>56</v>
      </c>
      <c r="B61" s="5" t="s">
        <v>288</v>
      </c>
      <c r="C61" s="5" t="s">
        <v>753</v>
      </c>
      <c r="D61" s="5" t="s">
        <v>506</v>
      </c>
      <c r="E61" s="5" t="s">
        <v>81</v>
      </c>
      <c r="F61" s="11" t="n">
        <v>20269.03</v>
      </c>
      <c r="G61" s="12" t="n">
        <v>2.2675</v>
      </c>
      <c r="H61" s="12" t="n">
        <v>2.9619</v>
      </c>
      <c r="I61" s="5" t="s">
        <v>78</v>
      </c>
      <c r="J61" s="8" t="n">
        <v>-0.12561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1</v>
      </c>
      <c r="M61" s="14" t="n">
        <v>-125.61</v>
      </c>
      <c r="N61" s="9" t="n">
        <v>-2546.04</v>
      </c>
      <c r="O61" s="9" t="n">
        <v>430011.44</v>
      </c>
    </row>
    <row r="62" customFormat="false" ht="15" hidden="false" customHeight="false" outlineLevel="0" collapsed="false">
      <c r="A62" s="6" t="n">
        <v>57</v>
      </c>
      <c r="B62" s="5" t="s">
        <v>288</v>
      </c>
      <c r="C62" s="5" t="s">
        <v>506</v>
      </c>
      <c r="D62" s="5" t="s">
        <v>507</v>
      </c>
      <c r="E62" s="5" t="s">
        <v>81</v>
      </c>
      <c r="F62" s="11" t="n">
        <v>76593.96</v>
      </c>
      <c r="G62" s="12" t="n">
        <v>2.8371</v>
      </c>
      <c r="H62" s="12" t="n">
        <v>3.3215</v>
      </c>
      <c r="J62" s="8" t="n">
        <v>-0.48461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2</v>
      </c>
      <c r="M62" s="14" t="n">
        <v>-484.61</v>
      </c>
      <c r="N62" s="9" t="n">
        <v>-37118.55</v>
      </c>
      <c r="O62" s="9" t="n">
        <v>392892.89</v>
      </c>
    </row>
    <row r="63" customFormat="false" ht="15" hidden="false" customHeight="false" outlineLevel="0" collapsed="false">
      <c r="A63" s="6" t="n">
        <v>58</v>
      </c>
      <c r="B63" s="5" t="s">
        <v>288</v>
      </c>
      <c r="C63" s="5" t="s">
        <v>635</v>
      </c>
      <c r="D63" s="5" t="s">
        <v>378</v>
      </c>
      <c r="E63" s="5" t="s">
        <v>77</v>
      </c>
      <c r="F63" s="11" t="n">
        <v>14534.4</v>
      </c>
      <c r="G63" s="12" t="n">
        <v>3.3776</v>
      </c>
      <c r="H63" s="12" t="n">
        <v>3.6566</v>
      </c>
      <c r="I63" s="5" t="s">
        <v>78</v>
      </c>
      <c r="J63" s="8" t="n">
        <v>0.57354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573.54</v>
      </c>
      <c r="N63" s="9" t="n">
        <v>8336.12</v>
      </c>
      <c r="O63" s="9" t="n">
        <v>401229.01</v>
      </c>
    </row>
    <row r="64" customFormat="false" ht="15" hidden="false" customHeight="false" outlineLevel="0" collapsed="false">
      <c r="A64" s="6" t="n">
        <v>59</v>
      </c>
      <c r="B64" s="5" t="s">
        <v>288</v>
      </c>
      <c r="C64" s="5" t="s">
        <v>378</v>
      </c>
      <c r="D64" s="5" t="s">
        <v>515</v>
      </c>
      <c r="E64" s="5" t="s">
        <v>77</v>
      </c>
      <c r="F64" s="11" t="n">
        <v>10722.28</v>
      </c>
      <c r="G64" s="12" t="n">
        <v>3.0821</v>
      </c>
      <c r="H64" s="12" t="n">
        <v>3.598</v>
      </c>
      <c r="J64" s="8" t="n">
        <v>0.51568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515.68</v>
      </c>
      <c r="N64" s="9" t="n">
        <v>5529.25</v>
      </c>
      <c r="O64" s="9" t="n">
        <v>406758.27</v>
      </c>
    </row>
    <row r="65" customFormat="false" ht="15" hidden="false" customHeight="false" outlineLevel="0" collapsed="false">
      <c r="A65" s="6" t="n">
        <v>60</v>
      </c>
      <c r="B65" s="5" t="s">
        <v>288</v>
      </c>
      <c r="C65" s="5" t="s">
        <v>515</v>
      </c>
      <c r="D65" s="5" t="s">
        <v>381</v>
      </c>
      <c r="E65" s="5" t="s">
        <v>77</v>
      </c>
      <c r="F65" s="11" t="n">
        <v>40928.43</v>
      </c>
      <c r="G65" s="12" t="n">
        <v>3.0821</v>
      </c>
      <c r="H65" s="12" t="n">
        <v>3.672</v>
      </c>
      <c r="J65" s="8" t="n">
        <v>0.58971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589.71</v>
      </c>
      <c r="N65" s="9" t="n">
        <v>24135.85</v>
      </c>
      <c r="O65" s="9" t="n">
        <v>430894.11</v>
      </c>
    </row>
    <row r="66" customFormat="false" ht="15" hidden="false" customHeight="false" outlineLevel="0" collapsed="false">
      <c r="A66" s="6" t="n">
        <v>61</v>
      </c>
      <c r="B66" s="5" t="s">
        <v>288</v>
      </c>
      <c r="C66" s="5" t="s">
        <v>754</v>
      </c>
      <c r="D66" s="5" t="s">
        <v>755</v>
      </c>
      <c r="E66" s="5" t="s">
        <v>81</v>
      </c>
      <c r="F66" s="11" t="n">
        <v>61452.81</v>
      </c>
      <c r="G66" s="12" t="n">
        <v>3.1118</v>
      </c>
      <c r="H66" s="12" t="n">
        <v>3.5241</v>
      </c>
      <c r="J66" s="8" t="n">
        <v>-0.41262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1</v>
      </c>
      <c r="M66" s="14" t="n">
        <v>-412.62</v>
      </c>
      <c r="N66" s="9" t="n">
        <v>-25356.55</v>
      </c>
      <c r="O66" s="9" t="n">
        <v>405537.56</v>
      </c>
    </row>
    <row r="67" customFormat="false" ht="15" hidden="false" customHeight="false" outlineLevel="0" collapsed="false">
      <c r="A67" s="6" t="n">
        <v>62</v>
      </c>
      <c r="B67" s="5" t="s">
        <v>288</v>
      </c>
      <c r="C67" s="5" t="s">
        <v>756</v>
      </c>
      <c r="D67" s="5" t="s">
        <v>757</v>
      </c>
      <c r="E67" s="5" t="s">
        <v>77</v>
      </c>
      <c r="F67" s="11" t="n">
        <v>65023.19</v>
      </c>
      <c r="G67" s="12" t="n">
        <v>4.0314</v>
      </c>
      <c r="H67" s="12" t="n">
        <v>3.8741</v>
      </c>
      <c r="I67" s="5" t="s">
        <v>78</v>
      </c>
      <c r="J67" s="8" t="n">
        <v>0.0316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31.6</v>
      </c>
      <c r="N67" s="9" t="n">
        <v>2054.81</v>
      </c>
      <c r="O67" s="9" t="n">
        <v>407592.36</v>
      </c>
    </row>
    <row r="68" customFormat="false" ht="15" hidden="false" customHeight="false" outlineLevel="0" collapsed="false">
      <c r="A68" s="6" t="n">
        <v>63</v>
      </c>
      <c r="B68" s="5" t="s">
        <v>288</v>
      </c>
      <c r="C68" s="5" t="s">
        <v>699</v>
      </c>
      <c r="D68" s="5" t="s">
        <v>758</v>
      </c>
      <c r="E68" s="5" t="s">
        <v>81</v>
      </c>
      <c r="F68" s="11" t="n">
        <v>75571.1</v>
      </c>
      <c r="G68" s="12" t="n">
        <v>3.6157</v>
      </c>
      <c r="H68" s="12" t="n">
        <v>3.7331</v>
      </c>
      <c r="I68" s="5" t="s">
        <v>78</v>
      </c>
      <c r="J68" s="8" t="n">
        <v>0.58141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581.41</v>
      </c>
      <c r="N68" s="9" t="n">
        <v>43938.1</v>
      </c>
      <c r="O68" s="9" t="n">
        <v>451530.46</v>
      </c>
    </row>
    <row r="69" customFormat="false" ht="15" hidden="false" customHeight="false" outlineLevel="0" collapsed="false">
      <c r="A69" s="6" t="n">
        <v>64</v>
      </c>
      <c r="B69" s="5" t="s">
        <v>288</v>
      </c>
      <c r="C69" s="5" t="s">
        <v>759</v>
      </c>
      <c r="D69" s="5" t="s">
        <v>760</v>
      </c>
      <c r="E69" s="5" t="s">
        <v>77</v>
      </c>
      <c r="F69" s="11" t="n">
        <v>68165.37</v>
      </c>
      <c r="G69" s="12" t="n">
        <v>3.8819</v>
      </c>
      <c r="H69" s="12" t="n">
        <v>3.3982</v>
      </c>
      <c r="J69" s="8" t="n">
        <v>-0.4841</v>
      </c>
      <c r="K69" s="13" t="str">
        <f aca="false">IF(J69&gt;0,"прибыль",IF(J69&lt;0,"убыток","ноль"))</f>
        <v>убыток</v>
      </c>
      <c r="L69" s="13" t="n">
        <f aca="false">IF(C69="",L68,IF(J69&lt;0,L68+1,0))</f>
        <v>1</v>
      </c>
      <c r="M69" s="14" t="n">
        <v>-484.1</v>
      </c>
      <c r="N69" s="9" t="n">
        <v>-32998.66</v>
      </c>
      <c r="O69" s="9" t="n">
        <v>418531.8</v>
      </c>
    </row>
    <row r="70" customFormat="false" ht="15" hidden="false" customHeight="false" outlineLevel="0" collapsed="false">
      <c r="A70" s="6" t="n">
        <v>65</v>
      </c>
      <c r="B70" s="5" t="s">
        <v>288</v>
      </c>
      <c r="C70" s="5" t="s">
        <v>761</v>
      </c>
      <c r="D70" s="5" t="s">
        <v>762</v>
      </c>
      <c r="E70" s="5" t="s">
        <v>81</v>
      </c>
      <c r="F70" s="11" t="n">
        <v>169256.58</v>
      </c>
      <c r="G70" s="12" t="n">
        <v>3.0188</v>
      </c>
      <c r="H70" s="12" t="n">
        <v>3.0848</v>
      </c>
      <c r="I70" s="5" t="s">
        <v>78</v>
      </c>
      <c r="J70" s="8" t="n">
        <v>0.3556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355.6</v>
      </c>
      <c r="N70" s="9" t="n">
        <v>60187.89</v>
      </c>
      <c r="O70" s="9" t="n">
        <v>478719.68</v>
      </c>
    </row>
    <row r="71" customFormat="false" ht="15" hidden="false" customHeight="false" outlineLevel="0" collapsed="false">
      <c r="A71" s="6" t="n">
        <v>66</v>
      </c>
      <c r="B71" s="5" t="s">
        <v>288</v>
      </c>
      <c r="C71" s="5" t="s">
        <v>396</v>
      </c>
      <c r="D71" s="5" t="s">
        <v>398</v>
      </c>
      <c r="E71" s="5" t="s">
        <v>81</v>
      </c>
      <c r="F71" s="11" t="n">
        <v>141548.88</v>
      </c>
      <c r="G71" s="12" t="n">
        <v>2.7952</v>
      </c>
      <c r="H71" s="12" t="n">
        <v>3.4499</v>
      </c>
      <c r="I71" s="5" t="s">
        <v>78</v>
      </c>
      <c r="J71" s="8" t="n">
        <v>-0.37106</v>
      </c>
      <c r="K71" s="13" t="str">
        <f aca="false">IF(J71&gt;0,"прибыль",IF(J71&lt;0,"убыток","ноль"))</f>
        <v>убыток</v>
      </c>
      <c r="L71" s="13" t="n">
        <f aca="false">IF(C71="",L70,IF(J71&lt;0,L70+1,0))</f>
        <v>1</v>
      </c>
      <c r="M71" s="14" t="n">
        <v>-371.06</v>
      </c>
      <c r="N71" s="9" t="n">
        <v>-52522.79</v>
      </c>
      <c r="O71" s="9" t="n">
        <v>426196.89</v>
      </c>
    </row>
    <row r="72" customFormat="false" ht="15" hidden="false" customHeight="false" outlineLevel="0" collapsed="false">
      <c r="A72" s="6" t="n">
        <v>67</v>
      </c>
      <c r="B72" s="5" t="s">
        <v>288</v>
      </c>
      <c r="C72" s="5" t="s">
        <v>763</v>
      </c>
      <c r="D72" s="5" t="s">
        <v>530</v>
      </c>
      <c r="E72" s="5" t="s">
        <v>81</v>
      </c>
      <c r="F72" s="11" t="n">
        <v>133912.8</v>
      </c>
      <c r="G72" s="12" t="n">
        <v>3.0037</v>
      </c>
      <c r="H72" s="12" t="n">
        <v>3.3948</v>
      </c>
      <c r="J72" s="8" t="n">
        <v>-0.39141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2</v>
      </c>
      <c r="M72" s="14" t="n">
        <v>-391.41</v>
      </c>
      <c r="N72" s="9" t="n">
        <v>-52414.98</v>
      </c>
      <c r="O72" s="9" t="n">
        <v>373781.91</v>
      </c>
    </row>
    <row r="73" customFormat="false" ht="15" hidden="false" customHeight="false" outlineLevel="0" collapsed="false">
      <c r="A73" s="6" t="n">
        <v>68</v>
      </c>
      <c r="B73" s="5" t="s">
        <v>288</v>
      </c>
      <c r="C73" s="5" t="s">
        <v>764</v>
      </c>
      <c r="D73" s="5" t="s">
        <v>533</v>
      </c>
      <c r="E73" s="5" t="s">
        <v>77</v>
      </c>
      <c r="F73" s="11" t="n">
        <v>26534.69</v>
      </c>
      <c r="G73" s="12" t="n">
        <v>4.2267</v>
      </c>
      <c r="H73" s="12" t="n">
        <v>4.8374</v>
      </c>
      <c r="I73" s="5" t="s">
        <v>78</v>
      </c>
      <c r="J73" s="8" t="n">
        <v>0.65627</v>
      </c>
      <c r="K73" s="13" t="str">
        <f aca="false">IF(J73&gt;0,"прибыль",IF(J73&lt;0,"убыток","ноль"))</f>
        <v>прибыль</v>
      </c>
      <c r="L73" s="13" t="n">
        <f aca="false">IF(C73="",L72,IF(J73&lt;0,L72+1,0))</f>
        <v>0</v>
      </c>
      <c r="M73" s="14" t="n">
        <v>656.27</v>
      </c>
      <c r="N73" s="9" t="n">
        <v>17413.98</v>
      </c>
      <c r="O73" s="9" t="n">
        <v>391195.89</v>
      </c>
    </row>
    <row r="74" customFormat="false" ht="15" hidden="false" customHeight="false" outlineLevel="0" collapsed="false">
      <c r="A74" s="6" t="n">
        <v>69</v>
      </c>
      <c r="B74" s="5" t="s">
        <v>288</v>
      </c>
      <c r="C74" s="5" t="s">
        <v>533</v>
      </c>
      <c r="D74" s="5" t="s">
        <v>765</v>
      </c>
      <c r="E74" s="5" t="s">
        <v>77</v>
      </c>
      <c r="F74" s="11" t="n">
        <v>64344.33</v>
      </c>
      <c r="G74" s="12" t="n">
        <v>4.1802</v>
      </c>
      <c r="H74" s="12" t="n">
        <v>4.2338</v>
      </c>
      <c r="J74" s="8" t="n">
        <v>0.05342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53.42</v>
      </c>
      <c r="N74" s="9" t="n">
        <v>3437.13</v>
      </c>
      <c r="O74" s="9" t="n">
        <v>394633.01</v>
      </c>
    </row>
    <row r="75" customFormat="false" ht="15" hidden="false" customHeight="false" outlineLevel="0" collapsed="false">
      <c r="A75" s="6" t="n">
        <v>70</v>
      </c>
      <c r="B75" s="5" t="s">
        <v>288</v>
      </c>
      <c r="C75" s="5" t="s">
        <v>766</v>
      </c>
      <c r="D75" s="5" t="s">
        <v>536</v>
      </c>
      <c r="E75" s="5" t="s">
        <v>81</v>
      </c>
      <c r="F75" s="11" t="n">
        <v>59462.63</v>
      </c>
      <c r="G75" s="12" t="n">
        <v>4.1111</v>
      </c>
      <c r="H75" s="12" t="n">
        <v>4.4215</v>
      </c>
      <c r="J75" s="8" t="n">
        <v>-0.31086</v>
      </c>
      <c r="K75" s="13" t="str">
        <f aca="false">IF(J75&gt;0,"прибыль",IF(J75&lt;0,"убыток","ноль"))</f>
        <v>убыток</v>
      </c>
      <c r="L75" s="13" t="n">
        <f aca="false">IF(C75="",L74,IF(J75&lt;0,L74+1,0))</f>
        <v>1</v>
      </c>
      <c r="M75" s="14" t="n">
        <v>-310.86</v>
      </c>
      <c r="N75" s="9" t="n">
        <v>-18484.4</v>
      </c>
      <c r="O75" s="9" t="n">
        <v>376148.61</v>
      </c>
    </row>
    <row r="76" customFormat="false" ht="15" hidden="false" customHeight="false" outlineLevel="0" collapsed="false">
      <c r="A76" s="6" t="n">
        <v>71</v>
      </c>
      <c r="B76" s="5" t="s">
        <v>288</v>
      </c>
      <c r="C76" s="5" t="s">
        <v>406</v>
      </c>
      <c r="D76" s="5" t="s">
        <v>539</v>
      </c>
      <c r="E76" s="5" t="s">
        <v>81</v>
      </c>
      <c r="F76" s="11" t="n">
        <v>18016.71</v>
      </c>
      <c r="G76" s="12" t="n">
        <v>3.2136</v>
      </c>
      <c r="H76" s="12" t="n">
        <v>3.6836</v>
      </c>
      <c r="J76" s="8" t="n">
        <v>-0.47071</v>
      </c>
      <c r="K76" s="13" t="str">
        <f aca="false">IF(J76&gt;0,"прибыль",IF(J76&lt;0,"убыток","ноль"))</f>
        <v>убыток</v>
      </c>
      <c r="L76" s="13" t="n">
        <f aca="false">IF(C76="",L75,IF(J76&lt;0,L75+1,0))</f>
        <v>2</v>
      </c>
      <c r="M76" s="14" t="n">
        <v>-470.71</v>
      </c>
      <c r="N76" s="9" t="n">
        <v>-8480.59</v>
      </c>
      <c r="O76" s="9" t="n">
        <v>367668.02</v>
      </c>
    </row>
    <row r="77" customFormat="false" ht="15" hidden="false" customHeight="false" outlineLevel="0" collapsed="false">
      <c r="A77" s="6" t="n">
        <v>72</v>
      </c>
      <c r="B77" s="5" t="s">
        <v>288</v>
      </c>
      <c r="C77" s="5" t="s">
        <v>539</v>
      </c>
      <c r="D77" s="5" t="s">
        <v>767</v>
      </c>
      <c r="E77" s="5" t="s">
        <v>81</v>
      </c>
      <c r="F77" s="11" t="n">
        <v>44891.85</v>
      </c>
      <c r="G77" s="12" t="n">
        <v>3.2136</v>
      </c>
      <c r="H77" s="12" t="n">
        <v>4.1887</v>
      </c>
      <c r="J77" s="8" t="n">
        <v>-0.97532</v>
      </c>
      <c r="K77" s="13" t="str">
        <f aca="false">IF(J77&gt;0,"прибыль",IF(J77&lt;0,"убыток","ноль"))</f>
        <v>убыток</v>
      </c>
      <c r="L77" s="13" t="n">
        <f aca="false">IF(C77="",L76,IF(J77&lt;0,L76+1,0))</f>
        <v>3</v>
      </c>
      <c r="M77" s="14" t="n">
        <v>-975.32</v>
      </c>
      <c r="N77" s="9" t="n">
        <v>-43783.92</v>
      </c>
      <c r="O77" s="9" t="n">
        <v>323884.1</v>
      </c>
    </row>
    <row r="78" customFormat="false" ht="15" hidden="false" customHeight="false" outlineLevel="0" collapsed="false">
      <c r="A78" s="6" t="n">
        <v>73</v>
      </c>
      <c r="B78" s="5" t="s">
        <v>288</v>
      </c>
      <c r="C78" s="5" t="s">
        <v>540</v>
      </c>
      <c r="D78" s="5" t="s">
        <v>541</v>
      </c>
      <c r="E78" s="5" t="s">
        <v>77</v>
      </c>
      <c r="F78" s="11" t="n">
        <v>7837.08</v>
      </c>
      <c r="G78" s="12" t="n">
        <v>5.3642</v>
      </c>
      <c r="H78" s="12" t="n">
        <v>6.5138</v>
      </c>
      <c r="J78" s="8" t="n">
        <v>1.14852</v>
      </c>
      <c r="K78" s="13" t="str">
        <f aca="false">IF(J78&gt;0,"прибыль",IF(J78&lt;0,"убыток","ноль"))</f>
        <v>прибыль</v>
      </c>
      <c r="L78" s="13" t="n">
        <f aca="false">IF(C78="",L77,IF(J78&lt;0,L77+1,0))</f>
        <v>0</v>
      </c>
      <c r="M78" s="14" t="n">
        <v>1148.52</v>
      </c>
      <c r="N78" s="9" t="n">
        <v>9001.07</v>
      </c>
      <c r="O78" s="9" t="n">
        <v>332885.17</v>
      </c>
    </row>
    <row r="79" customFormat="false" ht="15" hidden="false" customHeight="false" outlineLevel="0" collapsed="false">
      <c r="A79" s="6" t="n">
        <v>74</v>
      </c>
      <c r="B79" s="5" t="s">
        <v>288</v>
      </c>
      <c r="C79" s="5" t="s">
        <v>541</v>
      </c>
      <c r="D79" s="5" t="s">
        <v>768</v>
      </c>
      <c r="E79" s="5" t="s">
        <v>77</v>
      </c>
      <c r="F79" s="11" t="n">
        <v>26963.96</v>
      </c>
      <c r="G79" s="12" t="n">
        <v>5.3642</v>
      </c>
      <c r="H79" s="12" t="n">
        <v>3.0943</v>
      </c>
      <c r="I79" s="5" t="s">
        <v>78</v>
      </c>
      <c r="J79" s="8" t="n">
        <v>0.102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102</v>
      </c>
      <c r="N79" s="9" t="n">
        <v>2750.25</v>
      </c>
      <c r="O79" s="9" t="n">
        <v>335635.42</v>
      </c>
    </row>
    <row r="80" customFormat="false" ht="15" hidden="false" customHeight="false" outlineLevel="0" collapsed="false">
      <c r="A80" s="6" t="n">
        <v>75</v>
      </c>
      <c r="B80" s="5" t="s">
        <v>288</v>
      </c>
      <c r="C80" s="5" t="s">
        <v>769</v>
      </c>
      <c r="D80" s="5" t="s">
        <v>770</v>
      </c>
      <c r="E80" s="5" t="s">
        <v>81</v>
      </c>
      <c r="F80" s="11" t="n">
        <v>130503.38</v>
      </c>
      <c r="G80" s="12" t="n">
        <v>2.9105</v>
      </c>
      <c r="H80" s="12" t="n">
        <v>2.9447</v>
      </c>
      <c r="I80" s="5" t="s">
        <v>78</v>
      </c>
      <c r="J80" s="8" t="n">
        <v>-0.08732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1</v>
      </c>
      <c r="M80" s="14" t="n">
        <v>-87.32</v>
      </c>
      <c r="N80" s="9" t="n">
        <v>-11396.09</v>
      </c>
      <c r="O80" s="9" t="n">
        <v>324239.33</v>
      </c>
    </row>
    <row r="81" customFormat="false" ht="15" hidden="false" customHeight="false" outlineLevel="0" collapsed="false">
      <c r="A81" s="6" t="n">
        <v>76</v>
      </c>
      <c r="B81" s="5" t="s">
        <v>288</v>
      </c>
      <c r="C81" s="5" t="s">
        <v>771</v>
      </c>
      <c r="D81" s="5" t="s">
        <v>772</v>
      </c>
      <c r="E81" s="5" t="s">
        <v>81</v>
      </c>
      <c r="F81" s="11" t="n">
        <v>189780.9</v>
      </c>
      <c r="G81" s="12" t="n">
        <v>2.8159</v>
      </c>
      <c r="H81" s="12" t="n">
        <v>2.8605</v>
      </c>
      <c r="I81" s="5" t="s">
        <v>78</v>
      </c>
      <c r="J81" s="8" t="n">
        <v>0.13851</v>
      </c>
      <c r="K81" s="13" t="str">
        <f aca="false">IF(J81&gt;0,"прибыль",IF(J81&lt;0,"убыток","ноль"))</f>
        <v>прибыль</v>
      </c>
      <c r="L81" s="13" t="n">
        <f aca="false">IF(C81="",L80,IF(J81&lt;0,L80+1,0))</f>
        <v>0</v>
      </c>
      <c r="M81" s="14" t="n">
        <v>138.51</v>
      </c>
      <c r="N81" s="9" t="n">
        <v>26285.9</v>
      </c>
      <c r="O81" s="9" t="n">
        <v>350525.24</v>
      </c>
    </row>
    <row r="82" customFormat="false" ht="15" hidden="false" customHeight="false" outlineLevel="0" collapsed="false">
      <c r="A82" s="6" t="n">
        <v>77</v>
      </c>
      <c r="B82" s="5" t="s">
        <v>288</v>
      </c>
      <c r="C82" s="5" t="s">
        <v>773</v>
      </c>
      <c r="D82" s="5" t="s">
        <v>421</v>
      </c>
      <c r="E82" s="5" t="s">
        <v>77</v>
      </c>
      <c r="F82" s="11" t="n">
        <v>149307.03</v>
      </c>
      <c r="G82" s="12" t="n">
        <v>2.9829</v>
      </c>
      <c r="H82" s="12" t="n">
        <v>3.0156</v>
      </c>
      <c r="I82" s="5" t="s">
        <v>78</v>
      </c>
      <c r="J82" s="8" t="n">
        <v>-0.14384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1</v>
      </c>
      <c r="M82" s="14" t="n">
        <v>-143.84</v>
      </c>
      <c r="N82" s="9" t="n">
        <v>-21475.61</v>
      </c>
      <c r="O82" s="9" t="n">
        <v>329049.63</v>
      </c>
    </row>
    <row r="83" customFormat="false" ht="15" hidden="false" customHeight="false" outlineLevel="0" collapsed="false">
      <c r="A83" s="6" t="n">
        <v>78</v>
      </c>
      <c r="B83" s="5" t="s">
        <v>288</v>
      </c>
      <c r="C83" s="5" t="s">
        <v>421</v>
      </c>
      <c r="D83" s="5" t="s">
        <v>546</v>
      </c>
      <c r="E83" s="5" t="s">
        <v>81</v>
      </c>
      <c r="F83" s="11" t="n">
        <v>231241.29</v>
      </c>
      <c r="G83" s="12" t="n">
        <v>2.9035</v>
      </c>
      <c r="H83" s="12" t="n">
        <v>3.0273</v>
      </c>
      <c r="I83" s="5" t="s">
        <v>78</v>
      </c>
      <c r="J83" s="8" t="n">
        <v>0.06137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61.37</v>
      </c>
      <c r="N83" s="9" t="n">
        <v>14191.6</v>
      </c>
      <c r="O83" s="9" t="n">
        <v>343241.23</v>
      </c>
    </row>
    <row r="84" customFormat="false" ht="15" hidden="false" customHeight="false" outlineLevel="0" collapsed="false">
      <c r="A84" s="6" t="n">
        <v>79</v>
      </c>
      <c r="B84" s="5" t="s">
        <v>288</v>
      </c>
      <c r="C84" s="5" t="s">
        <v>774</v>
      </c>
      <c r="D84" s="5" t="s">
        <v>547</v>
      </c>
      <c r="E84" s="5" t="s">
        <v>77</v>
      </c>
      <c r="F84" s="11" t="n">
        <v>27362.77</v>
      </c>
      <c r="G84" s="12" t="n">
        <v>3.0574</v>
      </c>
      <c r="H84" s="12" t="n">
        <v>3.1778</v>
      </c>
      <c r="J84" s="8" t="n">
        <v>0.11953</v>
      </c>
      <c r="K84" s="13" t="str">
        <f aca="false">IF(J84&gt;0,"прибыль",IF(J84&lt;0,"убыток","ноль"))</f>
        <v>прибыль</v>
      </c>
      <c r="L84" s="13" t="n">
        <f aca="false">IF(C84="",L83,IF(J84&lt;0,L83+1,0))</f>
        <v>0</v>
      </c>
      <c r="M84" s="14" t="n">
        <v>119.53</v>
      </c>
      <c r="N84" s="9" t="n">
        <v>3270.64</v>
      </c>
      <c r="O84" s="9" t="n">
        <v>346511.87</v>
      </c>
    </row>
    <row r="85" customFormat="false" ht="15" hidden="false" customHeight="false" outlineLevel="0" collapsed="false">
      <c r="A85" s="6" t="n">
        <v>80</v>
      </c>
      <c r="B85" s="5" t="s">
        <v>288</v>
      </c>
      <c r="D85" s="5" t="s">
        <v>428</v>
      </c>
      <c r="E85" s="5" t="s">
        <v>77</v>
      </c>
      <c r="F85" s="11" t="n">
        <v>107897.23</v>
      </c>
      <c r="H85" s="12" t="n">
        <v>3.043</v>
      </c>
      <c r="J85" s="8" t="n">
        <v>0.03346</v>
      </c>
      <c r="K85" s="13" t="str">
        <f aca="false">IF(J85&gt;0,"прибыль",IF(J85&lt;0,"убыток","ноль"))</f>
        <v>прибыль</v>
      </c>
      <c r="L85" s="13" t="n">
        <f aca="false">IF(C85="",L84,IF(J85&lt;0,L84+1,0))</f>
        <v>0</v>
      </c>
      <c r="M85" s="14" t="n">
        <v>33.46</v>
      </c>
      <c r="N85" s="9" t="n">
        <v>3610.75</v>
      </c>
      <c r="O85" s="9" t="n">
        <v>350122.62</v>
      </c>
      <c r="P85" s="5" t="s">
        <v>429</v>
      </c>
    </row>
  </sheetData>
  <autoFilter ref="A5:P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775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776</v>
      </c>
      <c r="D6" s="5" t="s">
        <v>433</v>
      </c>
      <c r="E6" s="5" t="s">
        <v>77</v>
      </c>
      <c r="F6" s="11" t="n">
        <v>31157.66</v>
      </c>
      <c r="G6" s="12" t="n">
        <v>1.9065</v>
      </c>
      <c r="H6" s="12" t="n">
        <v>2.0946</v>
      </c>
      <c r="J6" s="8" t="n">
        <v>0.18775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187.75</v>
      </c>
      <c r="N6" s="9" t="n">
        <v>5849.78</v>
      </c>
      <c r="O6" s="9" t="n">
        <v>5849.78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433</v>
      </c>
      <c r="D7" s="5" t="s">
        <v>435</v>
      </c>
      <c r="E7" s="5" t="s">
        <v>77</v>
      </c>
      <c r="F7" s="11" t="n">
        <v>60522.4</v>
      </c>
      <c r="G7" s="12" t="n">
        <v>2.0446</v>
      </c>
      <c r="H7" s="12" t="n">
        <v>2.3924</v>
      </c>
      <c r="I7" s="5" t="s">
        <v>78</v>
      </c>
      <c r="J7" s="8" t="n">
        <v>0.14149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141.49</v>
      </c>
      <c r="N7" s="9" t="n">
        <v>8563.46</v>
      </c>
      <c r="O7" s="9" t="n">
        <v>14413.24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435</v>
      </c>
      <c r="D8" s="5" t="s">
        <v>436</v>
      </c>
      <c r="E8" s="5" t="s">
        <v>81</v>
      </c>
      <c r="F8" s="11" t="n">
        <v>59377.94</v>
      </c>
      <c r="G8" s="12" t="n">
        <v>2.3924</v>
      </c>
      <c r="H8" s="12" t="n">
        <v>2.3165</v>
      </c>
      <c r="J8" s="8" t="n">
        <v>0.0757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75.7</v>
      </c>
      <c r="N8" s="9" t="n">
        <v>4495.05</v>
      </c>
      <c r="O8" s="9" t="n">
        <v>18908.29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436</v>
      </c>
      <c r="D9" s="5" t="s">
        <v>437</v>
      </c>
      <c r="E9" s="5" t="s">
        <v>77</v>
      </c>
      <c r="F9" s="11" t="n">
        <v>60398.99</v>
      </c>
      <c r="G9" s="12" t="n">
        <v>2.3165</v>
      </c>
      <c r="H9" s="12" t="n">
        <v>2.316</v>
      </c>
      <c r="J9" s="8" t="n">
        <v>-0.00075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1</v>
      </c>
      <c r="M9" s="14" t="n">
        <v>-0.75</v>
      </c>
      <c r="N9" s="9" t="n">
        <v>-45.29</v>
      </c>
      <c r="O9" s="9" t="n">
        <v>18863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437</v>
      </c>
      <c r="D10" s="5" t="s">
        <v>777</v>
      </c>
      <c r="E10" s="5" t="s">
        <v>81</v>
      </c>
      <c r="F10" s="11" t="n">
        <v>70546.45</v>
      </c>
      <c r="G10" s="12" t="n">
        <v>2.316</v>
      </c>
      <c r="H10" s="12" t="n">
        <v>2.312</v>
      </c>
      <c r="J10" s="8" t="n">
        <v>0.00373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3.73</v>
      </c>
      <c r="N10" s="9" t="n">
        <v>263.15</v>
      </c>
      <c r="O10" s="9" t="n">
        <v>19126.15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777</v>
      </c>
      <c r="D11" s="5" t="s">
        <v>281</v>
      </c>
      <c r="E11" s="5" t="s">
        <v>77</v>
      </c>
      <c r="F11" s="11" t="n">
        <v>68549.22</v>
      </c>
      <c r="G11" s="12" t="n">
        <v>2.312</v>
      </c>
      <c r="H11" s="12" t="n">
        <v>2.3818</v>
      </c>
      <c r="J11" s="8" t="n">
        <v>0.06956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69.56</v>
      </c>
      <c r="N11" s="9" t="n">
        <v>4768.09</v>
      </c>
      <c r="O11" s="9" t="n">
        <v>23894.24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281</v>
      </c>
      <c r="D12" s="5" t="s">
        <v>438</v>
      </c>
      <c r="E12" s="5" t="s">
        <v>81</v>
      </c>
      <c r="F12" s="11" t="n">
        <v>32120.18</v>
      </c>
      <c r="G12" s="12" t="n">
        <v>2.3818</v>
      </c>
      <c r="H12" s="12" t="n">
        <v>2.2064</v>
      </c>
      <c r="J12" s="8" t="n">
        <v>0.17532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175.32</v>
      </c>
      <c r="N12" s="9" t="n">
        <v>5631.41</v>
      </c>
      <c r="O12" s="9" t="n">
        <v>29525.65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438</v>
      </c>
      <c r="D13" s="5" t="s">
        <v>440</v>
      </c>
      <c r="E13" s="5" t="s">
        <v>81</v>
      </c>
      <c r="F13" s="11" t="n">
        <v>34094.18</v>
      </c>
      <c r="G13" s="12" t="n">
        <v>2.3818</v>
      </c>
      <c r="H13" s="12" t="n">
        <v>2.1452</v>
      </c>
      <c r="J13" s="8" t="n">
        <v>0.23642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236.42</v>
      </c>
      <c r="N13" s="9" t="n">
        <v>8060.49</v>
      </c>
      <c r="O13" s="9" t="n">
        <v>37586.14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440</v>
      </c>
      <c r="D14" s="5" t="s">
        <v>624</v>
      </c>
      <c r="E14" s="5" t="s">
        <v>77</v>
      </c>
      <c r="F14" s="11" t="n">
        <v>27074.9</v>
      </c>
      <c r="G14" s="12" t="n">
        <v>2.1452</v>
      </c>
      <c r="H14" s="12" t="n">
        <v>2.7587</v>
      </c>
      <c r="I14" s="5" t="s">
        <v>78</v>
      </c>
      <c r="J14" s="8" t="n">
        <v>-0.01889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1</v>
      </c>
      <c r="M14" s="14" t="n">
        <v>-18.89</v>
      </c>
      <c r="N14" s="9" t="n">
        <v>-511.56</v>
      </c>
      <c r="O14" s="9" t="n">
        <v>37074.58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624</v>
      </c>
      <c r="D15" s="5" t="s">
        <v>446</v>
      </c>
      <c r="E15" s="5" t="s">
        <v>81</v>
      </c>
      <c r="F15" s="11" t="n">
        <v>12168.74</v>
      </c>
      <c r="G15" s="12" t="n">
        <v>2.7072</v>
      </c>
      <c r="H15" s="12" t="n">
        <v>2.9746</v>
      </c>
      <c r="I15" s="5" t="s">
        <v>78</v>
      </c>
      <c r="J15" s="8" t="n">
        <v>0.38633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386.33</v>
      </c>
      <c r="N15" s="9" t="n">
        <v>4701.12</v>
      </c>
      <c r="O15" s="9" t="n">
        <v>41775.7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446</v>
      </c>
      <c r="D16" s="5" t="s">
        <v>625</v>
      </c>
      <c r="E16" s="5" t="s">
        <v>81</v>
      </c>
      <c r="F16" s="11" t="n">
        <v>26132.76</v>
      </c>
      <c r="G16" s="12" t="n">
        <v>2.967</v>
      </c>
      <c r="H16" s="12" t="n">
        <v>3.0068</v>
      </c>
      <c r="I16" s="5" t="s">
        <v>78</v>
      </c>
      <c r="J16" s="8" t="n">
        <v>0.05664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56.64</v>
      </c>
      <c r="N16" s="9" t="n">
        <v>1480.14</v>
      </c>
      <c r="O16" s="9" t="n">
        <v>43255.84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625</v>
      </c>
      <c r="D17" s="5" t="s">
        <v>778</v>
      </c>
      <c r="E17" s="5" t="s">
        <v>81</v>
      </c>
      <c r="F17" s="11" t="n">
        <v>15022.47</v>
      </c>
      <c r="G17" s="12" t="n">
        <v>3.0639</v>
      </c>
      <c r="H17" s="12" t="n">
        <v>3.5749</v>
      </c>
      <c r="I17" s="5" t="s">
        <v>78</v>
      </c>
      <c r="J17" s="8" t="n">
        <v>-0.32808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1</v>
      </c>
      <c r="M17" s="14" t="n">
        <v>-328.08</v>
      </c>
      <c r="N17" s="9" t="n">
        <v>-4928.54</v>
      </c>
      <c r="O17" s="9" t="n">
        <v>38327.29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778</v>
      </c>
      <c r="D18" s="5" t="s">
        <v>298</v>
      </c>
      <c r="E18" s="5" t="s">
        <v>81</v>
      </c>
      <c r="F18" s="11" t="n">
        <v>59939.53</v>
      </c>
      <c r="G18" s="12" t="n">
        <v>3.247</v>
      </c>
      <c r="H18" s="12" t="n">
        <v>3.7568</v>
      </c>
      <c r="J18" s="8" t="n">
        <v>-0.51017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2</v>
      </c>
      <c r="M18" s="14" t="n">
        <v>-510.17</v>
      </c>
      <c r="N18" s="9" t="n">
        <v>-30579.26</v>
      </c>
      <c r="O18" s="9" t="n">
        <v>7748.03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298</v>
      </c>
      <c r="D19" s="5" t="s">
        <v>299</v>
      </c>
      <c r="E19" s="5" t="s">
        <v>77</v>
      </c>
      <c r="F19" s="11" t="n">
        <v>62628.29</v>
      </c>
      <c r="G19" s="12" t="n">
        <v>3.7568</v>
      </c>
      <c r="H19" s="12" t="n">
        <v>3.9017</v>
      </c>
      <c r="J19" s="8" t="n">
        <v>0.14458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144.58</v>
      </c>
      <c r="N19" s="9" t="n">
        <v>9054.64</v>
      </c>
      <c r="O19" s="9" t="n">
        <v>16802.67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299</v>
      </c>
      <c r="D20" s="5" t="s">
        <v>779</v>
      </c>
      <c r="E20" s="5" t="s">
        <v>81</v>
      </c>
      <c r="F20" s="11" t="n">
        <v>55748.17</v>
      </c>
      <c r="G20" s="12" t="n">
        <v>3.9017</v>
      </c>
      <c r="H20" s="12" t="n">
        <v>4.0403</v>
      </c>
      <c r="J20" s="8" t="n">
        <v>-0.13895</v>
      </c>
      <c r="K20" s="13" t="str">
        <f aca="false">IF(J20&gt;0,"прибыль",IF(J20&lt;0,"убыток","ноль"))</f>
        <v>убыток</v>
      </c>
      <c r="L20" s="13" t="n">
        <f aca="false">IF(C20="",L19,IF(J20&lt;0,L19+1,0))</f>
        <v>1</v>
      </c>
      <c r="M20" s="14" t="n">
        <v>-138.95</v>
      </c>
      <c r="N20" s="9" t="n">
        <v>-7746.25</v>
      </c>
      <c r="O20" s="9" t="n">
        <v>9056.42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779</v>
      </c>
      <c r="D21" s="5" t="s">
        <v>780</v>
      </c>
      <c r="E21" s="5" t="s">
        <v>77</v>
      </c>
      <c r="F21" s="11" t="n">
        <v>56321.01</v>
      </c>
      <c r="G21" s="12" t="n">
        <v>4.0403</v>
      </c>
      <c r="H21" s="12" t="n">
        <v>4.0857</v>
      </c>
      <c r="J21" s="8" t="n">
        <v>0.04499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44.99</v>
      </c>
      <c r="N21" s="9" t="n">
        <v>2533.77</v>
      </c>
      <c r="O21" s="9" t="n">
        <v>11590.2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780</v>
      </c>
      <c r="D22" s="5" t="s">
        <v>781</v>
      </c>
      <c r="E22" s="5" t="s">
        <v>81</v>
      </c>
      <c r="F22" s="11" t="n">
        <v>0</v>
      </c>
      <c r="G22" s="12" t="n">
        <v>4.0857</v>
      </c>
      <c r="H22" s="12" t="n">
        <v>3.9774</v>
      </c>
      <c r="J22" s="8" t="n">
        <v>0.10802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108.02</v>
      </c>
      <c r="N22" s="9" t="n">
        <v>0</v>
      </c>
      <c r="O22" s="9" t="n">
        <v>11590.2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781</v>
      </c>
      <c r="D23" s="5" t="s">
        <v>782</v>
      </c>
      <c r="E23" s="5" t="s">
        <v>81</v>
      </c>
      <c r="F23" s="11" t="n">
        <v>56183.04</v>
      </c>
      <c r="G23" s="12" t="n">
        <v>4.0857</v>
      </c>
      <c r="H23" s="12" t="n">
        <v>4.0454</v>
      </c>
      <c r="I23" s="5" t="s">
        <v>78</v>
      </c>
      <c r="J23" s="8" t="n">
        <v>0.00591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5.91</v>
      </c>
      <c r="N23" s="9" t="n">
        <v>331.88</v>
      </c>
      <c r="O23" s="9" t="n">
        <v>11922.07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782</v>
      </c>
      <c r="D24" s="5" t="s">
        <v>783</v>
      </c>
      <c r="E24" s="5" t="s">
        <v>77</v>
      </c>
      <c r="F24" s="11" t="n">
        <v>54413.44</v>
      </c>
      <c r="G24" s="12" t="n">
        <v>4.0454</v>
      </c>
      <c r="H24" s="12" t="n">
        <v>3.9324</v>
      </c>
      <c r="J24" s="8" t="n">
        <v>-0.11339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-113.39</v>
      </c>
      <c r="N24" s="9" t="n">
        <v>-6169.86</v>
      </c>
      <c r="O24" s="9" t="n">
        <v>5752.21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783</v>
      </c>
      <c r="D25" s="5" t="s">
        <v>784</v>
      </c>
      <c r="E25" s="5" t="s">
        <v>81</v>
      </c>
      <c r="F25" s="11" t="n">
        <v>0</v>
      </c>
      <c r="G25" s="12" t="n">
        <v>3.9324</v>
      </c>
      <c r="H25" s="12" t="n">
        <v>3.9766</v>
      </c>
      <c r="J25" s="8" t="n">
        <v>-0.04437</v>
      </c>
      <c r="K25" s="13" t="str">
        <f aca="false">IF(J25&gt;0,"прибыль",IF(J25&lt;0,"убыток","ноль"))</f>
        <v>убыток</v>
      </c>
      <c r="L25" s="13" t="n">
        <f aca="false">IF(C25="",L24,IF(J25&lt;0,L24+1,0))</f>
        <v>2</v>
      </c>
      <c r="M25" s="14" t="n">
        <v>-44.37</v>
      </c>
      <c r="N25" s="9" t="n">
        <v>0</v>
      </c>
      <c r="O25" s="9" t="n">
        <v>5752.21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784</v>
      </c>
      <c r="D26" s="5" t="s">
        <v>785</v>
      </c>
      <c r="E26" s="5" t="s">
        <v>81</v>
      </c>
      <c r="F26" s="11" t="n">
        <v>52200.93</v>
      </c>
      <c r="G26" s="12" t="n">
        <v>3.9324</v>
      </c>
      <c r="H26" s="12" t="n">
        <v>4.0656</v>
      </c>
      <c r="J26" s="8" t="n">
        <v>-0.13359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3</v>
      </c>
      <c r="M26" s="14" t="n">
        <v>-133.59</v>
      </c>
      <c r="N26" s="9" t="n">
        <v>-6973.63</v>
      </c>
      <c r="O26" s="9" t="n">
        <v>-1221.42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785</v>
      </c>
      <c r="D27" s="5" t="s">
        <v>786</v>
      </c>
      <c r="E27" s="5" t="s">
        <v>77</v>
      </c>
      <c r="F27" s="11" t="n">
        <v>0</v>
      </c>
      <c r="G27" s="12" t="n">
        <v>4.0656</v>
      </c>
      <c r="H27" s="12" t="n">
        <v>4.1614</v>
      </c>
      <c r="J27" s="8" t="n">
        <v>0.09564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95.64</v>
      </c>
      <c r="N27" s="9" t="n">
        <v>0</v>
      </c>
      <c r="O27" s="9" t="n">
        <v>-1221.42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786</v>
      </c>
      <c r="D28" s="5" t="s">
        <v>301</v>
      </c>
      <c r="E28" s="5" t="s">
        <v>77</v>
      </c>
      <c r="F28" s="11" t="n">
        <v>52496.07</v>
      </c>
      <c r="G28" s="12" t="n">
        <v>4.0656</v>
      </c>
      <c r="H28" s="12" t="n">
        <v>4.0456</v>
      </c>
      <c r="J28" s="8" t="n">
        <v>-0.02039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1</v>
      </c>
      <c r="M28" s="14" t="n">
        <v>-20.39</v>
      </c>
      <c r="N28" s="9" t="n">
        <v>-1070.6</v>
      </c>
      <c r="O28" s="9" t="n">
        <v>-2292.02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301</v>
      </c>
      <c r="D29" s="5" t="s">
        <v>787</v>
      </c>
      <c r="E29" s="5" t="s">
        <v>81</v>
      </c>
      <c r="F29" s="11" t="n">
        <v>54903.58</v>
      </c>
      <c r="G29" s="12" t="n">
        <v>4.0456</v>
      </c>
      <c r="H29" s="12" t="n">
        <v>3.9165</v>
      </c>
      <c r="J29" s="8" t="n">
        <v>0.12873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128.73</v>
      </c>
      <c r="N29" s="9" t="n">
        <v>7067.97</v>
      </c>
      <c r="O29" s="9" t="n">
        <v>4775.95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787</v>
      </c>
      <c r="D30" s="5" t="s">
        <v>305</v>
      </c>
      <c r="E30" s="5" t="s">
        <v>77</v>
      </c>
      <c r="F30" s="11" t="n">
        <v>11701.29</v>
      </c>
      <c r="G30" s="12" t="n">
        <v>3.9165</v>
      </c>
      <c r="H30" s="12" t="n">
        <v>4.6207</v>
      </c>
      <c r="I30" s="5" t="s">
        <v>78</v>
      </c>
      <c r="J30" s="8" t="n">
        <v>0.49713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497.13</v>
      </c>
      <c r="N30" s="9" t="n">
        <v>5817.08</v>
      </c>
      <c r="O30" s="9" t="n">
        <v>10593.03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305</v>
      </c>
      <c r="D31" s="5" t="s">
        <v>722</v>
      </c>
      <c r="E31" s="5" t="s">
        <v>77</v>
      </c>
      <c r="F31" s="11" t="n">
        <v>8363.5</v>
      </c>
      <c r="G31" s="12" t="n">
        <v>4.1233</v>
      </c>
      <c r="H31" s="12" t="n">
        <v>5.0459</v>
      </c>
      <c r="J31" s="8" t="n">
        <v>0.92235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922.35</v>
      </c>
      <c r="N31" s="9" t="n">
        <v>7714.12</v>
      </c>
      <c r="O31" s="9" t="n">
        <v>18307.14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722</v>
      </c>
      <c r="D32" s="5" t="s">
        <v>453</v>
      </c>
      <c r="E32" s="5" t="s">
        <v>77</v>
      </c>
      <c r="F32" s="11" t="n">
        <v>8356.56</v>
      </c>
      <c r="G32" s="12" t="n">
        <v>4.1233</v>
      </c>
      <c r="H32" s="12" t="n">
        <v>5.6948</v>
      </c>
      <c r="J32" s="8" t="n">
        <v>1.57122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1571.22</v>
      </c>
      <c r="N32" s="9" t="n">
        <v>13129.96</v>
      </c>
      <c r="O32" s="9" t="n">
        <v>31437.11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453</v>
      </c>
      <c r="D33" s="5" t="s">
        <v>454</v>
      </c>
      <c r="E33" s="5" t="s">
        <v>77</v>
      </c>
      <c r="F33" s="11" t="n">
        <v>4769.23</v>
      </c>
      <c r="G33" s="12" t="n">
        <v>4.1233</v>
      </c>
      <c r="H33" s="12" t="n">
        <v>5.8046</v>
      </c>
      <c r="I33" s="5" t="s">
        <v>78</v>
      </c>
      <c r="J33" s="8" t="n">
        <v>1.60435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1604.35</v>
      </c>
      <c r="N33" s="9" t="n">
        <v>7651.51</v>
      </c>
      <c r="O33" s="9" t="n">
        <v>39088.62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454</v>
      </c>
      <c r="D34" s="5" t="s">
        <v>455</v>
      </c>
      <c r="E34" s="5" t="s">
        <v>77</v>
      </c>
      <c r="F34" s="11" t="n">
        <v>3407.98</v>
      </c>
      <c r="G34" s="12" t="n">
        <v>4.1999</v>
      </c>
      <c r="H34" s="12" t="n">
        <v>5.9809</v>
      </c>
      <c r="J34" s="8" t="n">
        <v>1.78072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1780.72</v>
      </c>
      <c r="N34" s="9" t="n">
        <v>6068.67</v>
      </c>
      <c r="O34" s="9" t="n">
        <v>45157.29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455</v>
      </c>
      <c r="D35" s="5" t="s">
        <v>788</v>
      </c>
      <c r="E35" s="5" t="s">
        <v>77</v>
      </c>
      <c r="F35" s="11" t="n">
        <v>21614.27</v>
      </c>
      <c r="G35" s="12" t="n">
        <v>4.3634</v>
      </c>
      <c r="H35" s="12" t="n">
        <v>3.6817</v>
      </c>
      <c r="I35" s="5" t="s">
        <v>78</v>
      </c>
      <c r="J35" s="8" t="n">
        <v>-1.17066</v>
      </c>
      <c r="K35" s="13" t="str">
        <f aca="false">IF(J35&gt;0,"прибыль",IF(J35&lt;0,"убыток","ноль"))</f>
        <v>убыток</v>
      </c>
      <c r="L35" s="13" t="n">
        <f aca="false">IF(C35="",L34,IF(J35&lt;0,L34+1,0))</f>
        <v>1</v>
      </c>
      <c r="M35" s="14" t="n">
        <v>-1170.66</v>
      </c>
      <c r="N35" s="9" t="n">
        <v>-25302.89</v>
      </c>
      <c r="O35" s="9" t="n">
        <v>19854.4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788</v>
      </c>
      <c r="D36" s="5" t="s">
        <v>457</v>
      </c>
      <c r="E36" s="5" t="s">
        <v>81</v>
      </c>
      <c r="F36" s="11" t="n">
        <v>13195.86</v>
      </c>
      <c r="G36" s="12" t="n">
        <v>3.6788</v>
      </c>
      <c r="H36" s="12" t="n">
        <v>4.8299</v>
      </c>
      <c r="I36" s="5" t="s">
        <v>78</v>
      </c>
      <c r="J36" s="8" t="n">
        <v>-1.33568</v>
      </c>
      <c r="K36" s="13" t="str">
        <f aca="false">IF(J36&gt;0,"прибыль",IF(J36&lt;0,"убыток","ноль"))</f>
        <v>убыток</v>
      </c>
      <c r="L36" s="13" t="n">
        <f aca="false">IF(C36="",L35,IF(J36&lt;0,L35+1,0))</f>
        <v>2</v>
      </c>
      <c r="M36" s="14" t="n">
        <v>-1335.68</v>
      </c>
      <c r="N36" s="9" t="n">
        <v>-17625.43</v>
      </c>
      <c r="O36" s="9" t="n">
        <v>2228.96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457</v>
      </c>
      <c r="D37" s="5" t="s">
        <v>458</v>
      </c>
      <c r="E37" s="5" t="s">
        <v>81</v>
      </c>
      <c r="F37" s="11" t="n">
        <v>4564.58</v>
      </c>
      <c r="G37" s="12" t="n">
        <v>3.4946</v>
      </c>
      <c r="H37" s="12" t="n">
        <v>5.4498</v>
      </c>
      <c r="I37" s="5" t="s">
        <v>78</v>
      </c>
      <c r="J37" s="8" t="n">
        <v>-1.88935</v>
      </c>
      <c r="K37" s="13" t="str">
        <f aca="false">IF(J37&gt;0,"прибыль",IF(J37&lt;0,"убыток","ноль"))</f>
        <v>убыток</v>
      </c>
      <c r="L37" s="13" t="n">
        <f aca="false">IF(C37="",L36,IF(J37&lt;0,L36+1,0))</f>
        <v>3</v>
      </c>
      <c r="M37" s="14" t="n">
        <v>-1889.35</v>
      </c>
      <c r="N37" s="9" t="n">
        <v>-8624.08</v>
      </c>
      <c r="O37" s="9" t="n">
        <v>-6395.11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458</v>
      </c>
      <c r="D38" s="5" t="s">
        <v>460</v>
      </c>
      <c r="E38" s="5" t="s">
        <v>81</v>
      </c>
      <c r="F38" s="11" t="n">
        <v>11038.57</v>
      </c>
      <c r="G38" s="12" t="n">
        <v>4.6181</v>
      </c>
      <c r="H38" s="12" t="n">
        <v>7.2105</v>
      </c>
      <c r="I38" s="5" t="s">
        <v>78</v>
      </c>
      <c r="J38" s="8" t="n">
        <v>-2.8046</v>
      </c>
      <c r="K38" s="13" t="str">
        <f aca="false">IF(J38&gt;0,"прибыль",IF(J38&lt;0,"убыток","ноль"))</f>
        <v>убыток</v>
      </c>
      <c r="L38" s="13" t="n">
        <f aca="false">IF(C38="",L37,IF(J38&lt;0,L37+1,0))</f>
        <v>4</v>
      </c>
      <c r="M38" s="14" t="n">
        <v>-2804.6</v>
      </c>
      <c r="N38" s="9" t="n">
        <v>-30958.73</v>
      </c>
      <c r="O38" s="9" t="n">
        <v>-37353.84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460</v>
      </c>
      <c r="D39" s="5" t="s">
        <v>461</v>
      </c>
      <c r="E39" s="5" t="s">
        <v>81</v>
      </c>
      <c r="F39" s="11" t="n">
        <v>7242.31</v>
      </c>
      <c r="G39" s="12" t="n">
        <v>4.4068</v>
      </c>
      <c r="H39" s="12" t="n">
        <v>6.8624</v>
      </c>
      <c r="J39" s="8" t="n">
        <v>-2.45593</v>
      </c>
      <c r="K39" s="13" t="str">
        <f aca="false">IF(J39&gt;0,"прибыль",IF(J39&lt;0,"убыток","ноль"))</f>
        <v>убыток</v>
      </c>
      <c r="L39" s="13" t="n">
        <f aca="false">IF(C39="",L38,IF(J39&lt;0,L38+1,0))</f>
        <v>5</v>
      </c>
      <c r="M39" s="14" t="n">
        <v>-2455.93</v>
      </c>
      <c r="N39" s="9" t="n">
        <v>-17786.59</v>
      </c>
      <c r="O39" s="9" t="n">
        <v>-55140.43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461</v>
      </c>
      <c r="D40" s="5" t="s">
        <v>462</v>
      </c>
      <c r="E40" s="5" t="s">
        <v>81</v>
      </c>
      <c r="F40" s="11" t="n">
        <v>5097.33</v>
      </c>
      <c r="G40" s="12" t="n">
        <v>4.4068</v>
      </c>
      <c r="H40" s="12" t="n">
        <v>7.6687</v>
      </c>
      <c r="I40" s="5" t="s">
        <v>78</v>
      </c>
      <c r="J40" s="8" t="n">
        <v>-3.10141</v>
      </c>
      <c r="K40" s="13" t="str">
        <f aca="false">IF(J40&gt;0,"прибыль",IF(J40&lt;0,"убыток","ноль"))</f>
        <v>убыток</v>
      </c>
      <c r="L40" s="13" t="n">
        <f aca="false">IF(C40="",L39,IF(J40&lt;0,L39+1,0))</f>
        <v>6</v>
      </c>
      <c r="M40" s="14" t="n">
        <v>-3101.41</v>
      </c>
      <c r="N40" s="9" t="n">
        <v>-15808.92</v>
      </c>
      <c r="O40" s="9" t="n">
        <v>-70949.35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462</v>
      </c>
      <c r="D41" s="5" t="s">
        <v>789</v>
      </c>
      <c r="E41" s="5" t="s">
        <v>81</v>
      </c>
      <c r="F41" s="11" t="n">
        <v>14165</v>
      </c>
      <c r="G41" s="12" t="n">
        <v>4.5676</v>
      </c>
      <c r="H41" s="12" t="n">
        <v>7.8802</v>
      </c>
      <c r="J41" s="8" t="n">
        <v>-3.31334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7</v>
      </c>
      <c r="M41" s="14" t="n">
        <v>-3313.34</v>
      </c>
      <c r="N41" s="9" t="n">
        <v>-46933.43</v>
      </c>
      <c r="O41" s="9" t="n">
        <v>-117882.78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789</v>
      </c>
      <c r="D42" s="5" t="s">
        <v>317</v>
      </c>
      <c r="E42" s="5" t="s">
        <v>77</v>
      </c>
      <c r="F42" s="11" t="n">
        <v>13697.33</v>
      </c>
      <c r="G42" s="12" t="n">
        <v>7.8802</v>
      </c>
      <c r="H42" s="12" t="n">
        <v>7.5298</v>
      </c>
      <c r="J42" s="8" t="n">
        <v>-0.35118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8</v>
      </c>
      <c r="M42" s="14" t="n">
        <v>-351.18</v>
      </c>
      <c r="N42" s="9" t="n">
        <v>-4810.25</v>
      </c>
      <c r="O42" s="9" t="n">
        <v>-122693.03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317</v>
      </c>
      <c r="D43" s="5" t="s">
        <v>790</v>
      </c>
      <c r="E43" s="5" t="s">
        <v>81</v>
      </c>
      <c r="F43" s="11" t="n">
        <v>13462.94</v>
      </c>
      <c r="G43" s="12" t="n">
        <v>7.5298</v>
      </c>
      <c r="H43" s="12" t="n">
        <v>7.6493</v>
      </c>
      <c r="J43" s="8" t="n">
        <v>-0.12034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9</v>
      </c>
      <c r="M43" s="14" t="n">
        <v>-120.34</v>
      </c>
      <c r="N43" s="9" t="n">
        <v>-1620.19</v>
      </c>
      <c r="O43" s="9" t="n">
        <v>-124313.22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790</v>
      </c>
      <c r="D44" s="5" t="s">
        <v>791</v>
      </c>
      <c r="E44" s="5" t="s">
        <v>77</v>
      </c>
      <c r="F44" s="11" t="n">
        <v>13588.33</v>
      </c>
      <c r="G44" s="12" t="n">
        <v>7.6493</v>
      </c>
      <c r="H44" s="12" t="n">
        <v>7.5509</v>
      </c>
      <c r="J44" s="8" t="n">
        <v>-0.09918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10</v>
      </c>
      <c r="M44" s="14" t="n">
        <v>-99.18</v>
      </c>
      <c r="N44" s="9" t="n">
        <v>-1347.66</v>
      </c>
      <c r="O44" s="9" t="n">
        <v>-125660.88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791</v>
      </c>
      <c r="D45" s="5" t="s">
        <v>792</v>
      </c>
      <c r="E45" s="5" t="s">
        <v>81</v>
      </c>
      <c r="F45" s="11" t="n">
        <v>13772.56</v>
      </c>
      <c r="G45" s="12" t="n">
        <v>7.5509</v>
      </c>
      <c r="H45" s="12" t="n">
        <v>8.0803</v>
      </c>
      <c r="J45" s="8" t="n">
        <v>-0.53013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11</v>
      </c>
      <c r="M45" s="14" t="n">
        <v>-530.13</v>
      </c>
      <c r="N45" s="9" t="n">
        <v>-7301.19</v>
      </c>
      <c r="O45" s="9" t="n">
        <v>-132962.06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792</v>
      </c>
      <c r="D46" s="5" t="s">
        <v>793</v>
      </c>
      <c r="E46" s="5" t="s">
        <v>77</v>
      </c>
      <c r="F46" s="11" t="n">
        <v>12833.45</v>
      </c>
      <c r="G46" s="12" t="n">
        <v>8.0803</v>
      </c>
      <c r="H46" s="12" t="n">
        <v>8.1596</v>
      </c>
      <c r="J46" s="8" t="n">
        <v>0.07854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78.54</v>
      </c>
      <c r="N46" s="9" t="n">
        <v>1007.9</v>
      </c>
      <c r="O46" s="9" t="n">
        <v>-131954.16</v>
      </c>
    </row>
    <row r="47" customFormat="false" ht="15" hidden="false" customHeight="false" outlineLevel="0" collapsed="false">
      <c r="A47" s="6" t="n">
        <v>42</v>
      </c>
      <c r="B47" s="5" t="s">
        <v>74</v>
      </c>
      <c r="C47" s="5" t="s">
        <v>793</v>
      </c>
      <c r="D47" s="5" t="s">
        <v>794</v>
      </c>
      <c r="E47" s="5" t="s">
        <v>81</v>
      </c>
      <c r="F47" s="11" t="n">
        <v>12652.02</v>
      </c>
      <c r="G47" s="12" t="n">
        <v>8.1596</v>
      </c>
      <c r="H47" s="12" t="n">
        <v>8.0858</v>
      </c>
      <c r="J47" s="8" t="n">
        <v>0.07299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72.99</v>
      </c>
      <c r="N47" s="9" t="n">
        <v>923.41</v>
      </c>
      <c r="O47" s="9" t="n">
        <v>-131030.75</v>
      </c>
    </row>
    <row r="48" customFormat="false" ht="15" hidden="false" customHeight="false" outlineLevel="0" collapsed="false">
      <c r="A48" s="6" t="n">
        <v>43</v>
      </c>
      <c r="B48" s="5" t="s">
        <v>74</v>
      </c>
      <c r="C48" s="5" t="s">
        <v>794</v>
      </c>
      <c r="D48" s="5" t="s">
        <v>795</v>
      </c>
      <c r="E48" s="5" t="s">
        <v>77</v>
      </c>
      <c r="F48" s="11" t="n">
        <v>14269.22</v>
      </c>
      <c r="G48" s="12" t="n">
        <v>8.0858</v>
      </c>
      <c r="H48" s="12" t="n">
        <v>8.8246</v>
      </c>
      <c r="I48" s="5" t="s">
        <v>78</v>
      </c>
      <c r="J48" s="8" t="n">
        <v>0.85151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851.51</v>
      </c>
      <c r="N48" s="9" t="n">
        <v>12150.42</v>
      </c>
      <c r="O48" s="9" t="n">
        <v>-118880.33</v>
      </c>
    </row>
    <row r="49" customFormat="false" ht="15" hidden="false" customHeight="false" outlineLevel="0" collapsed="false">
      <c r="A49" s="6" t="n">
        <v>44</v>
      </c>
      <c r="B49" s="5" t="s">
        <v>74</v>
      </c>
      <c r="C49" s="5" t="s">
        <v>795</v>
      </c>
      <c r="D49" s="5" t="s">
        <v>319</v>
      </c>
      <c r="E49" s="5" t="s">
        <v>81</v>
      </c>
      <c r="F49" s="11" t="n">
        <v>12894.92</v>
      </c>
      <c r="G49" s="12" t="n">
        <v>8.8246</v>
      </c>
      <c r="H49" s="12" t="n">
        <v>8.6973</v>
      </c>
      <c r="J49" s="8" t="n">
        <v>0.12642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126.42</v>
      </c>
      <c r="N49" s="9" t="n">
        <v>1630.13</v>
      </c>
      <c r="O49" s="9" t="n">
        <v>-117250.2</v>
      </c>
    </row>
    <row r="50" customFormat="false" ht="15" hidden="false" customHeight="false" outlineLevel="0" collapsed="false">
      <c r="A50" s="6" t="n">
        <v>45</v>
      </c>
      <c r="B50" s="5" t="s">
        <v>74</v>
      </c>
      <c r="C50" s="5" t="s">
        <v>319</v>
      </c>
      <c r="D50" s="5" t="s">
        <v>463</v>
      </c>
      <c r="E50" s="5" t="s">
        <v>77</v>
      </c>
      <c r="F50" s="11" t="n">
        <v>4061.51</v>
      </c>
      <c r="G50" s="12" t="n">
        <v>8.7117</v>
      </c>
      <c r="H50" s="12" t="n">
        <v>7.4956</v>
      </c>
      <c r="J50" s="8" t="n">
        <v>-1.2172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1</v>
      </c>
      <c r="M50" s="14" t="n">
        <v>-1217.2</v>
      </c>
      <c r="N50" s="9" t="n">
        <v>-4943.65</v>
      </c>
      <c r="O50" s="9" t="n">
        <v>-122193.85</v>
      </c>
    </row>
    <row r="51" customFormat="false" ht="15" hidden="false" customHeight="false" outlineLevel="0" collapsed="false">
      <c r="A51" s="6" t="n">
        <v>46</v>
      </c>
      <c r="B51" s="5" t="s">
        <v>74</v>
      </c>
      <c r="C51" s="5" t="s">
        <v>463</v>
      </c>
      <c r="D51" s="5" t="s">
        <v>796</v>
      </c>
      <c r="E51" s="5" t="s">
        <v>77</v>
      </c>
      <c r="F51" s="11" t="n">
        <v>18668.32</v>
      </c>
      <c r="G51" s="12" t="n">
        <v>8.2261</v>
      </c>
      <c r="H51" s="12" t="n">
        <v>6.3465</v>
      </c>
      <c r="J51" s="8" t="n">
        <v>-1.88031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2</v>
      </c>
      <c r="M51" s="14" t="n">
        <v>-1880.31</v>
      </c>
      <c r="N51" s="9" t="n">
        <v>-35102.15</v>
      </c>
      <c r="O51" s="9" t="n">
        <v>-157296.01</v>
      </c>
    </row>
    <row r="52" customFormat="false" ht="15" hidden="false" customHeight="false" outlineLevel="0" collapsed="false">
      <c r="A52" s="6" t="n">
        <v>47</v>
      </c>
      <c r="B52" s="5" t="s">
        <v>74</v>
      </c>
      <c r="C52" s="5" t="s">
        <v>796</v>
      </c>
      <c r="D52" s="5" t="s">
        <v>797</v>
      </c>
      <c r="E52" s="5" t="s">
        <v>81</v>
      </c>
      <c r="F52" s="11" t="n">
        <v>17574.43</v>
      </c>
      <c r="G52" s="12" t="n">
        <v>6.3465</v>
      </c>
      <c r="H52" s="12" t="n">
        <v>6.5892</v>
      </c>
      <c r="I52" s="5" t="s">
        <v>78</v>
      </c>
      <c r="J52" s="8" t="n">
        <v>0.09847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98.47</v>
      </c>
      <c r="N52" s="9" t="n">
        <v>1730.61</v>
      </c>
      <c r="O52" s="9" t="n">
        <v>-155565.39</v>
      </c>
    </row>
    <row r="53" customFormat="false" ht="15" hidden="false" customHeight="false" outlineLevel="0" collapsed="false">
      <c r="A53" s="6" t="n">
        <v>48</v>
      </c>
      <c r="B53" s="5" t="s">
        <v>74</v>
      </c>
      <c r="C53" s="5" t="s">
        <v>797</v>
      </c>
      <c r="D53" s="5" t="s">
        <v>798</v>
      </c>
      <c r="E53" s="5" t="s">
        <v>77</v>
      </c>
      <c r="F53" s="11" t="n">
        <v>3876.67</v>
      </c>
      <c r="G53" s="12" t="n">
        <v>6.5892</v>
      </c>
      <c r="H53" s="12" t="n">
        <v>8.704</v>
      </c>
      <c r="J53" s="8" t="n">
        <v>2.11437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2114.37</v>
      </c>
      <c r="N53" s="9" t="n">
        <v>8196.71</v>
      </c>
      <c r="O53" s="9" t="n">
        <v>-147368.69</v>
      </c>
    </row>
    <row r="54" customFormat="false" ht="15" hidden="false" customHeight="false" outlineLevel="0" collapsed="false">
      <c r="A54" s="6" t="n">
        <v>49</v>
      </c>
      <c r="B54" s="5" t="s">
        <v>74</v>
      </c>
      <c r="C54" s="5" t="s">
        <v>798</v>
      </c>
      <c r="D54" s="5" t="s">
        <v>799</v>
      </c>
      <c r="E54" s="5" t="s">
        <v>77</v>
      </c>
      <c r="F54" s="11" t="n">
        <v>16270.84</v>
      </c>
      <c r="G54" s="12" t="n">
        <v>7.3717</v>
      </c>
      <c r="H54" s="12" t="n">
        <v>6.6795</v>
      </c>
      <c r="I54" s="5" t="s">
        <v>78</v>
      </c>
      <c r="J54" s="8" t="n">
        <v>-0.84066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1</v>
      </c>
      <c r="M54" s="14" t="n">
        <v>-840.66</v>
      </c>
      <c r="N54" s="9" t="n">
        <v>-13678.18</v>
      </c>
      <c r="O54" s="9" t="n">
        <v>-161046.87</v>
      </c>
    </row>
    <row r="55" customFormat="false" ht="15" hidden="false" customHeight="false" outlineLevel="0" collapsed="false">
      <c r="A55" s="6" t="n">
        <v>50</v>
      </c>
      <c r="B55" s="5" t="s">
        <v>74</v>
      </c>
      <c r="C55" s="5" t="s">
        <v>799</v>
      </c>
      <c r="D55" s="5" t="s">
        <v>466</v>
      </c>
      <c r="E55" s="5" t="s">
        <v>81</v>
      </c>
      <c r="F55" s="11" t="n">
        <v>10190.19</v>
      </c>
      <c r="G55" s="12" t="n">
        <v>6.4103</v>
      </c>
      <c r="H55" s="12" t="n">
        <v>5.7217</v>
      </c>
      <c r="J55" s="8" t="n">
        <v>0.68788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687.88</v>
      </c>
      <c r="N55" s="9" t="n">
        <v>7009.64</v>
      </c>
      <c r="O55" s="9" t="n">
        <v>-154037.23</v>
      </c>
    </row>
    <row r="56" customFormat="false" ht="15" hidden="false" customHeight="false" outlineLevel="0" collapsed="false">
      <c r="A56" s="6" t="n">
        <v>51</v>
      </c>
      <c r="B56" s="5" t="s">
        <v>74</v>
      </c>
      <c r="C56" s="5" t="s">
        <v>466</v>
      </c>
      <c r="D56" s="5" t="s">
        <v>335</v>
      </c>
      <c r="E56" s="5" t="s">
        <v>81</v>
      </c>
      <c r="F56" s="11" t="n">
        <v>6600.91</v>
      </c>
      <c r="G56" s="12" t="n">
        <v>6.4103</v>
      </c>
      <c r="H56" s="12" t="n">
        <v>6.7698</v>
      </c>
      <c r="I56" s="5" t="s">
        <v>78</v>
      </c>
      <c r="J56" s="8" t="n">
        <v>0.07588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75.88</v>
      </c>
      <c r="N56" s="9" t="n">
        <v>500.86</v>
      </c>
      <c r="O56" s="9" t="n">
        <v>-153536.37</v>
      </c>
    </row>
    <row r="57" customFormat="false" ht="15" hidden="false" customHeight="false" outlineLevel="0" collapsed="false">
      <c r="A57" s="6" t="n">
        <v>52</v>
      </c>
      <c r="B57" s="5" t="s">
        <v>74</v>
      </c>
      <c r="C57" s="5" t="s">
        <v>335</v>
      </c>
      <c r="D57" s="5" t="s">
        <v>800</v>
      </c>
      <c r="E57" s="5" t="s">
        <v>81</v>
      </c>
      <c r="F57" s="11" t="n">
        <v>12316.14</v>
      </c>
      <c r="G57" s="12" t="n">
        <v>6.846</v>
      </c>
      <c r="H57" s="12" t="n">
        <v>7.0988</v>
      </c>
      <c r="I57" s="5" t="s">
        <v>78</v>
      </c>
      <c r="J57" s="8" t="n">
        <v>0.06226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62.26</v>
      </c>
      <c r="N57" s="9" t="n">
        <v>766.78</v>
      </c>
      <c r="O57" s="9" t="n">
        <v>-152769.58</v>
      </c>
    </row>
    <row r="58" customFormat="false" ht="15" hidden="false" customHeight="false" outlineLevel="0" collapsed="false">
      <c r="A58" s="6" t="n">
        <v>53</v>
      </c>
      <c r="B58" s="5" t="s">
        <v>74</v>
      </c>
      <c r="C58" s="5" t="s">
        <v>800</v>
      </c>
      <c r="D58" s="5" t="s">
        <v>801</v>
      </c>
      <c r="E58" s="5" t="s">
        <v>77</v>
      </c>
      <c r="F58" s="11" t="n">
        <v>15607.18</v>
      </c>
      <c r="G58" s="12" t="n">
        <v>7.0988</v>
      </c>
      <c r="H58" s="12" t="n">
        <v>6.9406</v>
      </c>
      <c r="J58" s="8" t="n">
        <v>-0.15887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1</v>
      </c>
      <c r="M58" s="14" t="n">
        <v>-158.87</v>
      </c>
      <c r="N58" s="9" t="n">
        <v>-2479.56</v>
      </c>
      <c r="O58" s="9" t="n">
        <v>-155249.14</v>
      </c>
    </row>
    <row r="59" customFormat="false" ht="15" hidden="false" customHeight="false" outlineLevel="0" collapsed="false">
      <c r="A59" s="6" t="n">
        <v>54</v>
      </c>
      <c r="B59" s="5" t="s">
        <v>74</v>
      </c>
      <c r="C59" s="5" t="s">
        <v>801</v>
      </c>
      <c r="D59" s="5" t="s">
        <v>802</v>
      </c>
      <c r="E59" s="5" t="s">
        <v>81</v>
      </c>
      <c r="F59" s="11" t="n">
        <v>20024.55</v>
      </c>
      <c r="G59" s="12" t="n">
        <v>6.7346</v>
      </c>
      <c r="H59" s="12" t="n">
        <v>6.1544</v>
      </c>
      <c r="J59" s="8" t="n">
        <v>0.57954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579.54</v>
      </c>
      <c r="N59" s="9" t="n">
        <v>11604.98</v>
      </c>
      <c r="O59" s="9" t="n">
        <v>-143644.16</v>
      </c>
    </row>
    <row r="60" customFormat="false" ht="15" hidden="false" customHeight="false" outlineLevel="0" collapsed="false">
      <c r="A60" s="6" t="n">
        <v>55</v>
      </c>
      <c r="B60" s="5" t="s">
        <v>74</v>
      </c>
      <c r="C60" s="5" t="s">
        <v>802</v>
      </c>
      <c r="D60" s="5" t="s">
        <v>468</v>
      </c>
      <c r="E60" s="5" t="s">
        <v>77</v>
      </c>
      <c r="F60" s="11" t="n">
        <v>4520.56</v>
      </c>
      <c r="G60" s="12" t="n">
        <v>6.1544</v>
      </c>
      <c r="H60" s="12" t="n">
        <v>6.8379</v>
      </c>
      <c r="J60" s="8" t="n">
        <v>0.68318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683.18</v>
      </c>
      <c r="N60" s="9" t="n">
        <v>3088.34</v>
      </c>
      <c r="O60" s="9" t="n">
        <v>-140555.82</v>
      </c>
    </row>
    <row r="61" customFormat="false" ht="15" hidden="false" customHeight="false" outlineLevel="0" collapsed="false">
      <c r="A61" s="6" t="n">
        <v>56</v>
      </c>
      <c r="B61" s="5" t="s">
        <v>74</v>
      </c>
      <c r="C61" s="5" t="s">
        <v>468</v>
      </c>
      <c r="D61" s="5" t="s">
        <v>803</v>
      </c>
      <c r="E61" s="5" t="s">
        <v>77</v>
      </c>
      <c r="F61" s="11" t="n">
        <v>15273.48</v>
      </c>
      <c r="G61" s="12" t="n">
        <v>6.1544</v>
      </c>
      <c r="H61" s="12" t="n">
        <v>5.1819</v>
      </c>
      <c r="J61" s="8" t="n">
        <v>-0.97312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1</v>
      </c>
      <c r="M61" s="14" t="n">
        <v>-973.12</v>
      </c>
      <c r="N61" s="9" t="n">
        <v>-14862.94</v>
      </c>
      <c r="O61" s="9" t="n">
        <v>-155418.76</v>
      </c>
    </row>
    <row r="62" customFormat="false" ht="15" hidden="false" customHeight="false" outlineLevel="0" collapsed="false">
      <c r="A62" s="6" t="n">
        <v>57</v>
      </c>
      <c r="B62" s="5" t="s">
        <v>74</v>
      </c>
      <c r="C62" s="5" t="s">
        <v>803</v>
      </c>
      <c r="D62" s="5" t="s">
        <v>804</v>
      </c>
      <c r="E62" s="5" t="s">
        <v>81</v>
      </c>
      <c r="F62" s="11" t="n">
        <v>8061.26</v>
      </c>
      <c r="G62" s="12" t="n">
        <v>4.5027</v>
      </c>
      <c r="H62" s="12" t="n">
        <v>3.5193</v>
      </c>
      <c r="I62" s="5" t="s">
        <v>78</v>
      </c>
      <c r="J62" s="8" t="n">
        <v>0.79952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799.52</v>
      </c>
      <c r="N62" s="9" t="n">
        <v>6445.14</v>
      </c>
      <c r="O62" s="9" t="n">
        <v>-148973.62</v>
      </c>
    </row>
    <row r="63" customFormat="false" ht="15" hidden="false" customHeight="false" outlineLevel="0" collapsed="false">
      <c r="A63" s="6" t="n">
        <v>58</v>
      </c>
      <c r="B63" s="5" t="s">
        <v>74</v>
      </c>
      <c r="C63" s="5" t="s">
        <v>804</v>
      </c>
      <c r="D63" s="5" t="s">
        <v>469</v>
      </c>
      <c r="E63" s="5" t="s">
        <v>81</v>
      </c>
      <c r="F63" s="11" t="n">
        <v>9716.21</v>
      </c>
      <c r="G63" s="12" t="n">
        <v>3.4218</v>
      </c>
      <c r="H63" s="12" t="n">
        <v>2.8047</v>
      </c>
      <c r="I63" s="5" t="s">
        <v>78</v>
      </c>
      <c r="J63" s="8" t="n">
        <v>1.35887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1358.87</v>
      </c>
      <c r="N63" s="9" t="n">
        <v>13203.11</v>
      </c>
      <c r="O63" s="9" t="n">
        <v>-135770.5</v>
      </c>
    </row>
    <row r="64" customFormat="false" ht="15" hidden="false" customHeight="false" outlineLevel="0" collapsed="false">
      <c r="A64" s="6" t="n">
        <v>59</v>
      </c>
      <c r="B64" s="5" t="s">
        <v>74</v>
      </c>
      <c r="C64" s="5" t="s">
        <v>469</v>
      </c>
      <c r="D64" s="5" t="s">
        <v>470</v>
      </c>
      <c r="E64" s="5" t="s">
        <v>81</v>
      </c>
      <c r="F64" s="11" t="n">
        <v>15694.8</v>
      </c>
      <c r="G64" s="12" t="n">
        <v>2.8836</v>
      </c>
      <c r="H64" s="12" t="n">
        <v>2.3317</v>
      </c>
      <c r="I64" s="5" t="s">
        <v>78</v>
      </c>
      <c r="J64" s="8" t="n">
        <v>0.91088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910.88</v>
      </c>
      <c r="N64" s="9" t="n">
        <v>14296.1</v>
      </c>
      <c r="O64" s="9" t="n">
        <v>-121474.41</v>
      </c>
    </row>
    <row r="65" customFormat="false" ht="15" hidden="false" customHeight="false" outlineLevel="0" collapsed="false">
      <c r="A65" s="6" t="n">
        <v>60</v>
      </c>
      <c r="B65" s="5" t="s">
        <v>74</v>
      </c>
      <c r="C65" s="5" t="s">
        <v>470</v>
      </c>
      <c r="D65" s="5" t="s">
        <v>472</v>
      </c>
      <c r="E65" s="5" t="s">
        <v>81</v>
      </c>
      <c r="F65" s="11" t="n">
        <v>22392.3</v>
      </c>
      <c r="G65" s="12" t="n">
        <v>2.9552</v>
      </c>
      <c r="H65" s="12" t="n">
        <v>2.9849</v>
      </c>
      <c r="I65" s="5" t="s">
        <v>78</v>
      </c>
      <c r="J65" s="8" t="n">
        <v>0.17867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178.67</v>
      </c>
      <c r="N65" s="9" t="n">
        <v>4000.93</v>
      </c>
      <c r="O65" s="9" t="n">
        <v>-117473.48</v>
      </c>
    </row>
    <row r="66" customFormat="false" ht="15" hidden="false" customHeight="false" outlineLevel="0" collapsed="false">
      <c r="A66" s="6" t="n">
        <v>61</v>
      </c>
      <c r="B66" s="5" t="s">
        <v>74</v>
      </c>
      <c r="C66" s="5" t="s">
        <v>472</v>
      </c>
      <c r="D66" s="5" t="s">
        <v>805</v>
      </c>
      <c r="E66" s="5" t="s">
        <v>81</v>
      </c>
      <c r="F66" s="11" t="n">
        <v>56838.84</v>
      </c>
      <c r="G66" s="12" t="n">
        <v>3.1639</v>
      </c>
      <c r="H66" s="12" t="n">
        <v>2.8541</v>
      </c>
      <c r="J66" s="8" t="n">
        <v>0.30957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309.57</v>
      </c>
      <c r="N66" s="9" t="n">
        <v>17595.84</v>
      </c>
      <c r="O66" s="9" t="n">
        <v>-99877.64</v>
      </c>
    </row>
    <row r="67" customFormat="false" ht="15" hidden="false" customHeight="false" outlineLevel="0" collapsed="false">
      <c r="A67" s="6" t="n">
        <v>62</v>
      </c>
      <c r="B67" s="5" t="s">
        <v>74</v>
      </c>
      <c r="C67" s="5" t="s">
        <v>805</v>
      </c>
      <c r="D67" s="5" t="s">
        <v>806</v>
      </c>
      <c r="E67" s="5" t="s">
        <v>77</v>
      </c>
      <c r="F67" s="11" t="n">
        <v>55091.52</v>
      </c>
      <c r="G67" s="12" t="n">
        <v>2.8541</v>
      </c>
      <c r="H67" s="12" t="n">
        <v>2.6</v>
      </c>
      <c r="J67" s="8" t="n">
        <v>-0.25427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1</v>
      </c>
      <c r="M67" s="14" t="n">
        <v>-254.27</v>
      </c>
      <c r="N67" s="9" t="n">
        <v>-14007.97</v>
      </c>
      <c r="O67" s="9" t="n">
        <v>-113885.61</v>
      </c>
    </row>
    <row r="68" customFormat="false" ht="15" hidden="false" customHeight="false" outlineLevel="0" collapsed="false">
      <c r="A68" s="6" t="n">
        <v>63</v>
      </c>
      <c r="B68" s="5" t="s">
        <v>74</v>
      </c>
      <c r="C68" s="5" t="s">
        <v>806</v>
      </c>
      <c r="D68" s="5" t="s">
        <v>807</v>
      </c>
      <c r="E68" s="5" t="s">
        <v>81</v>
      </c>
      <c r="F68" s="11" t="n">
        <v>69989.67</v>
      </c>
      <c r="G68" s="12" t="n">
        <v>2.5563</v>
      </c>
      <c r="H68" s="12" t="n">
        <v>2.7472</v>
      </c>
      <c r="I68" s="5" t="s">
        <v>78</v>
      </c>
      <c r="J68" s="8" t="n">
        <v>-0.07517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2</v>
      </c>
      <c r="M68" s="14" t="n">
        <v>-75.17</v>
      </c>
      <c r="N68" s="9" t="n">
        <v>-5261.25</v>
      </c>
      <c r="O68" s="9" t="n">
        <v>-119146.86</v>
      </c>
    </row>
    <row r="69" customFormat="false" ht="15" hidden="false" customHeight="false" outlineLevel="0" collapsed="false">
      <c r="A69" s="6" t="n">
        <v>64</v>
      </c>
      <c r="B69" s="5" t="s">
        <v>74</v>
      </c>
      <c r="C69" s="5" t="s">
        <v>807</v>
      </c>
      <c r="D69" s="5" t="s">
        <v>740</v>
      </c>
      <c r="E69" s="5" t="s">
        <v>77</v>
      </c>
      <c r="F69" s="11" t="n">
        <v>0</v>
      </c>
      <c r="G69" s="12" t="n">
        <v>2.7472</v>
      </c>
      <c r="H69" s="12" t="n">
        <v>2.8366</v>
      </c>
      <c r="J69" s="8" t="n">
        <v>0.08929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89.29</v>
      </c>
      <c r="N69" s="9" t="n">
        <v>0</v>
      </c>
      <c r="O69" s="9" t="n">
        <v>-119146.86</v>
      </c>
    </row>
    <row r="70" customFormat="false" ht="15" hidden="false" customHeight="false" outlineLevel="0" collapsed="false">
      <c r="A70" s="6" t="n">
        <v>65</v>
      </c>
      <c r="B70" s="5" t="s">
        <v>74</v>
      </c>
      <c r="C70" s="5" t="s">
        <v>740</v>
      </c>
      <c r="D70" s="5" t="s">
        <v>631</v>
      </c>
      <c r="E70" s="5" t="s">
        <v>77</v>
      </c>
      <c r="F70" s="11" t="n">
        <v>13387.8</v>
      </c>
      <c r="G70" s="12" t="n">
        <v>2.7472</v>
      </c>
      <c r="H70" s="12" t="n">
        <v>3.3143</v>
      </c>
      <c r="I70" s="5" t="s">
        <v>78</v>
      </c>
      <c r="J70" s="8" t="n">
        <v>0.3042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304.2</v>
      </c>
      <c r="N70" s="9" t="n">
        <v>4072.51</v>
      </c>
      <c r="O70" s="9" t="n">
        <v>-115074.35</v>
      </c>
    </row>
    <row r="71" customFormat="false" ht="15" hidden="false" customHeight="false" outlineLevel="0" collapsed="false">
      <c r="A71" s="6" t="n">
        <v>66</v>
      </c>
      <c r="B71" s="5" t="s">
        <v>74</v>
      </c>
      <c r="C71" s="5" t="s">
        <v>631</v>
      </c>
      <c r="D71" s="5" t="s">
        <v>808</v>
      </c>
      <c r="E71" s="5" t="s">
        <v>77</v>
      </c>
      <c r="F71" s="11" t="n">
        <v>49222.84</v>
      </c>
      <c r="G71" s="12" t="n">
        <v>3.01</v>
      </c>
      <c r="H71" s="12" t="n">
        <v>3.1227</v>
      </c>
      <c r="J71" s="8" t="n">
        <v>0.11243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112.43</v>
      </c>
      <c r="N71" s="9" t="n">
        <v>5534.17</v>
      </c>
      <c r="O71" s="9" t="n">
        <v>-109540.18</v>
      </c>
    </row>
    <row r="72" customFormat="false" ht="15" hidden="false" customHeight="false" outlineLevel="0" collapsed="false">
      <c r="A72" s="6" t="n">
        <v>67</v>
      </c>
      <c r="B72" s="5" t="s">
        <v>74</v>
      </c>
      <c r="C72" s="5" t="s">
        <v>808</v>
      </c>
      <c r="D72" s="5" t="s">
        <v>809</v>
      </c>
      <c r="E72" s="5" t="s">
        <v>81</v>
      </c>
      <c r="F72" s="11" t="n">
        <v>53005.95</v>
      </c>
      <c r="G72" s="12" t="n">
        <v>3.1227</v>
      </c>
      <c r="H72" s="12" t="n">
        <v>2.9977</v>
      </c>
      <c r="J72" s="8" t="n">
        <v>0.12469</v>
      </c>
      <c r="K72" s="13" t="str">
        <f aca="false">IF(J72&gt;0,"прибыль",IF(J72&lt;0,"убыток","ноль"))</f>
        <v>прибыль</v>
      </c>
      <c r="L72" s="13" t="n">
        <f aca="false">IF(C72="",L71,IF(J72&lt;0,L71+1,0))</f>
        <v>0</v>
      </c>
      <c r="M72" s="14" t="n">
        <v>124.69</v>
      </c>
      <c r="N72" s="9" t="n">
        <v>6609.56</v>
      </c>
      <c r="O72" s="9" t="n">
        <v>-102930.61</v>
      </c>
    </row>
    <row r="73" customFormat="false" ht="15" hidden="false" customHeight="false" outlineLevel="0" collapsed="false">
      <c r="A73" s="6" t="n">
        <v>68</v>
      </c>
      <c r="B73" s="5" t="s">
        <v>74</v>
      </c>
      <c r="C73" s="5" t="s">
        <v>809</v>
      </c>
      <c r="D73" s="5" t="s">
        <v>810</v>
      </c>
      <c r="E73" s="5" t="s">
        <v>77</v>
      </c>
      <c r="F73" s="11" t="n">
        <v>59933.81</v>
      </c>
      <c r="G73" s="12" t="n">
        <v>2.9977</v>
      </c>
      <c r="H73" s="12" t="n">
        <v>3.0262</v>
      </c>
      <c r="J73" s="8" t="n">
        <v>0.02818</v>
      </c>
      <c r="K73" s="13" t="str">
        <f aca="false">IF(J73&gt;0,"прибыль",IF(J73&lt;0,"убыток","ноль"))</f>
        <v>прибыль</v>
      </c>
      <c r="L73" s="13" t="n">
        <f aca="false">IF(C73="",L72,IF(J73&lt;0,L72+1,0))</f>
        <v>0</v>
      </c>
      <c r="M73" s="14" t="n">
        <v>28.18</v>
      </c>
      <c r="N73" s="9" t="n">
        <v>1688.87</v>
      </c>
      <c r="O73" s="9" t="n">
        <v>-101241.74</v>
      </c>
    </row>
    <row r="74" customFormat="false" ht="15" hidden="false" customHeight="false" outlineLevel="0" collapsed="false">
      <c r="A74" s="6" t="n">
        <v>69</v>
      </c>
      <c r="B74" s="5" t="s">
        <v>74</v>
      </c>
      <c r="C74" s="5" t="s">
        <v>810</v>
      </c>
      <c r="D74" s="5" t="s">
        <v>811</v>
      </c>
      <c r="E74" s="5" t="s">
        <v>81</v>
      </c>
      <c r="F74" s="11" t="n">
        <v>58965.58</v>
      </c>
      <c r="G74" s="12" t="n">
        <v>3.0262</v>
      </c>
      <c r="H74" s="12" t="n">
        <v>3.2196</v>
      </c>
      <c r="J74" s="8" t="n">
        <v>-0.19365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1</v>
      </c>
      <c r="M74" s="14" t="n">
        <v>-193.65</v>
      </c>
      <c r="N74" s="9" t="n">
        <v>-11418.96</v>
      </c>
      <c r="O74" s="9" t="n">
        <v>-112660.7</v>
      </c>
    </row>
    <row r="75" customFormat="false" ht="15" hidden="false" customHeight="false" outlineLevel="0" collapsed="false">
      <c r="A75" s="6" t="n">
        <v>70</v>
      </c>
      <c r="B75" s="5" t="s">
        <v>74</v>
      </c>
      <c r="C75" s="5" t="s">
        <v>811</v>
      </c>
      <c r="D75" s="5" t="s">
        <v>812</v>
      </c>
      <c r="E75" s="5" t="s">
        <v>77</v>
      </c>
      <c r="F75" s="11" t="n">
        <v>47358.08</v>
      </c>
      <c r="G75" s="12" t="n">
        <v>3.2196</v>
      </c>
      <c r="H75" s="12" t="n">
        <v>3.4094</v>
      </c>
      <c r="I75" s="5" t="s">
        <v>78</v>
      </c>
      <c r="J75" s="8" t="n">
        <v>0.01416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14.16</v>
      </c>
      <c r="N75" s="9" t="n">
        <v>670.75</v>
      </c>
      <c r="O75" s="9" t="n">
        <v>-111989.96</v>
      </c>
    </row>
    <row r="76" customFormat="false" ht="15" hidden="false" customHeight="false" outlineLevel="0" collapsed="false">
      <c r="A76" s="6" t="n">
        <v>71</v>
      </c>
      <c r="B76" s="5" t="s">
        <v>74</v>
      </c>
      <c r="C76" s="5" t="s">
        <v>812</v>
      </c>
      <c r="D76" s="5" t="s">
        <v>813</v>
      </c>
      <c r="E76" s="5" t="s">
        <v>81</v>
      </c>
      <c r="F76" s="11" t="n">
        <v>0</v>
      </c>
      <c r="G76" s="12" t="n">
        <v>3.4094</v>
      </c>
      <c r="H76" s="12" t="n">
        <v>3.3328</v>
      </c>
      <c r="J76" s="8" t="n">
        <v>0.07641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76.41</v>
      </c>
      <c r="N76" s="9" t="n">
        <v>0</v>
      </c>
      <c r="O76" s="9" t="n">
        <v>-111989.96</v>
      </c>
    </row>
    <row r="77" customFormat="false" ht="15" hidden="false" customHeight="false" outlineLevel="0" collapsed="false">
      <c r="A77" s="6" t="n">
        <v>72</v>
      </c>
      <c r="B77" s="5" t="s">
        <v>74</v>
      </c>
      <c r="C77" s="5" t="s">
        <v>813</v>
      </c>
      <c r="D77" s="5" t="s">
        <v>352</v>
      </c>
      <c r="E77" s="5" t="s">
        <v>81</v>
      </c>
      <c r="F77" s="11" t="n">
        <v>48604.12</v>
      </c>
      <c r="G77" s="12" t="n">
        <v>3.4094</v>
      </c>
      <c r="H77" s="12" t="n">
        <v>3.2557</v>
      </c>
      <c r="J77" s="8" t="n">
        <v>0.15335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153.35</v>
      </c>
      <c r="N77" s="9" t="n">
        <v>7453.48</v>
      </c>
      <c r="O77" s="9" t="n">
        <v>-104536.48</v>
      </c>
    </row>
    <row r="78" customFormat="false" ht="15" hidden="false" customHeight="false" outlineLevel="0" collapsed="false">
      <c r="A78" s="6" t="n">
        <v>73</v>
      </c>
      <c r="B78" s="5" t="s">
        <v>74</v>
      </c>
      <c r="C78" s="5" t="s">
        <v>352</v>
      </c>
      <c r="D78" s="5" t="s">
        <v>480</v>
      </c>
      <c r="E78" s="5" t="s">
        <v>77</v>
      </c>
      <c r="F78" s="11" t="n">
        <v>0</v>
      </c>
      <c r="G78" s="12" t="n">
        <v>3.2557</v>
      </c>
      <c r="H78" s="12" t="n">
        <v>3.2253</v>
      </c>
      <c r="J78" s="8" t="n">
        <v>-0.03052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1</v>
      </c>
      <c r="M78" s="14" t="n">
        <v>-30.52</v>
      </c>
      <c r="N78" s="9" t="n">
        <v>0</v>
      </c>
      <c r="O78" s="9" t="n">
        <v>-104536.48</v>
      </c>
    </row>
    <row r="79" customFormat="false" ht="15" hidden="false" customHeight="false" outlineLevel="0" collapsed="false">
      <c r="A79" s="6" t="n">
        <v>74</v>
      </c>
      <c r="B79" s="5" t="s">
        <v>74</v>
      </c>
      <c r="C79" s="5" t="s">
        <v>480</v>
      </c>
      <c r="D79" s="5" t="s">
        <v>814</v>
      </c>
      <c r="E79" s="5" t="s">
        <v>77</v>
      </c>
      <c r="F79" s="11" t="n">
        <v>48437.04</v>
      </c>
      <c r="G79" s="12" t="n">
        <v>3.2557</v>
      </c>
      <c r="H79" s="12" t="n">
        <v>2.8746</v>
      </c>
      <c r="J79" s="8" t="n">
        <v>-0.38136</v>
      </c>
      <c r="K79" s="13" t="str">
        <f aca="false">IF(J79&gt;0,"прибыль",IF(J79&lt;0,"убыток","ноль"))</f>
        <v>убыток</v>
      </c>
      <c r="L79" s="13" t="n">
        <f aca="false">IF(C79="",L78,IF(J79&lt;0,L78+1,0))</f>
        <v>2</v>
      </c>
      <c r="M79" s="14" t="n">
        <v>-381.36</v>
      </c>
      <c r="N79" s="9" t="n">
        <v>-18472.1</v>
      </c>
      <c r="O79" s="9" t="n">
        <v>-123008.57</v>
      </c>
    </row>
    <row r="80" customFormat="false" ht="15" hidden="false" customHeight="false" outlineLevel="0" collapsed="false">
      <c r="A80" s="6" t="n">
        <v>75</v>
      </c>
      <c r="B80" s="5" t="s">
        <v>74</v>
      </c>
      <c r="C80" s="5" t="s">
        <v>814</v>
      </c>
      <c r="D80" s="5" t="s">
        <v>815</v>
      </c>
      <c r="E80" s="5" t="s">
        <v>81</v>
      </c>
      <c r="F80" s="11" t="n">
        <v>50757.42</v>
      </c>
      <c r="G80" s="12" t="n">
        <v>2.8746</v>
      </c>
      <c r="H80" s="12" t="n">
        <v>2.9135</v>
      </c>
      <c r="J80" s="8" t="n">
        <v>-0.03913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3</v>
      </c>
      <c r="M80" s="14" t="n">
        <v>-39.13</v>
      </c>
      <c r="N80" s="9" t="n">
        <v>-1985.99</v>
      </c>
      <c r="O80" s="9" t="n">
        <v>-124994.56</v>
      </c>
    </row>
    <row r="81" customFormat="false" ht="15" hidden="false" customHeight="false" outlineLevel="0" collapsed="false">
      <c r="A81" s="6" t="n">
        <v>76</v>
      </c>
      <c r="B81" s="5" t="s">
        <v>74</v>
      </c>
      <c r="C81" s="5" t="s">
        <v>815</v>
      </c>
      <c r="D81" s="5" t="s">
        <v>816</v>
      </c>
      <c r="E81" s="5" t="s">
        <v>77</v>
      </c>
      <c r="F81" s="11" t="n">
        <v>49309.38</v>
      </c>
      <c r="G81" s="12" t="n">
        <v>2.9135</v>
      </c>
      <c r="H81" s="12" t="n">
        <v>2.921</v>
      </c>
      <c r="J81" s="8" t="n">
        <v>0.00726</v>
      </c>
      <c r="K81" s="13" t="str">
        <f aca="false">IF(J81&gt;0,"прибыль",IF(J81&lt;0,"убыток","ноль"))</f>
        <v>прибыль</v>
      </c>
      <c r="L81" s="13" t="n">
        <f aca="false">IF(C81="",L80,IF(J81&lt;0,L80+1,0))</f>
        <v>0</v>
      </c>
      <c r="M81" s="14" t="n">
        <v>7.26</v>
      </c>
      <c r="N81" s="9" t="n">
        <v>358.22</v>
      </c>
      <c r="O81" s="9" t="n">
        <v>-124636.34</v>
      </c>
    </row>
    <row r="82" customFormat="false" ht="15" hidden="false" customHeight="false" outlineLevel="0" collapsed="false">
      <c r="A82" s="6" t="n">
        <v>77</v>
      </c>
      <c r="B82" s="5" t="s">
        <v>74</v>
      </c>
      <c r="C82" s="5" t="s">
        <v>816</v>
      </c>
      <c r="D82" s="5" t="s">
        <v>486</v>
      </c>
      <c r="E82" s="5" t="s">
        <v>81</v>
      </c>
      <c r="F82" s="11" t="n">
        <v>23174.61</v>
      </c>
      <c r="G82" s="12" t="n">
        <v>2.7675</v>
      </c>
      <c r="H82" s="12" t="n">
        <v>2.5309</v>
      </c>
      <c r="I82" s="5" t="s">
        <v>78</v>
      </c>
      <c r="J82" s="8" t="n">
        <v>0.29856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298.56</v>
      </c>
      <c r="N82" s="9" t="n">
        <v>6918.96</v>
      </c>
      <c r="O82" s="9" t="n">
        <v>-117717.38</v>
      </c>
    </row>
    <row r="83" customFormat="false" ht="15" hidden="false" customHeight="false" outlineLevel="0" collapsed="false">
      <c r="A83" s="6" t="n">
        <v>78</v>
      </c>
      <c r="B83" s="5" t="s">
        <v>74</v>
      </c>
      <c r="C83" s="5" t="s">
        <v>486</v>
      </c>
      <c r="D83" s="5" t="s">
        <v>487</v>
      </c>
      <c r="E83" s="5" t="s">
        <v>81</v>
      </c>
      <c r="F83" s="11" t="n">
        <v>17299.29</v>
      </c>
      <c r="G83" s="12" t="n">
        <v>2.8298</v>
      </c>
      <c r="H83" s="12" t="n">
        <v>2.5838</v>
      </c>
      <c r="J83" s="8" t="n">
        <v>0.2459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245.9</v>
      </c>
      <c r="N83" s="9" t="n">
        <v>4253.93</v>
      </c>
      <c r="O83" s="9" t="n">
        <v>-113463.46</v>
      </c>
    </row>
    <row r="84" customFormat="false" ht="15" hidden="false" customHeight="false" outlineLevel="0" collapsed="false">
      <c r="A84" s="6" t="n">
        <v>79</v>
      </c>
      <c r="B84" s="5" t="s">
        <v>74</v>
      </c>
      <c r="C84" s="5" t="s">
        <v>487</v>
      </c>
      <c r="D84" s="5" t="s">
        <v>488</v>
      </c>
      <c r="E84" s="5" t="s">
        <v>81</v>
      </c>
      <c r="F84" s="11" t="n">
        <v>14780.56</v>
      </c>
      <c r="G84" s="12" t="n">
        <v>2.8298</v>
      </c>
      <c r="H84" s="12" t="n">
        <v>2.8111</v>
      </c>
      <c r="I84" s="5" t="s">
        <v>78</v>
      </c>
      <c r="J84" s="8" t="n">
        <v>-0.05019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1</v>
      </c>
      <c r="M84" s="14" t="n">
        <v>-50.19</v>
      </c>
      <c r="N84" s="9" t="n">
        <v>-741.79</v>
      </c>
      <c r="O84" s="9" t="n">
        <v>-114205.25</v>
      </c>
    </row>
    <row r="85" customFormat="false" ht="15" hidden="false" customHeight="false" outlineLevel="0" collapsed="false">
      <c r="A85" s="6" t="n">
        <v>80</v>
      </c>
      <c r="B85" s="5" t="s">
        <v>74</v>
      </c>
      <c r="C85" s="5" t="s">
        <v>488</v>
      </c>
      <c r="D85" s="5" t="s">
        <v>356</v>
      </c>
      <c r="E85" s="5" t="s">
        <v>81</v>
      </c>
      <c r="F85" s="11" t="n">
        <v>43349.99</v>
      </c>
      <c r="G85" s="12" t="n">
        <v>2.761</v>
      </c>
      <c r="H85" s="12" t="n">
        <v>3.1568</v>
      </c>
      <c r="J85" s="8" t="n">
        <v>-0.39605</v>
      </c>
      <c r="K85" s="13" t="str">
        <f aca="false">IF(J85&gt;0,"прибыль",IF(J85&lt;0,"убыток","ноль"))</f>
        <v>убыток</v>
      </c>
      <c r="L85" s="13" t="n">
        <f aca="false">IF(C85="",L84,IF(J85&lt;0,L84+1,0))</f>
        <v>2</v>
      </c>
      <c r="M85" s="14" t="n">
        <v>-396.05</v>
      </c>
      <c r="N85" s="9" t="n">
        <v>-17168.64</v>
      </c>
      <c r="O85" s="9" t="n">
        <v>-131373.89</v>
      </c>
    </row>
    <row r="86" customFormat="false" ht="15" hidden="false" customHeight="false" outlineLevel="0" collapsed="false">
      <c r="A86" s="6" t="n">
        <v>81</v>
      </c>
      <c r="B86" s="5" t="s">
        <v>74</v>
      </c>
      <c r="C86" s="5" t="s">
        <v>356</v>
      </c>
      <c r="D86" s="5" t="s">
        <v>817</v>
      </c>
      <c r="E86" s="5" t="s">
        <v>77</v>
      </c>
      <c r="F86" s="11" t="n">
        <v>37017.28</v>
      </c>
      <c r="G86" s="12" t="n">
        <v>3.1568</v>
      </c>
      <c r="H86" s="12" t="n">
        <v>3.0795</v>
      </c>
      <c r="J86" s="8" t="n">
        <v>-0.07754</v>
      </c>
      <c r="K86" s="13" t="str">
        <f aca="false">IF(J86&gt;0,"прибыль",IF(J86&lt;0,"убыток","ноль"))</f>
        <v>убыток</v>
      </c>
      <c r="L86" s="13" t="n">
        <f aca="false">IF(C86="",L85,IF(J86&lt;0,L85+1,0))</f>
        <v>3</v>
      </c>
      <c r="M86" s="14" t="n">
        <v>-77.54</v>
      </c>
      <c r="N86" s="9" t="n">
        <v>-2870.28</v>
      </c>
      <c r="O86" s="9" t="n">
        <v>-134244.16</v>
      </c>
    </row>
    <row r="87" customFormat="false" ht="15" hidden="false" customHeight="false" outlineLevel="0" collapsed="false">
      <c r="A87" s="6" t="n">
        <v>82</v>
      </c>
      <c r="B87" s="5" t="s">
        <v>74</v>
      </c>
      <c r="C87" s="5" t="s">
        <v>817</v>
      </c>
      <c r="D87" s="5" t="s">
        <v>490</v>
      </c>
      <c r="E87" s="5" t="s">
        <v>81</v>
      </c>
      <c r="F87" s="11" t="n">
        <v>0</v>
      </c>
      <c r="G87" s="12" t="n">
        <v>3.0795</v>
      </c>
      <c r="H87" s="12" t="n">
        <v>2.8365</v>
      </c>
      <c r="J87" s="8" t="n">
        <v>0.24284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242.84</v>
      </c>
      <c r="N87" s="9" t="n">
        <v>0</v>
      </c>
      <c r="O87" s="9" t="n">
        <v>-134244.16</v>
      </c>
    </row>
    <row r="88" customFormat="false" ht="15" hidden="false" customHeight="false" outlineLevel="0" collapsed="false">
      <c r="A88" s="6" t="n">
        <v>83</v>
      </c>
      <c r="B88" s="5" t="s">
        <v>491</v>
      </c>
      <c r="C88" s="5" t="s">
        <v>490</v>
      </c>
      <c r="D88" s="5" t="s">
        <v>492</v>
      </c>
      <c r="E88" s="5" t="s">
        <v>81</v>
      </c>
      <c r="F88" s="11" t="n">
        <v>16612.06</v>
      </c>
      <c r="G88" s="12" t="n">
        <v>2.4426</v>
      </c>
      <c r="H88" s="12" t="n">
        <v>2.0333</v>
      </c>
      <c r="I88" s="5" t="s">
        <v>78</v>
      </c>
      <c r="J88" s="8" t="n">
        <v>0.73701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737.01</v>
      </c>
      <c r="N88" s="9" t="n">
        <v>12243.28</v>
      </c>
      <c r="O88" s="9" t="n">
        <v>-122000.89</v>
      </c>
    </row>
    <row r="89" customFormat="false" ht="15" hidden="false" customHeight="false" outlineLevel="0" collapsed="false">
      <c r="A89" s="6" t="n">
        <v>84</v>
      </c>
      <c r="B89" s="5" t="s">
        <v>288</v>
      </c>
      <c r="C89" s="5" t="s">
        <v>492</v>
      </c>
      <c r="D89" s="5" t="s">
        <v>493</v>
      </c>
      <c r="E89" s="5" t="s">
        <v>81</v>
      </c>
      <c r="F89" s="11" t="n">
        <v>15834.02</v>
      </c>
      <c r="G89" s="12" t="n">
        <v>2.7707</v>
      </c>
      <c r="H89" s="12" t="n">
        <v>2.6708</v>
      </c>
      <c r="J89" s="8" t="n">
        <v>0.09976</v>
      </c>
      <c r="K89" s="13" t="str">
        <f aca="false">IF(J89&gt;0,"прибыль",IF(J89&lt;0,"убыток","ноль"))</f>
        <v>прибыль</v>
      </c>
      <c r="L89" s="13" t="n">
        <f aca="false">IF(C89="",L88,IF(J89&lt;0,L88+1,0))</f>
        <v>0</v>
      </c>
      <c r="M89" s="14" t="n">
        <v>99.76</v>
      </c>
      <c r="N89" s="9" t="n">
        <v>1579.63</v>
      </c>
      <c r="O89" s="9" t="n">
        <v>-120421.26</v>
      </c>
    </row>
    <row r="90" customFormat="false" ht="15" hidden="false" customHeight="false" outlineLevel="0" collapsed="false">
      <c r="A90" s="6" t="n">
        <v>85</v>
      </c>
      <c r="B90" s="5" t="s">
        <v>288</v>
      </c>
      <c r="C90" s="5" t="s">
        <v>493</v>
      </c>
      <c r="D90" s="5" t="s">
        <v>634</v>
      </c>
      <c r="E90" s="5" t="s">
        <v>81</v>
      </c>
      <c r="F90" s="11" t="n">
        <v>75899.57</v>
      </c>
      <c r="G90" s="12" t="n">
        <v>2.4389</v>
      </c>
      <c r="H90" s="12" t="n">
        <v>2.3897</v>
      </c>
      <c r="I90" s="5" t="s">
        <v>78</v>
      </c>
      <c r="J90" s="8" t="n">
        <v>0.5315</v>
      </c>
      <c r="K90" s="13" t="str">
        <f aca="false">IF(J90&gt;0,"прибыль",IF(J90&lt;0,"убыток","ноль"))</f>
        <v>прибыль</v>
      </c>
      <c r="L90" s="13" t="n">
        <f aca="false">IF(C90="",L89,IF(J90&lt;0,L89+1,0))</f>
        <v>0</v>
      </c>
      <c r="M90" s="14" t="n">
        <v>531.5</v>
      </c>
      <c r="N90" s="9" t="n">
        <v>40340.68</v>
      </c>
      <c r="O90" s="9" t="n">
        <v>-80080.57</v>
      </c>
    </row>
    <row r="91" customFormat="false" ht="15" hidden="false" customHeight="false" outlineLevel="0" collapsed="false">
      <c r="A91" s="6" t="n">
        <v>86</v>
      </c>
      <c r="B91" s="5" t="s">
        <v>288</v>
      </c>
      <c r="C91" s="5" t="s">
        <v>634</v>
      </c>
      <c r="D91" s="5" t="s">
        <v>818</v>
      </c>
      <c r="E91" s="5" t="s">
        <v>77</v>
      </c>
      <c r="F91" s="11" t="n">
        <v>57857.74</v>
      </c>
      <c r="G91" s="12" t="n">
        <v>2.3897</v>
      </c>
      <c r="H91" s="12" t="n">
        <v>2.3225</v>
      </c>
      <c r="J91" s="8" t="n">
        <v>-0.06743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1</v>
      </c>
      <c r="M91" s="14" t="n">
        <v>-67.43</v>
      </c>
      <c r="N91" s="9" t="n">
        <v>-3901.23</v>
      </c>
      <c r="O91" s="9" t="n">
        <v>-83981.8</v>
      </c>
    </row>
    <row r="92" customFormat="false" ht="15" hidden="false" customHeight="false" outlineLevel="0" collapsed="false">
      <c r="A92" s="6" t="n">
        <v>87</v>
      </c>
      <c r="B92" s="5" t="s">
        <v>288</v>
      </c>
      <c r="C92" s="5" t="s">
        <v>818</v>
      </c>
      <c r="D92" s="5" t="s">
        <v>819</v>
      </c>
      <c r="E92" s="5" t="s">
        <v>81</v>
      </c>
      <c r="F92" s="11" t="n">
        <v>0</v>
      </c>
      <c r="G92" s="12" t="n">
        <v>2.3225</v>
      </c>
      <c r="H92" s="12" t="n">
        <v>2.3145</v>
      </c>
      <c r="J92" s="8" t="n">
        <v>0.00795</v>
      </c>
      <c r="K92" s="13" t="str">
        <f aca="false">IF(J92&gt;0,"прибыль",IF(J92&lt;0,"убыток","ноль"))</f>
        <v>прибыль</v>
      </c>
      <c r="L92" s="13" t="n">
        <f aca="false">IF(C92="",L91,IF(J92&lt;0,L91+1,0))</f>
        <v>0</v>
      </c>
      <c r="M92" s="14" t="n">
        <v>7.95</v>
      </c>
      <c r="N92" s="9" t="n">
        <v>0</v>
      </c>
      <c r="O92" s="9" t="n">
        <v>-83981.8</v>
      </c>
    </row>
    <row r="93" customFormat="false" ht="15" hidden="false" customHeight="false" outlineLevel="0" collapsed="false">
      <c r="A93" s="6" t="n">
        <v>88</v>
      </c>
      <c r="B93" s="5" t="s">
        <v>288</v>
      </c>
      <c r="C93" s="5" t="s">
        <v>819</v>
      </c>
      <c r="D93" s="5" t="s">
        <v>750</v>
      </c>
      <c r="E93" s="5" t="s">
        <v>81</v>
      </c>
      <c r="F93" s="11" t="n">
        <v>60735.98</v>
      </c>
      <c r="G93" s="12" t="n">
        <v>2.3225</v>
      </c>
      <c r="H93" s="12" t="n">
        <v>2.4696</v>
      </c>
      <c r="J93" s="8" t="n">
        <v>-0.14731</v>
      </c>
      <c r="K93" s="13" t="str">
        <f aca="false">IF(J93&gt;0,"прибыль",IF(J93&lt;0,"убыток","ноль"))</f>
        <v>убыток</v>
      </c>
      <c r="L93" s="13" t="n">
        <f aca="false">IF(C93="",L92,IF(J93&lt;0,L92+1,0))</f>
        <v>1</v>
      </c>
      <c r="M93" s="14" t="n">
        <v>-147.31</v>
      </c>
      <c r="N93" s="9" t="n">
        <v>-8946.77</v>
      </c>
      <c r="O93" s="9" t="n">
        <v>-92928.57</v>
      </c>
    </row>
    <row r="94" customFormat="false" ht="15" hidden="false" customHeight="false" outlineLevel="0" collapsed="false">
      <c r="A94" s="6" t="n">
        <v>89</v>
      </c>
      <c r="B94" s="5" t="s">
        <v>288</v>
      </c>
      <c r="C94" s="5" t="s">
        <v>750</v>
      </c>
      <c r="D94" s="5" t="s">
        <v>751</v>
      </c>
      <c r="E94" s="5" t="s">
        <v>77</v>
      </c>
      <c r="F94" s="11" t="n">
        <v>12299.4</v>
      </c>
      <c r="G94" s="12" t="n">
        <v>2.4696</v>
      </c>
      <c r="H94" s="12" t="n">
        <v>2.8871</v>
      </c>
      <c r="I94" s="5" t="s">
        <v>78</v>
      </c>
      <c r="J94" s="8" t="n">
        <v>0.29465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294.65</v>
      </c>
      <c r="N94" s="9" t="n">
        <v>3623.99</v>
      </c>
      <c r="O94" s="9" t="n">
        <v>-89304.58</v>
      </c>
    </row>
    <row r="95" customFormat="false" ht="15" hidden="false" customHeight="false" outlineLevel="0" collapsed="false">
      <c r="A95" s="6" t="n">
        <v>90</v>
      </c>
      <c r="B95" s="5" t="s">
        <v>288</v>
      </c>
      <c r="C95" s="5" t="s">
        <v>751</v>
      </c>
      <c r="D95" s="5" t="s">
        <v>820</v>
      </c>
      <c r="E95" s="5" t="s">
        <v>77</v>
      </c>
      <c r="F95" s="11" t="n">
        <v>54764.88</v>
      </c>
      <c r="G95" s="12" t="n">
        <v>2.5951</v>
      </c>
      <c r="H95" s="12" t="n">
        <v>2.3059</v>
      </c>
      <c r="J95" s="8" t="n">
        <v>-0.28946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1</v>
      </c>
      <c r="M95" s="14" t="n">
        <v>-289.46</v>
      </c>
      <c r="N95" s="9" t="n">
        <v>-15852.33</v>
      </c>
      <c r="O95" s="9" t="n">
        <v>-105156.91</v>
      </c>
    </row>
    <row r="96" customFormat="false" ht="15" hidden="false" customHeight="false" outlineLevel="0" collapsed="false">
      <c r="A96" s="6" t="n">
        <v>91</v>
      </c>
      <c r="B96" s="5" t="s">
        <v>288</v>
      </c>
      <c r="C96" s="5" t="s">
        <v>820</v>
      </c>
      <c r="D96" s="5" t="s">
        <v>821</v>
      </c>
      <c r="E96" s="5" t="s">
        <v>81</v>
      </c>
      <c r="F96" s="11" t="n">
        <v>66619.01</v>
      </c>
      <c r="G96" s="12" t="n">
        <v>2.3059</v>
      </c>
      <c r="H96" s="12" t="n">
        <v>2.536</v>
      </c>
      <c r="J96" s="8" t="n">
        <v>-0.23034</v>
      </c>
      <c r="K96" s="13" t="str">
        <f aca="false">IF(J96&gt;0,"прибыль",IF(J96&lt;0,"убыток","ноль"))</f>
        <v>убыток</v>
      </c>
      <c r="L96" s="13" t="n">
        <f aca="false">IF(C96="",L95,IF(J96&lt;0,L95+1,0))</f>
        <v>2</v>
      </c>
      <c r="M96" s="14" t="n">
        <v>-230.34</v>
      </c>
      <c r="N96" s="9" t="n">
        <v>-15345</v>
      </c>
      <c r="O96" s="9" t="n">
        <v>-120501.9</v>
      </c>
    </row>
    <row r="97" customFormat="false" ht="15" hidden="false" customHeight="false" outlineLevel="0" collapsed="false">
      <c r="A97" s="6" t="n">
        <v>92</v>
      </c>
      <c r="B97" s="5" t="s">
        <v>288</v>
      </c>
      <c r="C97" s="5" t="s">
        <v>821</v>
      </c>
      <c r="D97" s="5" t="s">
        <v>697</v>
      </c>
      <c r="E97" s="5" t="s">
        <v>77</v>
      </c>
      <c r="F97" s="11" t="n">
        <v>53962.03</v>
      </c>
      <c r="G97" s="12" t="n">
        <v>2.536</v>
      </c>
      <c r="H97" s="12" t="n">
        <v>2.3032</v>
      </c>
      <c r="J97" s="8" t="n">
        <v>-0.23299</v>
      </c>
      <c r="K97" s="13" t="str">
        <f aca="false">IF(J97&gt;0,"прибыль",IF(J97&lt;0,"убыток","ноль"))</f>
        <v>убыток</v>
      </c>
      <c r="L97" s="13" t="n">
        <f aca="false">IF(C97="",L96,IF(J97&lt;0,L96+1,0))</f>
        <v>3</v>
      </c>
      <c r="M97" s="14" t="n">
        <v>-232.99</v>
      </c>
      <c r="N97" s="9" t="n">
        <v>-12572.57</v>
      </c>
      <c r="O97" s="9" t="n">
        <v>-133074.47</v>
      </c>
    </row>
    <row r="98" customFormat="false" ht="15" hidden="false" customHeight="false" outlineLevel="0" collapsed="false">
      <c r="A98" s="6" t="n">
        <v>93</v>
      </c>
      <c r="B98" s="5" t="s">
        <v>288</v>
      </c>
      <c r="C98" s="5" t="s">
        <v>697</v>
      </c>
      <c r="D98" s="5" t="s">
        <v>822</v>
      </c>
      <c r="E98" s="5" t="s">
        <v>81</v>
      </c>
      <c r="F98" s="11" t="n">
        <v>9553.99</v>
      </c>
      <c r="G98" s="12" t="n">
        <v>2.3032</v>
      </c>
      <c r="H98" s="12" t="n">
        <v>2.9754</v>
      </c>
      <c r="I98" s="5" t="s">
        <v>78</v>
      </c>
      <c r="J98" s="8" t="n">
        <v>-0.09371</v>
      </c>
      <c r="K98" s="13" t="str">
        <f aca="false">IF(J98&gt;0,"прибыль",IF(J98&lt;0,"убыток","ноль"))</f>
        <v>убыток</v>
      </c>
      <c r="L98" s="13" t="n">
        <f aca="false">IF(C98="",L97,IF(J98&lt;0,L97+1,0))</f>
        <v>4</v>
      </c>
      <c r="M98" s="14" t="n">
        <v>-93.71</v>
      </c>
      <c r="N98" s="9" t="n">
        <v>-895.31</v>
      </c>
      <c r="O98" s="9" t="n">
        <v>-133969.77</v>
      </c>
    </row>
    <row r="99" customFormat="false" ht="15" hidden="false" customHeight="false" outlineLevel="0" collapsed="false">
      <c r="A99" s="6" t="n">
        <v>94</v>
      </c>
      <c r="B99" s="5" t="s">
        <v>288</v>
      </c>
      <c r="C99" s="5" t="s">
        <v>822</v>
      </c>
      <c r="D99" s="5" t="s">
        <v>823</v>
      </c>
      <c r="E99" s="5" t="s">
        <v>81</v>
      </c>
      <c r="F99" s="11" t="n">
        <v>35551.49</v>
      </c>
      <c r="G99" s="12" t="n">
        <v>2.8818</v>
      </c>
      <c r="H99" s="12" t="n">
        <v>3.4441</v>
      </c>
      <c r="I99" s="5" t="s">
        <v>78</v>
      </c>
      <c r="J99" s="8" t="n">
        <v>-0.56688</v>
      </c>
      <c r="K99" s="13" t="str">
        <f aca="false">IF(J99&gt;0,"прибыль",IF(J99&lt;0,"убыток","ноль"))</f>
        <v>убыток</v>
      </c>
      <c r="L99" s="13" t="n">
        <f aca="false">IF(C99="",L98,IF(J99&lt;0,L98+1,0))</f>
        <v>5</v>
      </c>
      <c r="M99" s="14" t="n">
        <v>-566.88</v>
      </c>
      <c r="N99" s="9" t="n">
        <v>-20153.46</v>
      </c>
      <c r="O99" s="9" t="n">
        <v>-154123.23</v>
      </c>
    </row>
    <row r="100" customFormat="false" ht="15" hidden="false" customHeight="false" outlineLevel="0" collapsed="false">
      <c r="A100" s="6" t="n">
        <v>95</v>
      </c>
      <c r="B100" s="5" t="s">
        <v>288</v>
      </c>
      <c r="C100" s="5" t="s">
        <v>823</v>
      </c>
      <c r="D100" s="5" t="s">
        <v>374</v>
      </c>
      <c r="E100" s="5" t="s">
        <v>77</v>
      </c>
      <c r="F100" s="11" t="n">
        <v>32385.27</v>
      </c>
      <c r="G100" s="12" t="n">
        <v>3.4441</v>
      </c>
      <c r="H100" s="12" t="n">
        <v>3.1911</v>
      </c>
      <c r="J100" s="8" t="n">
        <v>-0.25326</v>
      </c>
      <c r="K100" s="13" t="str">
        <f aca="false">IF(J100&gt;0,"прибыль",IF(J100&lt;0,"убыток","ноль"))</f>
        <v>убыток</v>
      </c>
      <c r="L100" s="13" t="n">
        <f aca="false">IF(C100="",L99,IF(J100&lt;0,L99+1,0))</f>
        <v>6</v>
      </c>
      <c r="M100" s="14" t="n">
        <v>-253.26</v>
      </c>
      <c r="N100" s="9" t="n">
        <v>-8201.81</v>
      </c>
      <c r="O100" s="9" t="n">
        <v>-162325.04</v>
      </c>
    </row>
    <row r="101" customFormat="false" ht="15" hidden="false" customHeight="false" outlineLevel="0" collapsed="false">
      <c r="A101" s="6" t="n">
        <v>96</v>
      </c>
      <c r="B101" s="5" t="s">
        <v>288</v>
      </c>
      <c r="C101" s="5" t="s">
        <v>374</v>
      </c>
      <c r="D101" s="5" t="s">
        <v>824</v>
      </c>
      <c r="E101" s="5" t="s">
        <v>81</v>
      </c>
      <c r="F101" s="11" t="n">
        <v>32328.23</v>
      </c>
      <c r="G101" s="12" t="n">
        <v>3.1911</v>
      </c>
      <c r="H101" s="12" t="n">
        <v>3.2479</v>
      </c>
      <c r="J101" s="8" t="n">
        <v>-0.05706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7</v>
      </c>
      <c r="M101" s="14" t="n">
        <v>-57.06</v>
      </c>
      <c r="N101" s="9" t="n">
        <v>-1844.59</v>
      </c>
      <c r="O101" s="9" t="n">
        <v>-164169.63</v>
      </c>
    </row>
    <row r="102" customFormat="false" ht="15" hidden="false" customHeight="false" outlineLevel="0" collapsed="false">
      <c r="A102" s="6" t="n">
        <v>97</v>
      </c>
      <c r="B102" s="5" t="s">
        <v>288</v>
      </c>
      <c r="C102" s="5" t="s">
        <v>824</v>
      </c>
      <c r="D102" s="5" t="s">
        <v>378</v>
      </c>
      <c r="E102" s="5" t="s">
        <v>77</v>
      </c>
      <c r="F102" s="11" t="n">
        <v>10806.49</v>
      </c>
      <c r="G102" s="12" t="n">
        <v>3.2479</v>
      </c>
      <c r="H102" s="12" t="n">
        <v>3.6566</v>
      </c>
      <c r="I102" s="5" t="s">
        <v>78</v>
      </c>
      <c r="J102" s="8" t="n">
        <v>0.68828</v>
      </c>
      <c r="K102" s="13" t="str">
        <f aca="false">IF(J102&gt;0,"прибыль",IF(J102&lt;0,"убыток","ноль"))</f>
        <v>прибыль</v>
      </c>
      <c r="L102" s="13" t="n">
        <f aca="false">IF(C102="",L101,IF(J102&lt;0,L101+1,0))</f>
        <v>0</v>
      </c>
      <c r="M102" s="14" t="n">
        <v>688.28</v>
      </c>
      <c r="N102" s="9" t="n">
        <v>7437.86</v>
      </c>
      <c r="O102" s="9" t="n">
        <v>-156731.76</v>
      </c>
    </row>
    <row r="103" customFormat="false" ht="15" hidden="false" customHeight="false" outlineLevel="0" collapsed="false">
      <c r="A103" s="6" t="n">
        <v>98</v>
      </c>
      <c r="B103" s="5" t="s">
        <v>288</v>
      </c>
      <c r="C103" s="5" t="s">
        <v>378</v>
      </c>
      <c r="D103" s="5" t="s">
        <v>515</v>
      </c>
      <c r="E103" s="5" t="s">
        <v>77</v>
      </c>
      <c r="F103" s="11" t="n">
        <v>5361.14</v>
      </c>
      <c r="G103" s="12" t="n">
        <v>2.9681</v>
      </c>
      <c r="H103" s="12" t="n">
        <v>3.598</v>
      </c>
      <c r="J103" s="8" t="n">
        <v>0.62971</v>
      </c>
      <c r="K103" s="13" t="str">
        <f aca="false">IF(J103&gt;0,"прибыль",IF(J103&lt;0,"убыток","ноль"))</f>
        <v>прибыль</v>
      </c>
      <c r="L103" s="13" t="n">
        <f aca="false">IF(C103="",L102,IF(J103&lt;0,L102+1,0))</f>
        <v>0</v>
      </c>
      <c r="M103" s="14" t="n">
        <v>629.71</v>
      </c>
      <c r="N103" s="9" t="n">
        <v>3375.97</v>
      </c>
      <c r="O103" s="9" t="n">
        <v>-153355.8</v>
      </c>
    </row>
    <row r="104" customFormat="false" ht="15" hidden="false" customHeight="false" outlineLevel="0" collapsed="false">
      <c r="A104" s="6" t="n">
        <v>99</v>
      </c>
      <c r="B104" s="5" t="s">
        <v>288</v>
      </c>
      <c r="C104" s="5" t="s">
        <v>515</v>
      </c>
      <c r="D104" s="5" t="s">
        <v>516</v>
      </c>
      <c r="E104" s="5" t="s">
        <v>77</v>
      </c>
      <c r="F104" s="11" t="n">
        <v>5407.44</v>
      </c>
      <c r="G104" s="12" t="n">
        <v>3.0727</v>
      </c>
      <c r="H104" s="12" t="n">
        <v>4.352</v>
      </c>
      <c r="I104" s="5" t="s">
        <v>78</v>
      </c>
      <c r="J104" s="8" t="n">
        <v>1.49944</v>
      </c>
      <c r="K104" s="13" t="str">
        <f aca="false">IF(J104&gt;0,"прибыль",IF(J104&lt;0,"убыток","ноль"))</f>
        <v>прибыль</v>
      </c>
      <c r="L104" s="13" t="n">
        <f aca="false">IF(C104="",L103,IF(J104&lt;0,L103+1,0))</f>
        <v>0</v>
      </c>
      <c r="M104" s="14" t="n">
        <v>1499.44</v>
      </c>
      <c r="N104" s="9" t="n">
        <v>8108.13</v>
      </c>
      <c r="O104" s="9" t="n">
        <v>-145247.67</v>
      </c>
    </row>
    <row r="105" customFormat="false" ht="15" hidden="false" customHeight="false" outlineLevel="0" collapsed="false">
      <c r="A105" s="6" t="n">
        <v>100</v>
      </c>
      <c r="B105" s="5" t="s">
        <v>288</v>
      </c>
      <c r="C105" s="5" t="s">
        <v>516</v>
      </c>
      <c r="D105" s="5" t="s">
        <v>525</v>
      </c>
      <c r="E105" s="5" t="s">
        <v>77</v>
      </c>
      <c r="F105" s="11" t="n">
        <v>9405.73</v>
      </c>
      <c r="G105" s="12" t="n">
        <v>3.2918</v>
      </c>
      <c r="H105" s="12" t="n">
        <v>3.3554</v>
      </c>
      <c r="I105" s="5" t="s">
        <v>78</v>
      </c>
      <c r="J105" s="8" t="n">
        <v>-0.27132</v>
      </c>
      <c r="K105" s="13" t="str">
        <f aca="false">IF(J105&gt;0,"прибыль",IF(J105&lt;0,"убыток","ноль"))</f>
        <v>убыток</v>
      </c>
      <c r="L105" s="13" t="n">
        <f aca="false">IF(C105="",L104,IF(J105&lt;0,L104+1,0))</f>
        <v>1</v>
      </c>
      <c r="M105" s="14" t="n">
        <v>-271.32</v>
      </c>
      <c r="N105" s="9" t="n">
        <v>-2551.99</v>
      </c>
      <c r="O105" s="9" t="n">
        <v>-147799.66</v>
      </c>
    </row>
    <row r="106" customFormat="false" ht="15" hidden="false" customHeight="false" outlineLevel="0" collapsed="false">
      <c r="A106" s="6" t="n">
        <v>101</v>
      </c>
      <c r="B106" s="5" t="s">
        <v>288</v>
      </c>
      <c r="C106" s="5" t="s">
        <v>525</v>
      </c>
      <c r="D106" s="5" t="s">
        <v>388</v>
      </c>
      <c r="E106" s="5" t="s">
        <v>77</v>
      </c>
      <c r="F106" s="11" t="n">
        <v>32494.02</v>
      </c>
      <c r="G106" s="12" t="n">
        <v>3.626</v>
      </c>
      <c r="H106" s="12" t="n">
        <v>3.6521</v>
      </c>
      <c r="I106" s="5" t="s">
        <v>78</v>
      </c>
      <c r="J106" s="8" t="n">
        <v>-0.1407</v>
      </c>
      <c r="K106" s="13" t="str">
        <f aca="false">IF(J106&gt;0,"прибыль",IF(J106&lt;0,"убыток","ноль"))</f>
        <v>убыток</v>
      </c>
      <c r="L106" s="13" t="n">
        <f aca="false">IF(C106="",L105,IF(J106&lt;0,L105+1,0))</f>
        <v>2</v>
      </c>
      <c r="M106" s="14" t="n">
        <v>-140.7</v>
      </c>
      <c r="N106" s="9" t="n">
        <v>-4571.85</v>
      </c>
      <c r="O106" s="9" t="n">
        <v>-152371.51</v>
      </c>
    </row>
    <row r="107" customFormat="false" ht="15" hidden="false" customHeight="false" outlineLevel="0" collapsed="false">
      <c r="A107" s="6" t="n">
        <v>102</v>
      </c>
      <c r="B107" s="5" t="s">
        <v>288</v>
      </c>
      <c r="C107" s="5" t="s">
        <v>388</v>
      </c>
      <c r="D107" s="5" t="s">
        <v>398</v>
      </c>
      <c r="E107" s="5" t="s">
        <v>81</v>
      </c>
      <c r="F107" s="11" t="n">
        <v>17879.21</v>
      </c>
      <c r="G107" s="12" t="n">
        <v>2.9881</v>
      </c>
      <c r="H107" s="12" t="n">
        <v>3.4499</v>
      </c>
      <c r="I107" s="5" t="s">
        <v>78</v>
      </c>
      <c r="J107" s="8" t="n">
        <v>0.505</v>
      </c>
      <c r="K107" s="13" t="str">
        <f aca="false">IF(J107&gt;0,"прибыль",IF(J107&lt;0,"убыток","ноль"))</f>
        <v>прибыль</v>
      </c>
      <c r="L107" s="13" t="n">
        <f aca="false">IF(C107="",L106,IF(J107&lt;0,L106+1,0))</f>
        <v>0</v>
      </c>
      <c r="M107" s="14" t="n">
        <v>505</v>
      </c>
      <c r="N107" s="9" t="n">
        <v>9029.08</v>
      </c>
      <c r="O107" s="9" t="n">
        <v>-143342.42</v>
      </c>
    </row>
    <row r="108" customFormat="false" ht="15" hidden="false" customHeight="false" outlineLevel="0" collapsed="false">
      <c r="A108" s="6" t="n">
        <v>103</v>
      </c>
      <c r="B108" s="5" t="s">
        <v>288</v>
      </c>
      <c r="C108" s="5" t="s">
        <v>398</v>
      </c>
      <c r="D108" s="5" t="s">
        <v>530</v>
      </c>
      <c r="E108" s="5" t="s">
        <v>81</v>
      </c>
      <c r="F108" s="11" t="n">
        <v>19081.99</v>
      </c>
      <c r="G108" s="12" t="n">
        <v>3.9556</v>
      </c>
      <c r="H108" s="12" t="n">
        <v>3.3948</v>
      </c>
      <c r="J108" s="8" t="n">
        <v>0.56063</v>
      </c>
      <c r="K108" s="13" t="str">
        <f aca="false">IF(J108&gt;0,"прибыль",IF(J108&lt;0,"убыток","ноль"))</f>
        <v>прибыль</v>
      </c>
      <c r="L108" s="13" t="n">
        <f aca="false">IF(C108="",L107,IF(J108&lt;0,L107+1,0))</f>
        <v>0</v>
      </c>
      <c r="M108" s="14" t="n">
        <v>560.63</v>
      </c>
      <c r="N108" s="9" t="n">
        <v>10697.89</v>
      </c>
      <c r="O108" s="9" t="n">
        <v>-132644.54</v>
      </c>
    </row>
    <row r="109" customFormat="false" ht="15" hidden="false" customHeight="false" outlineLevel="0" collapsed="false">
      <c r="A109" s="6" t="n">
        <v>104</v>
      </c>
      <c r="B109" s="5" t="s">
        <v>288</v>
      </c>
      <c r="C109" s="5" t="s">
        <v>530</v>
      </c>
      <c r="D109" s="5" t="s">
        <v>825</v>
      </c>
      <c r="E109" s="5" t="s">
        <v>81</v>
      </c>
      <c r="F109" s="11" t="n">
        <v>44940.17</v>
      </c>
      <c r="G109" s="12" t="n">
        <v>3.9585</v>
      </c>
      <c r="H109" s="12" t="n">
        <v>4.5552</v>
      </c>
      <c r="I109" s="5" t="s">
        <v>78</v>
      </c>
      <c r="J109" s="8" t="n">
        <v>-0.01637</v>
      </c>
      <c r="K109" s="13" t="str">
        <f aca="false">IF(J109&gt;0,"прибыль",IF(J109&lt;0,"убыток","ноль"))</f>
        <v>убыток</v>
      </c>
      <c r="L109" s="13" t="n">
        <f aca="false">IF(C109="",L108,IF(J109&lt;0,L108+1,0))</f>
        <v>1</v>
      </c>
      <c r="M109" s="14" t="n">
        <v>-16.37</v>
      </c>
      <c r="N109" s="9" t="n">
        <v>-735.78</v>
      </c>
      <c r="O109" s="9" t="n">
        <v>-133380.32</v>
      </c>
    </row>
    <row r="110" customFormat="false" ht="15" hidden="false" customHeight="false" outlineLevel="0" collapsed="false">
      <c r="A110" s="6" t="n">
        <v>105</v>
      </c>
      <c r="B110" s="5" t="s">
        <v>288</v>
      </c>
      <c r="C110" s="5" t="s">
        <v>825</v>
      </c>
      <c r="D110" s="5" t="s">
        <v>403</v>
      </c>
      <c r="E110" s="5" t="s">
        <v>77</v>
      </c>
      <c r="F110" s="11" t="n">
        <v>48136.92</v>
      </c>
      <c r="G110" s="12" t="n">
        <v>4.5552</v>
      </c>
      <c r="H110" s="12" t="n">
        <v>4.4939</v>
      </c>
      <c r="I110" s="5" t="s">
        <v>78</v>
      </c>
      <c r="J110" s="8" t="n">
        <v>-0.01169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2</v>
      </c>
      <c r="M110" s="14" t="n">
        <v>-11.69</v>
      </c>
      <c r="N110" s="9" t="n">
        <v>-562.84</v>
      </c>
      <c r="O110" s="9" t="n">
        <v>-133943.16</v>
      </c>
    </row>
    <row r="111" customFormat="false" ht="15" hidden="false" customHeight="false" outlineLevel="0" collapsed="false">
      <c r="A111" s="6" t="n">
        <v>106</v>
      </c>
      <c r="B111" s="5" t="s">
        <v>288</v>
      </c>
      <c r="C111" s="5" t="s">
        <v>403</v>
      </c>
      <c r="D111" s="5" t="s">
        <v>826</v>
      </c>
      <c r="E111" s="5" t="s">
        <v>81</v>
      </c>
      <c r="F111" s="11" t="n">
        <v>48117.65</v>
      </c>
      <c r="G111" s="12" t="n">
        <v>4.4939</v>
      </c>
      <c r="H111" s="12" t="n">
        <v>4.6012</v>
      </c>
      <c r="J111" s="8" t="n">
        <v>-0.10778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3</v>
      </c>
      <c r="M111" s="14" t="n">
        <v>-107.78</v>
      </c>
      <c r="N111" s="9" t="n">
        <v>-5185.88</v>
      </c>
      <c r="O111" s="9" t="n">
        <v>-139129.04</v>
      </c>
    </row>
    <row r="112" customFormat="false" ht="15" hidden="false" customHeight="false" outlineLevel="0" collapsed="false">
      <c r="A112" s="6" t="n">
        <v>107</v>
      </c>
      <c r="B112" s="5" t="s">
        <v>288</v>
      </c>
      <c r="C112" s="5" t="s">
        <v>826</v>
      </c>
      <c r="D112" s="5" t="s">
        <v>827</v>
      </c>
      <c r="E112" s="5" t="s">
        <v>77</v>
      </c>
      <c r="F112" s="11" t="n">
        <v>47475.18</v>
      </c>
      <c r="G112" s="12" t="n">
        <v>4.6012</v>
      </c>
      <c r="H112" s="12" t="n">
        <v>4.6298</v>
      </c>
      <c r="J112" s="8" t="n">
        <v>0.02814</v>
      </c>
      <c r="K112" s="13" t="str">
        <f aca="false">IF(J112&gt;0,"прибыль",IF(J112&lt;0,"убыток","ноль"))</f>
        <v>прибыль</v>
      </c>
      <c r="L112" s="13" t="n">
        <f aca="false">IF(C112="",L111,IF(J112&lt;0,L111+1,0))</f>
        <v>0</v>
      </c>
      <c r="M112" s="14" t="n">
        <v>28.14</v>
      </c>
      <c r="N112" s="9" t="n">
        <v>1336</v>
      </c>
      <c r="O112" s="9" t="n">
        <v>-137793.05</v>
      </c>
    </row>
    <row r="113" customFormat="false" ht="15" hidden="false" customHeight="false" outlineLevel="0" collapsed="false">
      <c r="A113" s="6" t="n">
        <v>108</v>
      </c>
      <c r="B113" s="5" t="s">
        <v>288</v>
      </c>
      <c r="C113" s="5" t="s">
        <v>827</v>
      </c>
      <c r="D113" s="5" t="s">
        <v>828</v>
      </c>
      <c r="E113" s="5" t="s">
        <v>81</v>
      </c>
      <c r="F113" s="11" t="n">
        <v>47899.16</v>
      </c>
      <c r="G113" s="12" t="n">
        <v>4.6298</v>
      </c>
      <c r="H113" s="12" t="n">
        <v>4.8967</v>
      </c>
      <c r="J113" s="8" t="n">
        <v>-0.26741</v>
      </c>
      <c r="K113" s="13" t="str">
        <f aca="false">IF(J113&gt;0,"прибыль",IF(J113&lt;0,"убыток","ноль"))</f>
        <v>убыток</v>
      </c>
      <c r="L113" s="13" t="n">
        <f aca="false">IF(C113="",L112,IF(J113&lt;0,L112+1,0))</f>
        <v>1</v>
      </c>
      <c r="M113" s="14" t="n">
        <v>-267.41</v>
      </c>
      <c r="N113" s="9" t="n">
        <v>-12808.51</v>
      </c>
      <c r="O113" s="9" t="n">
        <v>-150601.56</v>
      </c>
    </row>
    <row r="114" customFormat="false" ht="15" hidden="false" customHeight="false" outlineLevel="0" collapsed="false">
      <c r="A114" s="6" t="n">
        <v>109</v>
      </c>
      <c r="B114" s="5" t="s">
        <v>288</v>
      </c>
      <c r="C114" s="5" t="s">
        <v>828</v>
      </c>
      <c r="D114" s="5" t="s">
        <v>533</v>
      </c>
      <c r="E114" s="5" t="s">
        <v>77</v>
      </c>
      <c r="F114" s="11" t="n">
        <v>11972.74</v>
      </c>
      <c r="G114" s="12" t="n">
        <v>4.8967</v>
      </c>
      <c r="H114" s="12" t="n">
        <v>4.8374</v>
      </c>
      <c r="J114" s="8" t="n">
        <v>-0.05954</v>
      </c>
      <c r="K114" s="13" t="str">
        <f aca="false">IF(J114&gt;0,"прибыль",IF(J114&lt;0,"убыток","ноль"))</f>
        <v>убыток</v>
      </c>
      <c r="L114" s="13" t="n">
        <f aca="false">IF(C114="",L113,IF(J114&lt;0,L113+1,0))</f>
        <v>2</v>
      </c>
      <c r="M114" s="14" t="n">
        <v>-59.54</v>
      </c>
      <c r="N114" s="9" t="n">
        <v>-712.85</v>
      </c>
      <c r="O114" s="9" t="n">
        <v>-151314.41</v>
      </c>
    </row>
    <row r="115" customFormat="false" ht="15" hidden="false" customHeight="false" outlineLevel="0" collapsed="false">
      <c r="A115" s="6" t="n">
        <v>110</v>
      </c>
      <c r="B115" s="5" t="s">
        <v>288</v>
      </c>
      <c r="C115" s="5" t="s">
        <v>533</v>
      </c>
      <c r="D115" s="5" t="s">
        <v>536</v>
      </c>
      <c r="E115" s="5" t="s">
        <v>77</v>
      </c>
      <c r="F115" s="11" t="n">
        <v>9747.73</v>
      </c>
      <c r="G115" s="12" t="n">
        <v>4.8967</v>
      </c>
      <c r="H115" s="12" t="n">
        <v>4.3985</v>
      </c>
      <c r="J115" s="8" t="n">
        <v>-0.49845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3</v>
      </c>
      <c r="M115" s="14" t="n">
        <v>-498.45</v>
      </c>
      <c r="N115" s="9" t="n">
        <v>-4858.71</v>
      </c>
      <c r="O115" s="9" t="n">
        <v>-156173.12</v>
      </c>
    </row>
    <row r="116" customFormat="false" ht="15" hidden="false" customHeight="false" outlineLevel="0" collapsed="false">
      <c r="A116" s="6" t="n">
        <v>111</v>
      </c>
      <c r="B116" s="5" t="s">
        <v>288</v>
      </c>
      <c r="C116" s="5" t="s">
        <v>536</v>
      </c>
      <c r="D116" s="5" t="s">
        <v>406</v>
      </c>
      <c r="E116" s="5" t="s">
        <v>77</v>
      </c>
      <c r="F116" s="11" t="n">
        <v>30229.99</v>
      </c>
      <c r="G116" s="12" t="n">
        <v>4.6981</v>
      </c>
      <c r="H116" s="12" t="n">
        <v>3.2136</v>
      </c>
      <c r="I116" s="5" t="s">
        <v>78</v>
      </c>
      <c r="J116" s="8" t="n">
        <v>-1.05672</v>
      </c>
      <c r="K116" s="13" t="str">
        <f aca="false">IF(J116&gt;0,"прибыль",IF(J116&lt;0,"убыток","ноль"))</f>
        <v>убыток</v>
      </c>
      <c r="L116" s="13" t="n">
        <f aca="false">IF(C116="",L115,IF(J116&lt;0,L115+1,0))</f>
        <v>4</v>
      </c>
      <c r="M116" s="14" t="n">
        <v>-1056.72</v>
      </c>
      <c r="N116" s="9" t="n">
        <v>-31944.73</v>
      </c>
      <c r="O116" s="9" t="n">
        <v>-188117.85</v>
      </c>
    </row>
    <row r="117" customFormat="false" ht="15" hidden="false" customHeight="false" outlineLevel="0" collapsed="false">
      <c r="A117" s="6" t="n">
        <v>112</v>
      </c>
      <c r="B117" s="5" t="s">
        <v>288</v>
      </c>
      <c r="C117" s="5" t="s">
        <v>406</v>
      </c>
      <c r="D117" s="5" t="s">
        <v>407</v>
      </c>
      <c r="E117" s="5" t="s">
        <v>81</v>
      </c>
      <c r="F117" s="11" t="n">
        <v>31454.28</v>
      </c>
      <c r="G117" s="12" t="n">
        <v>3.2136</v>
      </c>
      <c r="H117" s="12" t="n">
        <v>3.3764</v>
      </c>
      <c r="J117" s="8" t="n">
        <v>-0.16311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5</v>
      </c>
      <c r="M117" s="14" t="n">
        <v>-163.11</v>
      </c>
      <c r="N117" s="9" t="n">
        <v>-5130.37</v>
      </c>
      <c r="O117" s="9" t="n">
        <v>-193248.22</v>
      </c>
    </row>
    <row r="118" customFormat="false" ht="15" hidden="false" customHeight="false" outlineLevel="0" collapsed="false">
      <c r="A118" s="6" t="n">
        <v>113</v>
      </c>
      <c r="B118" s="5" t="s">
        <v>288</v>
      </c>
      <c r="C118" s="5" t="s">
        <v>407</v>
      </c>
      <c r="D118" s="5" t="s">
        <v>537</v>
      </c>
      <c r="E118" s="5" t="s">
        <v>77</v>
      </c>
      <c r="F118" s="11" t="n">
        <v>27118.32</v>
      </c>
      <c r="G118" s="12" t="n">
        <v>3.3764</v>
      </c>
      <c r="H118" s="12" t="n">
        <v>3.1289</v>
      </c>
      <c r="J118" s="8" t="n">
        <v>-0.24776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6</v>
      </c>
      <c r="M118" s="14" t="n">
        <v>-247.76</v>
      </c>
      <c r="N118" s="9" t="n">
        <v>-6718.93</v>
      </c>
      <c r="O118" s="9" t="n">
        <v>-199967.15</v>
      </c>
    </row>
    <row r="119" customFormat="false" ht="15" hidden="false" customHeight="false" outlineLevel="0" collapsed="false">
      <c r="A119" s="6" t="n">
        <v>114</v>
      </c>
      <c r="B119" s="5" t="s">
        <v>288</v>
      </c>
      <c r="C119" s="5" t="s">
        <v>537</v>
      </c>
      <c r="D119" s="5" t="s">
        <v>538</v>
      </c>
      <c r="E119" s="5" t="s">
        <v>81</v>
      </c>
      <c r="F119" s="11" t="n">
        <v>0</v>
      </c>
      <c r="G119" s="12" t="n">
        <v>3.1289</v>
      </c>
      <c r="H119" s="12" t="n">
        <v>3.18</v>
      </c>
      <c r="J119" s="8" t="n">
        <v>-0.05125</v>
      </c>
      <c r="K119" s="13" t="str">
        <f aca="false">IF(J119&gt;0,"прибыль",IF(J119&lt;0,"убыток","ноль"))</f>
        <v>убыток</v>
      </c>
      <c r="L119" s="13" t="n">
        <f aca="false">IF(C119="",L118,IF(J119&lt;0,L118+1,0))</f>
        <v>7</v>
      </c>
      <c r="M119" s="14" t="n">
        <v>-51.25</v>
      </c>
      <c r="N119" s="9" t="n">
        <v>0</v>
      </c>
      <c r="O119" s="9" t="n">
        <v>-199967.15</v>
      </c>
    </row>
    <row r="120" customFormat="false" ht="15" hidden="false" customHeight="false" outlineLevel="0" collapsed="false">
      <c r="A120" s="6" t="n">
        <v>115</v>
      </c>
      <c r="B120" s="5" t="s">
        <v>288</v>
      </c>
      <c r="C120" s="5" t="s">
        <v>538</v>
      </c>
      <c r="D120" s="5" t="s">
        <v>539</v>
      </c>
      <c r="E120" s="5" t="s">
        <v>81</v>
      </c>
      <c r="F120" s="11" t="n">
        <v>28590.3</v>
      </c>
      <c r="G120" s="12" t="n">
        <v>3.1289</v>
      </c>
      <c r="H120" s="12" t="n">
        <v>3.6836</v>
      </c>
      <c r="J120" s="8" t="n">
        <v>-0.55494</v>
      </c>
      <c r="K120" s="13" t="str">
        <f aca="false">IF(J120&gt;0,"прибыль",IF(J120&lt;0,"убыток","ноль"))</f>
        <v>убыток</v>
      </c>
      <c r="L120" s="13" t="n">
        <f aca="false">IF(C120="",L119,IF(J120&lt;0,L119+1,0))</f>
        <v>8</v>
      </c>
      <c r="M120" s="14" t="n">
        <v>-554.94</v>
      </c>
      <c r="N120" s="9" t="n">
        <v>-15865.93</v>
      </c>
      <c r="O120" s="9" t="n">
        <v>-215833.08</v>
      </c>
    </row>
    <row r="121" customFormat="false" ht="15" hidden="false" customHeight="false" outlineLevel="0" collapsed="false">
      <c r="A121" s="6" t="n">
        <v>116</v>
      </c>
      <c r="B121" s="5" t="s">
        <v>288</v>
      </c>
      <c r="C121" s="5" t="s">
        <v>539</v>
      </c>
      <c r="D121" s="5" t="s">
        <v>540</v>
      </c>
      <c r="E121" s="5" t="s">
        <v>77</v>
      </c>
      <c r="F121" s="11" t="n">
        <v>11007.02</v>
      </c>
      <c r="G121" s="12" t="n">
        <v>3.6836</v>
      </c>
      <c r="H121" s="12" t="n">
        <v>5.3178</v>
      </c>
      <c r="J121" s="8" t="n">
        <v>1.63403</v>
      </c>
      <c r="K121" s="13" t="str">
        <f aca="false">IF(J121&gt;0,"прибыль",IF(J121&lt;0,"убыток","ноль"))</f>
        <v>прибыль</v>
      </c>
      <c r="L121" s="13" t="n">
        <f aca="false">IF(C121="",L120,IF(J121&lt;0,L120+1,0))</f>
        <v>0</v>
      </c>
      <c r="M121" s="14" t="n">
        <v>1634.03</v>
      </c>
      <c r="N121" s="9" t="n">
        <v>17985.77</v>
      </c>
      <c r="O121" s="9" t="n">
        <v>-197847.32</v>
      </c>
    </row>
    <row r="122" customFormat="false" ht="15" hidden="false" customHeight="false" outlineLevel="0" collapsed="false">
      <c r="A122" s="6" t="n">
        <v>117</v>
      </c>
      <c r="B122" s="5" t="s">
        <v>288</v>
      </c>
      <c r="C122" s="5" t="s">
        <v>540</v>
      </c>
      <c r="D122" s="5" t="s">
        <v>541</v>
      </c>
      <c r="E122" s="5" t="s">
        <v>77</v>
      </c>
      <c r="F122" s="11" t="n">
        <v>3918.54</v>
      </c>
      <c r="G122" s="12" t="n">
        <v>3.6836</v>
      </c>
      <c r="H122" s="12" t="n">
        <v>6.5138</v>
      </c>
      <c r="J122" s="8" t="n">
        <v>2.8299</v>
      </c>
      <c r="K122" s="13" t="str">
        <f aca="false">IF(J122&gt;0,"прибыль",IF(J122&lt;0,"убыток","ноль"))</f>
        <v>прибыль</v>
      </c>
      <c r="L122" s="13" t="n">
        <f aca="false">IF(C122="",L121,IF(J122&lt;0,L121+1,0))</f>
        <v>0</v>
      </c>
      <c r="M122" s="14" t="n">
        <v>2829.9</v>
      </c>
      <c r="N122" s="9" t="n">
        <v>11089.09</v>
      </c>
      <c r="O122" s="9" t="n">
        <v>-186758.22</v>
      </c>
    </row>
    <row r="123" customFormat="false" ht="15" hidden="false" customHeight="false" outlineLevel="0" collapsed="false">
      <c r="A123" s="6" t="n">
        <v>118</v>
      </c>
      <c r="B123" s="5" t="s">
        <v>288</v>
      </c>
      <c r="C123" s="5" t="s">
        <v>541</v>
      </c>
      <c r="D123" s="5" t="s">
        <v>542</v>
      </c>
      <c r="E123" s="5" t="s">
        <v>77</v>
      </c>
      <c r="F123" s="11" t="n">
        <v>15875.04</v>
      </c>
      <c r="G123" s="12" t="n">
        <v>4.9504</v>
      </c>
      <c r="H123" s="12" t="n">
        <v>3.2783</v>
      </c>
      <c r="I123" s="5" t="s">
        <v>78</v>
      </c>
      <c r="J123" s="8" t="n">
        <v>0.56652</v>
      </c>
      <c r="K123" s="13" t="str">
        <f aca="false">IF(J123&gt;0,"прибыль",IF(J123&lt;0,"убыток","ноль"))</f>
        <v>прибыль</v>
      </c>
      <c r="L123" s="13" t="n">
        <f aca="false">IF(C123="",L122,IF(J123&lt;0,L122+1,0))</f>
        <v>0</v>
      </c>
      <c r="M123" s="14" t="n">
        <v>566.52</v>
      </c>
      <c r="N123" s="9" t="n">
        <v>8993.56</v>
      </c>
      <c r="O123" s="9" t="n">
        <v>-177764.67</v>
      </c>
    </row>
    <row r="124" customFormat="false" ht="15" hidden="false" customHeight="false" outlineLevel="0" collapsed="false">
      <c r="A124" s="6" t="n">
        <v>119</v>
      </c>
      <c r="B124" s="5" t="s">
        <v>288</v>
      </c>
      <c r="C124" s="5" t="s">
        <v>542</v>
      </c>
      <c r="D124" s="5" t="s">
        <v>829</v>
      </c>
      <c r="E124" s="5" t="s">
        <v>77</v>
      </c>
      <c r="F124" s="11" t="n">
        <v>49376.65</v>
      </c>
      <c r="G124" s="12" t="n">
        <v>2.7112</v>
      </c>
      <c r="H124" s="12" t="n">
        <v>2.9696</v>
      </c>
      <c r="J124" s="8" t="n">
        <v>0.25815</v>
      </c>
      <c r="K124" s="13" t="str">
        <f aca="false">IF(J124&gt;0,"прибыль",IF(J124&lt;0,"убыток","ноль"))</f>
        <v>прибыль</v>
      </c>
      <c r="L124" s="13" t="n">
        <f aca="false">IF(C124="",L123,IF(J124&lt;0,L123+1,0))</f>
        <v>0</v>
      </c>
      <c r="M124" s="14" t="n">
        <v>258.15</v>
      </c>
      <c r="N124" s="9" t="n">
        <v>12746.38</v>
      </c>
      <c r="O124" s="9" t="n">
        <v>-165018.29</v>
      </c>
    </row>
    <row r="125" customFormat="false" ht="15" hidden="false" customHeight="false" outlineLevel="0" collapsed="false">
      <c r="A125" s="6" t="n">
        <v>120</v>
      </c>
      <c r="B125" s="5" t="s">
        <v>288</v>
      </c>
      <c r="C125" s="5" t="s">
        <v>829</v>
      </c>
      <c r="D125" s="5" t="s">
        <v>830</v>
      </c>
      <c r="E125" s="5" t="s">
        <v>81</v>
      </c>
      <c r="F125" s="11" t="n">
        <v>0</v>
      </c>
      <c r="G125" s="12" t="n">
        <v>2.9696</v>
      </c>
      <c r="H125" s="12" t="n">
        <v>3.2139</v>
      </c>
      <c r="J125" s="8" t="n">
        <v>-0.24445</v>
      </c>
      <c r="K125" s="13" t="str">
        <f aca="false">IF(J125&gt;0,"прибыль",IF(J125&lt;0,"убыток","ноль"))</f>
        <v>убыток</v>
      </c>
      <c r="L125" s="13" t="n">
        <f aca="false">IF(C125="",L124,IF(J125&lt;0,L124+1,0))</f>
        <v>1</v>
      </c>
      <c r="M125" s="14" t="n">
        <v>-244.45</v>
      </c>
      <c r="N125" s="9" t="n">
        <v>0</v>
      </c>
      <c r="O125" s="9" t="n">
        <v>-165018.29</v>
      </c>
    </row>
    <row r="126" customFormat="false" ht="15" hidden="false" customHeight="false" outlineLevel="0" collapsed="false">
      <c r="A126" s="6" t="n">
        <v>121</v>
      </c>
      <c r="B126" s="5" t="s">
        <v>288</v>
      </c>
      <c r="C126" s="5" t="s">
        <v>830</v>
      </c>
      <c r="D126" s="5" t="s">
        <v>413</v>
      </c>
      <c r="E126" s="5" t="s">
        <v>81</v>
      </c>
      <c r="F126" s="11" t="n">
        <v>31599.39</v>
      </c>
      <c r="G126" s="12" t="n">
        <v>2.7872</v>
      </c>
      <c r="H126" s="12" t="n">
        <v>2.9505</v>
      </c>
      <c r="I126" s="5" t="s">
        <v>78</v>
      </c>
      <c r="J126" s="8" t="n">
        <v>0.12274</v>
      </c>
      <c r="K126" s="13" t="str">
        <f aca="false">IF(J126&gt;0,"прибыль",IF(J126&lt;0,"убыток","ноль"))</f>
        <v>прибыль</v>
      </c>
      <c r="L126" s="13" t="n">
        <f aca="false">IF(C126="",L125,IF(J126&lt;0,L125+1,0))</f>
        <v>0</v>
      </c>
      <c r="M126" s="14" t="n">
        <v>122.74</v>
      </c>
      <c r="N126" s="9" t="n">
        <v>3878.43</v>
      </c>
      <c r="O126" s="9" t="n">
        <v>-161139.85</v>
      </c>
    </row>
    <row r="127" customFormat="false" ht="15" hidden="false" customHeight="false" outlineLevel="0" collapsed="false">
      <c r="A127" s="6" t="n">
        <v>122</v>
      </c>
      <c r="B127" s="5" t="s">
        <v>288</v>
      </c>
      <c r="C127" s="5" t="s">
        <v>413</v>
      </c>
      <c r="D127" s="5" t="s">
        <v>831</v>
      </c>
      <c r="E127" s="5" t="s">
        <v>81</v>
      </c>
      <c r="F127" s="11" t="n">
        <v>98052.53</v>
      </c>
      <c r="G127" s="12" t="n">
        <v>2.9233</v>
      </c>
      <c r="H127" s="12" t="n">
        <v>2.7052</v>
      </c>
      <c r="I127" s="5" t="s">
        <v>78</v>
      </c>
      <c r="J127" s="8" t="n">
        <v>0.48683</v>
      </c>
      <c r="K127" s="13" t="str">
        <f aca="false">IF(J127&gt;0,"прибыль",IF(J127&lt;0,"убыток","ноль"))</f>
        <v>прибыль</v>
      </c>
      <c r="L127" s="13" t="n">
        <f aca="false">IF(C127="",L126,IF(J127&lt;0,L126+1,0))</f>
        <v>0</v>
      </c>
      <c r="M127" s="14" t="n">
        <v>486.83</v>
      </c>
      <c r="N127" s="9" t="n">
        <v>47735.23</v>
      </c>
      <c r="O127" s="9" t="n">
        <v>-113404.63</v>
      </c>
    </row>
    <row r="128" customFormat="false" ht="15" hidden="false" customHeight="false" outlineLevel="0" collapsed="false">
      <c r="A128" s="6" t="n">
        <v>123</v>
      </c>
      <c r="B128" s="5" t="s">
        <v>288</v>
      </c>
      <c r="C128" s="5" t="s">
        <v>831</v>
      </c>
      <c r="D128" s="5" t="s">
        <v>424</v>
      </c>
      <c r="E128" s="5" t="s">
        <v>77</v>
      </c>
      <c r="F128" s="11" t="n">
        <v>97403.63</v>
      </c>
      <c r="G128" s="12" t="n">
        <v>2.7052</v>
      </c>
      <c r="H128" s="12" t="n">
        <v>2.637</v>
      </c>
      <c r="J128" s="8" t="n">
        <v>-0.0685</v>
      </c>
      <c r="K128" s="13" t="str">
        <f aca="false">IF(J128&gt;0,"прибыль",IF(J128&lt;0,"убыток","ноль"))</f>
        <v>убыток</v>
      </c>
      <c r="L128" s="13" t="n">
        <f aca="false">IF(C128="",L127,IF(J128&lt;0,L127+1,0))</f>
        <v>1</v>
      </c>
      <c r="M128" s="14" t="n">
        <v>-68.5</v>
      </c>
      <c r="N128" s="9" t="n">
        <v>-6671.69</v>
      </c>
      <c r="O128" s="9" t="n">
        <v>-120076.32</v>
      </c>
    </row>
    <row r="129" customFormat="false" ht="15" hidden="false" customHeight="false" outlineLevel="0" collapsed="false">
      <c r="A129" s="6" t="n">
        <v>124</v>
      </c>
      <c r="B129" s="5" t="s">
        <v>288</v>
      </c>
      <c r="C129" s="5" t="s">
        <v>424</v>
      </c>
      <c r="D129" s="5" t="s">
        <v>832</v>
      </c>
      <c r="E129" s="5" t="s">
        <v>81</v>
      </c>
      <c r="F129" s="11" t="n">
        <v>101518.05</v>
      </c>
      <c r="G129" s="12" t="n">
        <v>2.637</v>
      </c>
      <c r="H129" s="12" t="n">
        <v>2.6872</v>
      </c>
      <c r="J129" s="8" t="n">
        <v>-0.05048</v>
      </c>
      <c r="K129" s="13" t="str">
        <f aca="false">IF(J129&gt;0,"прибыль",IF(J129&lt;0,"убыток","ноль"))</f>
        <v>убыток</v>
      </c>
      <c r="L129" s="13" t="n">
        <f aca="false">IF(C129="",L128,IF(J129&lt;0,L128+1,0))</f>
        <v>2</v>
      </c>
      <c r="M129" s="14" t="n">
        <v>-50.48</v>
      </c>
      <c r="N129" s="9" t="n">
        <v>-5125.14</v>
      </c>
      <c r="O129" s="9" t="n">
        <v>-125201.46</v>
      </c>
    </row>
    <row r="130" customFormat="false" ht="15" hidden="false" customHeight="false" outlineLevel="0" collapsed="false">
      <c r="A130" s="6" t="n">
        <v>125</v>
      </c>
      <c r="B130" s="5" t="s">
        <v>288</v>
      </c>
      <c r="C130" s="5" t="s">
        <v>832</v>
      </c>
      <c r="D130" s="5" t="s">
        <v>833</v>
      </c>
      <c r="E130" s="5" t="s">
        <v>77</v>
      </c>
      <c r="F130" s="11" t="n">
        <v>96786.18</v>
      </c>
      <c r="G130" s="12" t="n">
        <v>2.6872</v>
      </c>
      <c r="H130" s="12" t="n">
        <v>2.7756</v>
      </c>
      <c r="J130" s="8" t="n">
        <v>0.08812</v>
      </c>
      <c r="K130" s="13" t="str">
        <f aca="false">IF(J130&gt;0,"прибыль",IF(J130&lt;0,"убыток","ноль"))</f>
        <v>прибыль</v>
      </c>
      <c r="L130" s="13" t="n">
        <f aca="false">IF(C130="",L129,IF(J130&lt;0,L129+1,0))</f>
        <v>0</v>
      </c>
      <c r="M130" s="14" t="n">
        <v>88.12</v>
      </c>
      <c r="N130" s="9" t="n">
        <v>8528.45</v>
      </c>
      <c r="O130" s="9" t="n">
        <v>-116673.01</v>
      </c>
    </row>
    <row r="131" customFormat="false" ht="15" hidden="false" customHeight="false" outlineLevel="0" collapsed="false">
      <c r="A131" s="6" t="n">
        <v>126</v>
      </c>
      <c r="B131" s="5" t="s">
        <v>288</v>
      </c>
      <c r="C131" s="5" t="s">
        <v>833</v>
      </c>
      <c r="D131" s="5" t="s">
        <v>834</v>
      </c>
      <c r="E131" s="5" t="s">
        <v>81</v>
      </c>
      <c r="F131" s="11" t="n">
        <v>85940.03</v>
      </c>
      <c r="G131" s="12" t="n">
        <v>2.7756</v>
      </c>
      <c r="H131" s="12" t="n">
        <v>2.9041</v>
      </c>
      <c r="I131" s="5" t="s">
        <v>78</v>
      </c>
      <c r="J131" s="8" t="n">
        <v>-0.04091</v>
      </c>
      <c r="K131" s="13" t="str">
        <f aca="false">IF(J131&gt;0,"прибыль",IF(J131&lt;0,"убыток","ноль"))</f>
        <v>убыток</v>
      </c>
      <c r="L131" s="13" t="n">
        <f aca="false">IF(C131="",L130,IF(J131&lt;0,L130+1,0))</f>
        <v>1</v>
      </c>
      <c r="M131" s="14" t="n">
        <v>-40.91</v>
      </c>
      <c r="N131" s="9" t="n">
        <v>-3516.11</v>
      </c>
      <c r="O131" s="9" t="n">
        <v>-120189.12</v>
      </c>
    </row>
    <row r="132" customFormat="false" ht="15" hidden="false" customHeight="false" outlineLevel="0" collapsed="false">
      <c r="A132" s="6" t="n">
        <v>127</v>
      </c>
      <c r="B132" s="5" t="s">
        <v>288</v>
      </c>
      <c r="C132" s="5" t="s">
        <v>834</v>
      </c>
      <c r="D132" s="5" t="s">
        <v>835</v>
      </c>
      <c r="E132" s="5" t="s">
        <v>77</v>
      </c>
      <c r="F132" s="11" t="n">
        <v>136513.2</v>
      </c>
      <c r="G132" s="12" t="n">
        <v>2.9188</v>
      </c>
      <c r="H132" s="12" t="n">
        <v>2.8011</v>
      </c>
      <c r="J132" s="8" t="n">
        <v>-0.11798</v>
      </c>
      <c r="K132" s="13" t="str">
        <f aca="false">IF(J132&gt;0,"прибыль",IF(J132&lt;0,"убыток","ноль"))</f>
        <v>убыток</v>
      </c>
      <c r="L132" s="13" t="n">
        <f aca="false">IF(C132="",L131,IF(J132&lt;0,L131+1,0))</f>
        <v>2</v>
      </c>
      <c r="M132" s="14" t="n">
        <v>-117.98</v>
      </c>
      <c r="N132" s="9" t="n">
        <v>-16105.67</v>
      </c>
      <c r="O132" s="9" t="n">
        <v>-136294.79</v>
      </c>
    </row>
    <row r="133" customFormat="false" ht="15" hidden="false" customHeight="false" outlineLevel="0" collapsed="false">
      <c r="A133" s="6" t="n">
        <v>128</v>
      </c>
      <c r="B133" s="5" t="s">
        <v>288</v>
      </c>
      <c r="C133" s="5" t="s">
        <v>835</v>
      </c>
      <c r="D133" s="5" t="s">
        <v>427</v>
      </c>
      <c r="E133" s="5" t="s">
        <v>81</v>
      </c>
      <c r="F133" s="11" t="n">
        <v>0</v>
      </c>
      <c r="G133" s="12" t="n">
        <v>2.8011</v>
      </c>
      <c r="H133" s="12" t="n">
        <v>2.841</v>
      </c>
      <c r="J133" s="8" t="n">
        <v>-0.04004</v>
      </c>
      <c r="K133" s="13" t="str">
        <f aca="false">IF(J133&gt;0,"прибыль",IF(J133&lt;0,"убыток","ноль"))</f>
        <v>убыток</v>
      </c>
      <c r="L133" s="13" t="n">
        <f aca="false">IF(C133="",L132,IF(J133&lt;0,L132+1,0))</f>
        <v>3</v>
      </c>
      <c r="M133" s="14" t="n">
        <v>-40.04</v>
      </c>
      <c r="N133" s="9" t="n">
        <v>0</v>
      </c>
      <c r="O133" s="9" t="n">
        <v>-136294.79</v>
      </c>
    </row>
    <row r="134" customFormat="false" ht="15" hidden="false" customHeight="false" outlineLevel="0" collapsed="false">
      <c r="A134" s="6" t="n">
        <v>129</v>
      </c>
      <c r="B134" s="5" t="s">
        <v>288</v>
      </c>
      <c r="C134" s="5" t="s">
        <v>427</v>
      </c>
      <c r="D134" s="5" t="s">
        <v>546</v>
      </c>
      <c r="E134" s="5" t="s">
        <v>81</v>
      </c>
      <c r="F134" s="11" t="n">
        <v>43355.06</v>
      </c>
      <c r="G134" s="12" t="n">
        <v>2.8011</v>
      </c>
      <c r="H134" s="12" t="n">
        <v>3.0273</v>
      </c>
      <c r="J134" s="8" t="n">
        <v>-0.22639</v>
      </c>
      <c r="K134" s="13" t="str">
        <f aca="false">IF(J134&gt;0,"прибыль",IF(J134&lt;0,"убыток","ноль"))</f>
        <v>убыток</v>
      </c>
      <c r="L134" s="13" t="n">
        <f aca="false">IF(C134="",L133,IF(J134&lt;0,L133+1,0))</f>
        <v>4</v>
      </c>
      <c r="M134" s="14" t="n">
        <v>-226.39</v>
      </c>
      <c r="N134" s="9" t="n">
        <v>-9815.01</v>
      </c>
      <c r="O134" s="9" t="n">
        <v>-146109.8</v>
      </c>
    </row>
    <row r="135" customFormat="false" ht="15" hidden="false" customHeight="false" outlineLevel="0" collapsed="false">
      <c r="A135" s="6" t="n">
        <v>130</v>
      </c>
      <c r="B135" s="5" t="s">
        <v>288</v>
      </c>
      <c r="C135" s="5" t="s">
        <v>546</v>
      </c>
      <c r="D135" s="5" t="s">
        <v>547</v>
      </c>
      <c r="E135" s="5" t="s">
        <v>81</v>
      </c>
      <c r="F135" s="11" t="n">
        <v>14052.64</v>
      </c>
      <c r="G135" s="12" t="n">
        <v>2.8011</v>
      </c>
      <c r="H135" s="12" t="n">
        <v>3.1882</v>
      </c>
      <c r="J135" s="8" t="n">
        <v>-0.38727</v>
      </c>
      <c r="K135" s="13" t="str">
        <f aca="false">IF(J135&gt;0,"прибыль",IF(J135&lt;0,"убыток","ноль"))</f>
        <v>убыток</v>
      </c>
      <c r="L135" s="13" t="n">
        <f aca="false">IF(C135="",L134,IF(J135&lt;0,L134+1,0))</f>
        <v>5</v>
      </c>
      <c r="M135" s="14" t="n">
        <v>-387.27</v>
      </c>
      <c r="N135" s="9" t="n">
        <v>-5442.18</v>
      </c>
      <c r="O135" s="9" t="n">
        <v>-151551.98</v>
      </c>
    </row>
    <row r="136" customFormat="false" ht="15" hidden="false" customHeight="false" outlineLevel="0" collapsed="false">
      <c r="A136" s="6" t="n">
        <v>131</v>
      </c>
      <c r="B136" s="5" t="s">
        <v>288</v>
      </c>
      <c r="D136" s="5" t="s">
        <v>428</v>
      </c>
      <c r="E136" s="5" t="s">
        <v>81</v>
      </c>
      <c r="F136" s="11" t="n">
        <v>53948.62</v>
      </c>
      <c r="H136" s="12" t="n">
        <v>3.043</v>
      </c>
      <c r="J136" s="8" t="n">
        <v>-0.28573</v>
      </c>
      <c r="K136" s="13" t="str">
        <f aca="false">IF(J136&gt;0,"прибыль",IF(J136&lt;0,"убыток","ноль"))</f>
        <v>убыток</v>
      </c>
      <c r="L136" s="13" t="n">
        <f aca="false">IF(C136="",L135,IF(J136&lt;0,L135+1,0))</f>
        <v>5</v>
      </c>
      <c r="M136" s="14" t="n">
        <v>-285.73</v>
      </c>
      <c r="N136" s="9" t="n">
        <v>-15414.93</v>
      </c>
      <c r="O136" s="9" t="n">
        <v>-166966.9</v>
      </c>
      <c r="P136" s="5" t="s">
        <v>429</v>
      </c>
    </row>
  </sheetData>
  <autoFilter ref="A5:P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836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776</v>
      </c>
      <c r="D6" s="5" t="s">
        <v>837</v>
      </c>
      <c r="E6" s="5" t="s">
        <v>81</v>
      </c>
      <c r="F6" s="11" t="n">
        <v>2332.81</v>
      </c>
      <c r="G6" s="12" t="n">
        <v>43.9414</v>
      </c>
      <c r="H6" s="12" t="n">
        <v>46.059</v>
      </c>
      <c r="I6" s="5" t="s">
        <v>78</v>
      </c>
      <c r="J6" s="8" t="n">
        <v>-1.44031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-144.03</v>
      </c>
      <c r="N6" s="9" t="n">
        <v>-3359.96</v>
      </c>
      <c r="O6" s="9" t="n">
        <v>-3359.96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837</v>
      </c>
      <c r="D7" s="5" t="s">
        <v>434</v>
      </c>
      <c r="E7" s="5" t="s">
        <v>81</v>
      </c>
      <c r="F7" s="11" t="n">
        <v>2590.24</v>
      </c>
      <c r="G7" s="12" t="n">
        <v>44.6321</v>
      </c>
      <c r="H7" s="12" t="n">
        <v>39.8974</v>
      </c>
      <c r="I7" s="5" t="s">
        <v>78</v>
      </c>
      <c r="J7" s="8" t="n">
        <v>5.19782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519.78</v>
      </c>
      <c r="N7" s="9" t="n">
        <v>13463.6</v>
      </c>
      <c r="O7" s="9" t="n">
        <v>10103.64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434</v>
      </c>
      <c r="D8" s="5" t="s">
        <v>435</v>
      </c>
      <c r="E8" s="5" t="s">
        <v>81</v>
      </c>
      <c r="F8" s="11" t="n">
        <v>6572.45</v>
      </c>
      <c r="G8" s="12" t="n">
        <v>45.0972</v>
      </c>
      <c r="H8" s="12" t="n">
        <v>40.749</v>
      </c>
      <c r="J8" s="8" t="n">
        <v>4.34417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434.42</v>
      </c>
      <c r="N8" s="9" t="n">
        <v>28551.86</v>
      </c>
      <c r="O8" s="9" t="n">
        <v>38655.5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435</v>
      </c>
      <c r="D9" s="5" t="s">
        <v>436</v>
      </c>
      <c r="E9" s="5" t="s">
        <v>77</v>
      </c>
      <c r="F9" s="11" t="n">
        <v>6335.85</v>
      </c>
      <c r="G9" s="12" t="n">
        <v>40.749</v>
      </c>
      <c r="H9" s="12" t="n">
        <v>39.7614</v>
      </c>
      <c r="J9" s="8" t="n">
        <v>-0.99164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1</v>
      </c>
      <c r="M9" s="14" t="n">
        <v>-99.16</v>
      </c>
      <c r="N9" s="9" t="n">
        <v>-6282.86</v>
      </c>
      <c r="O9" s="9" t="n">
        <v>32372.63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436</v>
      </c>
      <c r="D10" s="5" t="s">
        <v>437</v>
      </c>
      <c r="E10" s="5" t="s">
        <v>81</v>
      </c>
      <c r="F10" s="11" t="n">
        <v>6357.25</v>
      </c>
      <c r="G10" s="12" t="n">
        <v>39.7614</v>
      </c>
      <c r="H10" s="12" t="n">
        <v>39.9792</v>
      </c>
      <c r="J10" s="8" t="n">
        <v>-0.22174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2</v>
      </c>
      <c r="M10" s="14" t="n">
        <v>-22.17</v>
      </c>
      <c r="N10" s="9" t="n">
        <v>-1409.68</v>
      </c>
      <c r="O10" s="9" t="n">
        <v>30962.96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437</v>
      </c>
      <c r="D11" s="5" t="s">
        <v>777</v>
      </c>
      <c r="E11" s="5" t="s">
        <v>77</v>
      </c>
      <c r="F11" s="11" t="n">
        <v>6251.98</v>
      </c>
      <c r="G11" s="12" t="n">
        <v>39.9792</v>
      </c>
      <c r="H11" s="12" t="n">
        <v>39.5518</v>
      </c>
      <c r="J11" s="8" t="n">
        <v>-0.43134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3</v>
      </c>
      <c r="M11" s="14" t="n">
        <v>-43.13</v>
      </c>
      <c r="N11" s="9" t="n">
        <v>-2696.73</v>
      </c>
      <c r="O11" s="9" t="n">
        <v>28266.22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777</v>
      </c>
      <c r="D12" s="5" t="s">
        <v>281</v>
      </c>
      <c r="E12" s="5" t="s">
        <v>81</v>
      </c>
      <c r="F12" s="11" t="n">
        <v>6419.36</v>
      </c>
      <c r="G12" s="12" t="n">
        <v>39.5518</v>
      </c>
      <c r="H12" s="12" t="n">
        <v>40.8128</v>
      </c>
      <c r="J12" s="8" t="n">
        <v>-1.26483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4</v>
      </c>
      <c r="M12" s="14" t="n">
        <v>-126.48</v>
      </c>
      <c r="N12" s="9" t="n">
        <v>-8119.39</v>
      </c>
      <c r="O12" s="9" t="n">
        <v>20146.83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281</v>
      </c>
      <c r="D13" s="5" t="s">
        <v>440</v>
      </c>
      <c r="E13" s="5" t="s">
        <v>77</v>
      </c>
      <c r="F13" s="11" t="n">
        <v>5755.75</v>
      </c>
      <c r="G13" s="12" t="n">
        <v>40.8128</v>
      </c>
      <c r="H13" s="12" t="n">
        <v>41.7997</v>
      </c>
      <c r="J13" s="8" t="n">
        <v>0.98302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98.3</v>
      </c>
      <c r="N13" s="9" t="n">
        <v>5658</v>
      </c>
      <c r="O13" s="9" t="n">
        <v>25804.83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440</v>
      </c>
      <c r="D14" s="5" t="s">
        <v>624</v>
      </c>
      <c r="E14" s="5" t="s">
        <v>81</v>
      </c>
      <c r="F14" s="11" t="n">
        <v>4881.24</v>
      </c>
      <c r="G14" s="12" t="n">
        <v>41.7997</v>
      </c>
      <c r="H14" s="12" t="n">
        <v>42.5622</v>
      </c>
      <c r="J14" s="8" t="n">
        <v>-0.76675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1</v>
      </c>
      <c r="M14" s="14" t="n">
        <v>-76.67</v>
      </c>
      <c r="N14" s="9" t="n">
        <v>-3742.67</v>
      </c>
      <c r="O14" s="9" t="n">
        <v>22062.16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624</v>
      </c>
      <c r="D15" s="5" t="s">
        <v>283</v>
      </c>
      <c r="E15" s="5" t="s">
        <v>77</v>
      </c>
      <c r="F15" s="11" t="n">
        <v>1544.41</v>
      </c>
      <c r="G15" s="12" t="n">
        <v>41.4075</v>
      </c>
      <c r="H15" s="12" t="n">
        <v>42.2235</v>
      </c>
      <c r="I15" s="5" t="s">
        <v>78</v>
      </c>
      <c r="J15" s="8" t="n">
        <v>-1.08481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2</v>
      </c>
      <c r="M15" s="14" t="n">
        <v>-108.48</v>
      </c>
      <c r="N15" s="9" t="n">
        <v>-1675.39</v>
      </c>
      <c r="O15" s="9" t="n">
        <v>20386.77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283</v>
      </c>
      <c r="D16" s="5" t="s">
        <v>287</v>
      </c>
      <c r="E16" s="5" t="s">
        <v>77</v>
      </c>
      <c r="F16" s="11" t="n">
        <v>2349.46</v>
      </c>
      <c r="G16" s="12" t="n">
        <v>46.1136</v>
      </c>
      <c r="H16" s="12" t="n">
        <v>53.5854</v>
      </c>
      <c r="I16" s="5" t="s">
        <v>78</v>
      </c>
      <c r="J16" s="8" t="n">
        <v>7.55494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755.49</v>
      </c>
      <c r="N16" s="9" t="n">
        <v>17750</v>
      </c>
      <c r="O16" s="9" t="n">
        <v>38136.77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287</v>
      </c>
      <c r="D17" s="5" t="s">
        <v>289</v>
      </c>
      <c r="E17" s="5" t="s">
        <v>77</v>
      </c>
      <c r="F17" s="11" t="n">
        <v>1300.05</v>
      </c>
      <c r="G17" s="12" t="n">
        <v>48.9863</v>
      </c>
      <c r="H17" s="12" t="n">
        <v>67.022</v>
      </c>
      <c r="I17" s="5" t="s">
        <v>78</v>
      </c>
      <c r="J17" s="8" t="n">
        <v>17.55581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1755.58</v>
      </c>
      <c r="N17" s="9" t="n">
        <v>22823.41</v>
      </c>
      <c r="O17" s="9" t="n">
        <v>60960.18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289</v>
      </c>
      <c r="D18" s="5" t="s">
        <v>290</v>
      </c>
      <c r="E18" s="5" t="s">
        <v>77</v>
      </c>
      <c r="F18" s="11" t="n">
        <v>1291.17</v>
      </c>
      <c r="G18" s="12" t="n">
        <v>49.4596</v>
      </c>
      <c r="H18" s="12" t="n">
        <v>67.1081</v>
      </c>
      <c r="I18" s="5" t="s">
        <v>78</v>
      </c>
      <c r="J18" s="8" t="n">
        <v>19.62478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1962.48</v>
      </c>
      <c r="N18" s="9" t="n">
        <v>25338.86</v>
      </c>
      <c r="O18" s="9" t="n">
        <v>86299.04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290</v>
      </c>
      <c r="D19" s="5" t="s">
        <v>291</v>
      </c>
      <c r="E19" s="5" t="s">
        <v>77</v>
      </c>
      <c r="F19" s="11" t="n">
        <v>1133.16</v>
      </c>
      <c r="G19" s="12" t="n">
        <v>47.48</v>
      </c>
      <c r="H19" s="12" t="n">
        <v>62.7629</v>
      </c>
      <c r="J19" s="8" t="n">
        <v>15.27977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1527.98</v>
      </c>
      <c r="N19" s="9" t="n">
        <v>17314.36</v>
      </c>
      <c r="O19" s="9" t="n">
        <v>103613.39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291</v>
      </c>
      <c r="D20" s="5" t="s">
        <v>292</v>
      </c>
      <c r="E20" s="5" t="s">
        <v>77</v>
      </c>
      <c r="F20" s="11" t="n">
        <v>619.61</v>
      </c>
      <c r="G20" s="12" t="n">
        <v>47.48</v>
      </c>
      <c r="H20" s="12" t="n">
        <v>64.2656</v>
      </c>
      <c r="J20" s="8" t="n">
        <v>16.78238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1678.24</v>
      </c>
      <c r="N20" s="9" t="n">
        <v>10398.48</v>
      </c>
      <c r="O20" s="9" t="n">
        <v>114011.88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292</v>
      </c>
      <c r="D21" s="5" t="s">
        <v>593</v>
      </c>
      <c r="E21" s="5" t="s">
        <v>77</v>
      </c>
      <c r="F21" s="11" t="n">
        <v>1148.42</v>
      </c>
      <c r="G21" s="12" t="n">
        <v>57.5215</v>
      </c>
      <c r="H21" s="12" t="n">
        <v>66.655</v>
      </c>
      <c r="I21" s="5" t="s">
        <v>78</v>
      </c>
      <c r="J21" s="8" t="n">
        <v>8.63176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863.18</v>
      </c>
      <c r="N21" s="9" t="n">
        <v>9912.9</v>
      </c>
      <c r="O21" s="9" t="n">
        <v>123924.77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593</v>
      </c>
      <c r="D22" s="5" t="s">
        <v>297</v>
      </c>
      <c r="E22" s="5" t="s">
        <v>77</v>
      </c>
      <c r="F22" s="11" t="n">
        <v>2702.92</v>
      </c>
      <c r="G22" s="12" t="n">
        <v>66.762</v>
      </c>
      <c r="H22" s="12" t="n">
        <v>74.7837</v>
      </c>
      <c r="I22" s="5" t="s">
        <v>78</v>
      </c>
      <c r="J22" s="8" t="n">
        <v>7.74702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774.7</v>
      </c>
      <c r="N22" s="9" t="n">
        <v>20939.55</v>
      </c>
      <c r="O22" s="9" t="n">
        <v>144864.32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297</v>
      </c>
      <c r="D23" s="5" t="s">
        <v>298</v>
      </c>
      <c r="E23" s="5" t="s">
        <v>77</v>
      </c>
      <c r="F23" s="11" t="n">
        <v>5319.71</v>
      </c>
      <c r="G23" s="12" t="n">
        <v>67.0269</v>
      </c>
      <c r="H23" s="12" t="n">
        <v>68.6246</v>
      </c>
      <c r="J23" s="8" t="n">
        <v>1.59198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159.2</v>
      </c>
      <c r="N23" s="9" t="n">
        <v>8468.88</v>
      </c>
      <c r="O23" s="9" t="n">
        <v>153333.2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298</v>
      </c>
      <c r="D24" s="5" t="s">
        <v>299</v>
      </c>
      <c r="E24" s="5" t="s">
        <v>81</v>
      </c>
      <c r="F24" s="11" t="n">
        <v>3596.26</v>
      </c>
      <c r="G24" s="12" t="n">
        <v>68.6246</v>
      </c>
      <c r="H24" s="12" t="n">
        <v>72.2818</v>
      </c>
      <c r="J24" s="8" t="n">
        <v>-3.6637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-366.37</v>
      </c>
      <c r="N24" s="9" t="n">
        <v>-13175.62</v>
      </c>
      <c r="O24" s="9" t="n">
        <v>140157.58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299</v>
      </c>
      <c r="D25" s="5" t="s">
        <v>779</v>
      </c>
      <c r="E25" s="5" t="s">
        <v>77</v>
      </c>
      <c r="F25" s="11" t="n">
        <v>2909.81</v>
      </c>
      <c r="G25" s="12" t="n">
        <v>72.2818</v>
      </c>
      <c r="H25" s="12" t="n">
        <v>74.0734</v>
      </c>
      <c r="J25" s="8" t="n">
        <v>1.78446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178.45</v>
      </c>
      <c r="N25" s="9" t="n">
        <v>5192.43</v>
      </c>
      <c r="O25" s="9" t="n">
        <v>145350.02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779</v>
      </c>
      <c r="D26" s="5" t="s">
        <v>780</v>
      </c>
      <c r="E26" s="5" t="s">
        <v>81</v>
      </c>
      <c r="F26" s="11" t="n">
        <v>2763.69</v>
      </c>
      <c r="G26" s="12" t="n">
        <v>74.0734</v>
      </c>
      <c r="H26" s="12" t="n">
        <v>74.9461</v>
      </c>
      <c r="J26" s="8" t="n">
        <v>-0.88018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1</v>
      </c>
      <c r="M26" s="14" t="n">
        <v>-88.02</v>
      </c>
      <c r="N26" s="9" t="n">
        <v>-2432.56</v>
      </c>
      <c r="O26" s="9" t="n">
        <v>142917.46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780</v>
      </c>
      <c r="D27" s="5" t="s">
        <v>782</v>
      </c>
      <c r="E27" s="5" t="s">
        <v>77</v>
      </c>
      <c r="F27" s="11" t="n">
        <v>2789.08</v>
      </c>
      <c r="G27" s="12" t="n">
        <v>74.9461</v>
      </c>
      <c r="H27" s="12" t="n">
        <v>75.7714</v>
      </c>
      <c r="J27" s="8" t="n">
        <v>0.81781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81.78</v>
      </c>
      <c r="N27" s="9" t="n">
        <v>2280.95</v>
      </c>
      <c r="O27" s="9" t="n">
        <v>145198.41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782</v>
      </c>
      <c r="D28" s="5" t="s">
        <v>783</v>
      </c>
      <c r="E28" s="5" t="s">
        <v>81</v>
      </c>
      <c r="F28" s="11" t="n">
        <v>2713.87</v>
      </c>
      <c r="G28" s="12" t="n">
        <v>75.7714</v>
      </c>
      <c r="H28" s="12" t="n">
        <v>76.4191</v>
      </c>
      <c r="J28" s="8" t="n">
        <v>-0.65539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1</v>
      </c>
      <c r="M28" s="14" t="n">
        <v>-65.54</v>
      </c>
      <c r="N28" s="9" t="n">
        <v>-1778.63</v>
      </c>
      <c r="O28" s="9" t="n">
        <v>143419.78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783</v>
      </c>
      <c r="D29" s="5" t="s">
        <v>785</v>
      </c>
      <c r="E29" s="5" t="s">
        <v>77</v>
      </c>
      <c r="F29" s="11" t="n">
        <v>2821.74</v>
      </c>
      <c r="G29" s="12" t="n">
        <v>76.4191</v>
      </c>
      <c r="H29" s="12" t="n">
        <v>72.3005</v>
      </c>
      <c r="I29" s="5" t="s">
        <v>78</v>
      </c>
      <c r="J29" s="8" t="n">
        <v>-0.90107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2</v>
      </c>
      <c r="M29" s="14" t="n">
        <v>-90.11</v>
      </c>
      <c r="N29" s="9" t="n">
        <v>-2542.57</v>
      </c>
      <c r="O29" s="9" t="n">
        <v>140877.21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785</v>
      </c>
      <c r="D30" s="5" t="s">
        <v>301</v>
      </c>
      <c r="E30" s="5" t="s">
        <v>81</v>
      </c>
      <c r="F30" s="11" t="n">
        <v>3002.95</v>
      </c>
      <c r="G30" s="12" t="n">
        <v>72.3005</v>
      </c>
      <c r="H30" s="12" t="n">
        <v>71.7001</v>
      </c>
      <c r="J30" s="8" t="n">
        <v>0.59333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59.33</v>
      </c>
      <c r="N30" s="9" t="n">
        <v>1781.74</v>
      </c>
      <c r="O30" s="9" t="n">
        <v>142658.95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301</v>
      </c>
      <c r="D31" s="5" t="s">
        <v>787</v>
      </c>
      <c r="E31" s="5" t="s">
        <v>77</v>
      </c>
      <c r="F31" s="11" t="n">
        <v>2967.04</v>
      </c>
      <c r="G31" s="12" t="n">
        <v>71.7001</v>
      </c>
      <c r="H31" s="12" t="n">
        <v>71.0715</v>
      </c>
      <c r="J31" s="8" t="n">
        <v>-0.63568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1</v>
      </c>
      <c r="M31" s="14" t="n">
        <v>-63.57</v>
      </c>
      <c r="N31" s="9" t="n">
        <v>-1886.09</v>
      </c>
      <c r="O31" s="9" t="n">
        <v>140772.86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787</v>
      </c>
      <c r="D32" s="5" t="s">
        <v>303</v>
      </c>
      <c r="E32" s="5" t="s">
        <v>81</v>
      </c>
      <c r="F32" s="11" t="n">
        <v>1305.8</v>
      </c>
      <c r="G32" s="12" t="n">
        <v>70.1168</v>
      </c>
      <c r="H32" s="12" t="n">
        <v>68.8676</v>
      </c>
      <c r="J32" s="8" t="n">
        <v>1.2411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124.11</v>
      </c>
      <c r="N32" s="9" t="n">
        <v>1620.62</v>
      </c>
      <c r="O32" s="9" t="n">
        <v>142393.48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303</v>
      </c>
      <c r="D33" s="5" t="s">
        <v>306</v>
      </c>
      <c r="E33" s="5" t="s">
        <v>81</v>
      </c>
      <c r="F33" s="11" t="n">
        <v>1287.09</v>
      </c>
      <c r="G33" s="12" t="n">
        <v>71.1335</v>
      </c>
      <c r="H33" s="12" t="n">
        <v>82.5929</v>
      </c>
      <c r="I33" s="5" t="s">
        <v>78</v>
      </c>
      <c r="J33" s="8" t="n">
        <v>-12.25289</v>
      </c>
      <c r="K33" s="13" t="str">
        <f aca="false">IF(J33&gt;0,"прибыль",IF(J33&lt;0,"убыток","ноль"))</f>
        <v>убыток</v>
      </c>
      <c r="L33" s="13" t="n">
        <f aca="false">IF(C33="",L32,IF(J33&lt;0,L32+1,0))</f>
        <v>1</v>
      </c>
      <c r="M33" s="14" t="n">
        <v>-1225.29</v>
      </c>
      <c r="N33" s="9" t="n">
        <v>-15770.61</v>
      </c>
      <c r="O33" s="9" t="n">
        <v>126622.87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306</v>
      </c>
      <c r="D34" s="5" t="s">
        <v>307</v>
      </c>
      <c r="E34" s="5" t="s">
        <v>81</v>
      </c>
      <c r="F34" s="11" t="n">
        <v>979.16</v>
      </c>
      <c r="G34" s="12" t="n">
        <v>70.3463</v>
      </c>
      <c r="H34" s="12" t="n">
        <v>72.6685</v>
      </c>
      <c r="J34" s="8" t="n">
        <v>-2.32585</v>
      </c>
      <c r="K34" s="13" t="str">
        <f aca="false">IF(J34&gt;0,"прибыль",IF(J34&lt;0,"убыток","ноль"))</f>
        <v>убыток</v>
      </c>
      <c r="L34" s="13" t="n">
        <f aca="false">IF(C34="",L33,IF(J34&lt;0,L33+1,0))</f>
        <v>2</v>
      </c>
      <c r="M34" s="14" t="n">
        <v>-232.58</v>
      </c>
      <c r="N34" s="9" t="n">
        <v>-2277.38</v>
      </c>
      <c r="O34" s="9" t="n">
        <v>124345.49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307</v>
      </c>
      <c r="D35" s="5" t="s">
        <v>788</v>
      </c>
      <c r="E35" s="5" t="s">
        <v>81</v>
      </c>
      <c r="F35" s="11" t="n">
        <v>2050.95</v>
      </c>
      <c r="G35" s="12" t="n">
        <v>70.3463</v>
      </c>
      <c r="H35" s="12" t="n">
        <v>73.6608</v>
      </c>
      <c r="I35" s="5" t="s">
        <v>78</v>
      </c>
      <c r="J35" s="8" t="n">
        <v>-5.03668</v>
      </c>
      <c r="K35" s="13" t="str">
        <f aca="false">IF(J35&gt;0,"прибыль",IF(J35&lt;0,"убыток","ноль"))</f>
        <v>убыток</v>
      </c>
      <c r="L35" s="13" t="n">
        <f aca="false">IF(C35="",L34,IF(J35&lt;0,L34+1,0))</f>
        <v>3</v>
      </c>
      <c r="M35" s="14" t="n">
        <v>-503.67</v>
      </c>
      <c r="N35" s="9" t="n">
        <v>-10329.96</v>
      </c>
      <c r="O35" s="9" t="n">
        <v>114015.53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788</v>
      </c>
      <c r="D36" s="5" t="s">
        <v>312</v>
      </c>
      <c r="E36" s="5" t="s">
        <v>77</v>
      </c>
      <c r="F36" s="11" t="n">
        <v>1002</v>
      </c>
      <c r="G36" s="12" t="n">
        <v>77.7484</v>
      </c>
      <c r="H36" s="12" t="n">
        <v>93.0201</v>
      </c>
      <c r="I36" s="5" t="s">
        <v>78</v>
      </c>
      <c r="J36" s="8" t="n">
        <v>17.13689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1713.69</v>
      </c>
      <c r="N36" s="9" t="n">
        <v>17171.12</v>
      </c>
      <c r="O36" s="9" t="n">
        <v>131186.65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312</v>
      </c>
      <c r="D37" s="5" t="s">
        <v>313</v>
      </c>
      <c r="E37" s="5" t="s">
        <v>77</v>
      </c>
      <c r="F37" s="11" t="n">
        <v>2225.11</v>
      </c>
      <c r="G37" s="12" t="n">
        <v>75.8692</v>
      </c>
      <c r="H37" s="12" t="n">
        <v>114.2133</v>
      </c>
      <c r="I37" s="5" t="s">
        <v>78</v>
      </c>
      <c r="J37" s="8" t="n">
        <v>41.74483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4174.48</v>
      </c>
      <c r="N37" s="9" t="n">
        <v>92886.99</v>
      </c>
      <c r="O37" s="9" t="n">
        <v>224073.64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313</v>
      </c>
      <c r="D38" s="5" t="s">
        <v>314</v>
      </c>
      <c r="E38" s="5" t="s">
        <v>77</v>
      </c>
      <c r="F38" s="11" t="n">
        <v>265.72</v>
      </c>
      <c r="G38" s="12" t="n">
        <v>72.4628</v>
      </c>
      <c r="H38" s="12" t="n">
        <v>119.7061</v>
      </c>
      <c r="J38" s="8" t="n">
        <v>47.23732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4723.73</v>
      </c>
      <c r="N38" s="9" t="n">
        <v>12552.09</v>
      </c>
      <c r="O38" s="9" t="n">
        <v>236625.73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314</v>
      </c>
      <c r="D39" s="5" t="s">
        <v>315</v>
      </c>
      <c r="E39" s="5" t="s">
        <v>77</v>
      </c>
      <c r="F39" s="11" t="n">
        <v>198.67</v>
      </c>
      <c r="G39" s="12" t="n">
        <v>72.4628</v>
      </c>
      <c r="H39" s="12" t="n">
        <v>121.0817</v>
      </c>
      <c r="J39" s="8" t="n">
        <v>48.61281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4861.28</v>
      </c>
      <c r="N39" s="9" t="n">
        <v>9657.97</v>
      </c>
      <c r="O39" s="9" t="n">
        <v>246283.7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315</v>
      </c>
      <c r="D40" s="5" t="s">
        <v>789</v>
      </c>
      <c r="E40" s="5" t="s">
        <v>77</v>
      </c>
      <c r="F40" s="11" t="n">
        <v>1369.25</v>
      </c>
      <c r="G40" s="12" t="n">
        <v>87.3667</v>
      </c>
      <c r="H40" s="12" t="n">
        <v>111.7979</v>
      </c>
      <c r="I40" s="5" t="s">
        <v>78</v>
      </c>
      <c r="J40" s="8" t="n">
        <v>27.92764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2792.76</v>
      </c>
      <c r="N40" s="9" t="n">
        <v>38240</v>
      </c>
      <c r="O40" s="9" t="n">
        <v>284523.7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789</v>
      </c>
      <c r="D41" s="5" t="s">
        <v>317</v>
      </c>
      <c r="E41" s="5" t="s">
        <v>81</v>
      </c>
      <c r="F41" s="11" t="n">
        <v>1385.88</v>
      </c>
      <c r="G41" s="12" t="n">
        <v>111.7979</v>
      </c>
      <c r="H41" s="12" t="n">
        <v>106.2492</v>
      </c>
      <c r="J41" s="8" t="n">
        <v>5.53768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553.77</v>
      </c>
      <c r="N41" s="9" t="n">
        <v>7674.57</v>
      </c>
      <c r="O41" s="9" t="n">
        <v>292198.28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317</v>
      </c>
      <c r="D42" s="5" t="s">
        <v>790</v>
      </c>
      <c r="E42" s="5" t="s">
        <v>77</v>
      </c>
      <c r="F42" s="11" t="n">
        <v>1472.39</v>
      </c>
      <c r="G42" s="12" t="n">
        <v>106.2492</v>
      </c>
      <c r="H42" s="12" t="n">
        <v>108.1371</v>
      </c>
      <c r="J42" s="8" t="n">
        <v>1.87708</v>
      </c>
      <c r="K42" s="13" t="str">
        <f aca="false">IF(J42&gt;0,"прибыль",IF(J42&lt;0,"убыток","ноль"))</f>
        <v>прибыль</v>
      </c>
      <c r="L42" s="13" t="n">
        <f aca="false">IF(C42="",L41,IF(J42&lt;0,L41+1,0))</f>
        <v>0</v>
      </c>
      <c r="M42" s="14" t="n">
        <v>187.71</v>
      </c>
      <c r="N42" s="9" t="n">
        <v>2763.79</v>
      </c>
      <c r="O42" s="9" t="n">
        <v>294962.06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790</v>
      </c>
      <c r="D43" s="5" t="s">
        <v>791</v>
      </c>
      <c r="E43" s="5" t="s">
        <v>81</v>
      </c>
      <c r="F43" s="11" t="n">
        <v>1455.19</v>
      </c>
      <c r="G43" s="12" t="n">
        <v>108.1371</v>
      </c>
      <c r="H43" s="12" t="n">
        <v>110.045</v>
      </c>
      <c r="J43" s="8" t="n">
        <v>-1.91883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1</v>
      </c>
      <c r="M43" s="14" t="n">
        <v>-191.88</v>
      </c>
      <c r="N43" s="9" t="n">
        <v>-2792.25</v>
      </c>
      <c r="O43" s="9" t="n">
        <v>292169.81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791</v>
      </c>
      <c r="D44" s="5" t="s">
        <v>792</v>
      </c>
      <c r="E44" s="5" t="s">
        <v>77</v>
      </c>
      <c r="F44" s="11" t="n">
        <v>1435.48</v>
      </c>
      <c r="G44" s="12" t="n">
        <v>110.045</v>
      </c>
      <c r="H44" s="12" t="n">
        <v>109.6705</v>
      </c>
      <c r="J44" s="8" t="n">
        <v>-0.38569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2</v>
      </c>
      <c r="M44" s="14" t="n">
        <v>-38.57</v>
      </c>
      <c r="N44" s="9" t="n">
        <v>-553.66</v>
      </c>
      <c r="O44" s="9" t="n">
        <v>291616.15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792</v>
      </c>
      <c r="D45" s="5" t="s">
        <v>793</v>
      </c>
      <c r="E45" s="5" t="s">
        <v>81</v>
      </c>
      <c r="F45" s="11" t="n">
        <v>1492.4</v>
      </c>
      <c r="G45" s="12" t="n">
        <v>109.6705</v>
      </c>
      <c r="H45" s="12" t="n">
        <v>110.4109</v>
      </c>
      <c r="J45" s="8" t="n">
        <v>-0.75184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3</v>
      </c>
      <c r="M45" s="14" t="n">
        <v>-75.18</v>
      </c>
      <c r="N45" s="9" t="n">
        <v>-1122.05</v>
      </c>
      <c r="O45" s="9" t="n">
        <v>290494.1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793</v>
      </c>
      <c r="D46" s="5" t="s">
        <v>794</v>
      </c>
      <c r="E46" s="5" t="s">
        <v>77</v>
      </c>
      <c r="F46" s="11" t="n">
        <v>1579.06</v>
      </c>
      <c r="G46" s="12" t="n">
        <v>110.4109</v>
      </c>
      <c r="H46" s="12" t="n">
        <v>111.8057</v>
      </c>
      <c r="J46" s="8" t="n">
        <v>1.38366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138.37</v>
      </c>
      <c r="N46" s="9" t="n">
        <v>2184.88</v>
      </c>
      <c r="O46" s="9" t="n">
        <v>292678.98</v>
      </c>
    </row>
    <row r="47" customFormat="false" ht="15" hidden="false" customHeight="false" outlineLevel="0" collapsed="false">
      <c r="A47" s="6" t="n">
        <v>42</v>
      </c>
      <c r="B47" s="5" t="s">
        <v>74</v>
      </c>
      <c r="C47" s="5" t="s">
        <v>794</v>
      </c>
      <c r="D47" s="5" t="s">
        <v>795</v>
      </c>
      <c r="E47" s="5" t="s">
        <v>81</v>
      </c>
      <c r="F47" s="11" t="n">
        <v>1557.32</v>
      </c>
      <c r="G47" s="12" t="n">
        <v>111.8057</v>
      </c>
      <c r="H47" s="12" t="n">
        <v>115.8656</v>
      </c>
      <c r="J47" s="8" t="n">
        <v>-4.07143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1</v>
      </c>
      <c r="M47" s="14" t="n">
        <v>-407.14</v>
      </c>
      <c r="N47" s="9" t="n">
        <v>-6340.52</v>
      </c>
      <c r="O47" s="9" t="n">
        <v>286338.46</v>
      </c>
    </row>
    <row r="48" customFormat="false" ht="15" hidden="false" customHeight="false" outlineLevel="0" collapsed="false">
      <c r="A48" s="6" t="n">
        <v>43</v>
      </c>
      <c r="B48" s="5" t="s">
        <v>74</v>
      </c>
      <c r="C48" s="5" t="s">
        <v>795</v>
      </c>
      <c r="D48" s="5" t="s">
        <v>319</v>
      </c>
      <c r="E48" s="5" t="s">
        <v>77</v>
      </c>
      <c r="F48" s="11" t="n">
        <v>1548.23</v>
      </c>
      <c r="G48" s="12" t="n">
        <v>115.8656</v>
      </c>
      <c r="H48" s="12" t="n">
        <v>116.6895</v>
      </c>
      <c r="J48" s="8" t="n">
        <v>0.81109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81.11</v>
      </c>
      <c r="N48" s="9" t="n">
        <v>1255.75</v>
      </c>
      <c r="O48" s="9" t="n">
        <v>287594.22</v>
      </c>
    </row>
    <row r="49" customFormat="false" ht="15" hidden="false" customHeight="false" outlineLevel="0" collapsed="false">
      <c r="A49" s="6" t="n">
        <v>44</v>
      </c>
      <c r="B49" s="5" t="s">
        <v>74</v>
      </c>
      <c r="C49" s="5" t="s">
        <v>319</v>
      </c>
      <c r="D49" s="5" t="s">
        <v>796</v>
      </c>
      <c r="E49" s="5" t="s">
        <v>81</v>
      </c>
      <c r="F49" s="11" t="n">
        <v>2526.45</v>
      </c>
      <c r="G49" s="12" t="n">
        <v>119.5906</v>
      </c>
      <c r="H49" s="12" t="n">
        <v>115.8837</v>
      </c>
      <c r="I49" s="5" t="s">
        <v>78</v>
      </c>
      <c r="J49" s="8" t="n">
        <v>-2.3135</v>
      </c>
      <c r="K49" s="13" t="str">
        <f aca="false">IF(J49&gt;0,"прибыль",IF(J49&lt;0,"убыток","ноль"))</f>
        <v>убыток</v>
      </c>
      <c r="L49" s="13" t="n">
        <f aca="false">IF(C49="",L48,IF(J49&lt;0,L48+1,0))</f>
        <v>1</v>
      </c>
      <c r="M49" s="14" t="n">
        <v>-231.35</v>
      </c>
      <c r="N49" s="9" t="n">
        <v>-5844.93</v>
      </c>
      <c r="O49" s="9" t="n">
        <v>281749.29</v>
      </c>
    </row>
    <row r="50" customFormat="false" ht="15" hidden="false" customHeight="false" outlineLevel="0" collapsed="false">
      <c r="A50" s="6" t="n">
        <v>45</v>
      </c>
      <c r="B50" s="5" t="s">
        <v>74</v>
      </c>
      <c r="C50" s="5" t="s">
        <v>796</v>
      </c>
      <c r="D50" s="5" t="s">
        <v>322</v>
      </c>
      <c r="E50" s="5" t="s">
        <v>77</v>
      </c>
      <c r="F50" s="11" t="n">
        <v>634.32</v>
      </c>
      <c r="G50" s="12" t="n">
        <v>115.8837</v>
      </c>
      <c r="H50" s="12" t="n">
        <v>105.8295</v>
      </c>
      <c r="I50" s="5" t="s">
        <v>78</v>
      </c>
      <c r="J50" s="8" t="n">
        <v>-7.53581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2</v>
      </c>
      <c r="M50" s="14" t="n">
        <v>-753.58</v>
      </c>
      <c r="N50" s="9" t="n">
        <v>-4780.12</v>
      </c>
      <c r="O50" s="9" t="n">
        <v>276969.17</v>
      </c>
    </row>
    <row r="51" customFormat="false" ht="15" hidden="false" customHeight="false" outlineLevel="0" collapsed="false">
      <c r="A51" s="6" t="n">
        <v>46</v>
      </c>
      <c r="B51" s="5" t="s">
        <v>74</v>
      </c>
      <c r="C51" s="5" t="s">
        <v>322</v>
      </c>
      <c r="D51" s="5" t="s">
        <v>797</v>
      </c>
      <c r="E51" s="5" t="s">
        <v>77</v>
      </c>
      <c r="F51" s="11" t="n">
        <v>1561.94</v>
      </c>
      <c r="G51" s="12" t="n">
        <v>113.3601</v>
      </c>
      <c r="H51" s="12" t="n">
        <v>100.8201</v>
      </c>
      <c r="J51" s="8" t="n">
        <v>-12.55005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3</v>
      </c>
      <c r="M51" s="14" t="n">
        <v>-1255</v>
      </c>
      <c r="N51" s="9" t="n">
        <v>-19602.38</v>
      </c>
      <c r="O51" s="9" t="n">
        <v>257366.79</v>
      </c>
    </row>
    <row r="52" customFormat="false" ht="15" hidden="false" customHeight="false" outlineLevel="0" collapsed="false">
      <c r="A52" s="6" t="n">
        <v>47</v>
      </c>
      <c r="B52" s="5" t="s">
        <v>74</v>
      </c>
      <c r="C52" s="5" t="s">
        <v>797</v>
      </c>
      <c r="D52" s="5" t="s">
        <v>326</v>
      </c>
      <c r="E52" s="5" t="s">
        <v>81</v>
      </c>
      <c r="F52" s="11" t="n">
        <v>557.53</v>
      </c>
      <c r="G52" s="12" t="n">
        <v>102.3563</v>
      </c>
      <c r="H52" s="12" t="n">
        <v>104.9063</v>
      </c>
      <c r="I52" s="5" t="s">
        <v>78</v>
      </c>
      <c r="J52" s="8" t="n">
        <v>-10.72265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4</v>
      </c>
      <c r="M52" s="14" t="n">
        <v>-1072.26</v>
      </c>
      <c r="N52" s="9" t="n">
        <v>-5978.18</v>
      </c>
      <c r="O52" s="9" t="n">
        <v>251388.61</v>
      </c>
    </row>
    <row r="53" customFormat="false" ht="15" hidden="false" customHeight="false" outlineLevel="0" collapsed="false">
      <c r="A53" s="6" t="n">
        <v>48</v>
      </c>
      <c r="B53" s="5" t="s">
        <v>74</v>
      </c>
      <c r="C53" s="5" t="s">
        <v>326</v>
      </c>
      <c r="D53" s="5" t="s">
        <v>799</v>
      </c>
      <c r="E53" s="5" t="s">
        <v>81</v>
      </c>
      <c r="F53" s="11" t="n">
        <v>2165.85</v>
      </c>
      <c r="G53" s="12" t="n">
        <v>94.1983</v>
      </c>
      <c r="H53" s="12" t="n">
        <v>90.8109</v>
      </c>
      <c r="I53" s="5" t="s">
        <v>78</v>
      </c>
      <c r="J53" s="8" t="n">
        <v>5.66221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566.22</v>
      </c>
      <c r="N53" s="9" t="n">
        <v>12263.48</v>
      </c>
      <c r="O53" s="9" t="n">
        <v>263652.09</v>
      </c>
    </row>
    <row r="54" customFormat="false" ht="15" hidden="false" customHeight="false" outlineLevel="0" collapsed="false">
      <c r="A54" s="6" t="n">
        <v>49</v>
      </c>
      <c r="B54" s="5" t="s">
        <v>74</v>
      </c>
      <c r="C54" s="5" t="s">
        <v>799</v>
      </c>
      <c r="D54" s="5" t="s">
        <v>800</v>
      </c>
      <c r="E54" s="5" t="s">
        <v>77</v>
      </c>
      <c r="F54" s="11" t="n">
        <v>2996.96</v>
      </c>
      <c r="G54" s="12" t="n">
        <v>91.5412</v>
      </c>
      <c r="H54" s="12" t="n">
        <v>85.3601</v>
      </c>
      <c r="I54" s="5" t="s">
        <v>78</v>
      </c>
      <c r="J54" s="8" t="n">
        <v>-7.04948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1</v>
      </c>
      <c r="M54" s="14" t="n">
        <v>-704.95</v>
      </c>
      <c r="N54" s="9" t="n">
        <v>-21127</v>
      </c>
      <c r="O54" s="9" t="n">
        <v>242525.09</v>
      </c>
    </row>
    <row r="55" customFormat="false" ht="15" hidden="false" customHeight="false" outlineLevel="0" collapsed="false">
      <c r="A55" s="6" t="n">
        <v>50</v>
      </c>
      <c r="B55" s="5" t="s">
        <v>74</v>
      </c>
      <c r="C55" s="5" t="s">
        <v>800</v>
      </c>
      <c r="D55" s="5" t="s">
        <v>801</v>
      </c>
      <c r="E55" s="5" t="s">
        <v>81</v>
      </c>
      <c r="F55" s="11" t="n">
        <v>2656.96</v>
      </c>
      <c r="G55" s="12" t="n">
        <v>85.3601</v>
      </c>
      <c r="H55" s="12" t="n">
        <v>89.0434</v>
      </c>
      <c r="I55" s="5" t="s">
        <v>78</v>
      </c>
      <c r="J55" s="8" t="n">
        <v>-0.18474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2</v>
      </c>
      <c r="M55" s="14" t="n">
        <v>-18.47</v>
      </c>
      <c r="N55" s="9" t="n">
        <v>-490.84</v>
      </c>
      <c r="O55" s="9" t="n">
        <v>242034.25</v>
      </c>
    </row>
    <row r="56" customFormat="false" ht="15" hidden="false" customHeight="false" outlineLevel="0" collapsed="false">
      <c r="A56" s="6" t="n">
        <v>51</v>
      </c>
      <c r="B56" s="5" t="s">
        <v>74</v>
      </c>
      <c r="C56" s="5" t="s">
        <v>801</v>
      </c>
      <c r="D56" s="5" t="s">
        <v>802</v>
      </c>
      <c r="E56" s="5" t="s">
        <v>77</v>
      </c>
      <c r="F56" s="11" t="n">
        <v>3258.48</v>
      </c>
      <c r="G56" s="12" t="n">
        <v>87.831</v>
      </c>
      <c r="H56" s="12" t="n">
        <v>80.5276</v>
      </c>
      <c r="J56" s="8" t="n">
        <v>-7.31241</v>
      </c>
      <c r="K56" s="13" t="str">
        <f aca="false">IF(J56&gt;0,"прибыль",IF(J56&lt;0,"убыток","ноль"))</f>
        <v>убыток</v>
      </c>
      <c r="L56" s="13" t="n">
        <f aca="false">IF(C56="",L55,IF(J56&lt;0,L55+1,0))</f>
        <v>3</v>
      </c>
      <c r="M56" s="14" t="n">
        <v>-731.24</v>
      </c>
      <c r="N56" s="9" t="n">
        <v>-23827.3</v>
      </c>
      <c r="O56" s="9" t="n">
        <v>218206.95</v>
      </c>
    </row>
    <row r="57" customFormat="false" ht="15" hidden="false" customHeight="false" outlineLevel="0" collapsed="false">
      <c r="A57" s="6" t="n">
        <v>52</v>
      </c>
      <c r="B57" s="5" t="s">
        <v>74</v>
      </c>
      <c r="C57" s="5" t="s">
        <v>802</v>
      </c>
      <c r="D57" s="5" t="s">
        <v>803</v>
      </c>
      <c r="E57" s="5" t="s">
        <v>81</v>
      </c>
      <c r="F57" s="11" t="n">
        <v>3421.59</v>
      </c>
      <c r="G57" s="12" t="n">
        <v>80.5276</v>
      </c>
      <c r="H57" s="12" t="n">
        <v>83.0252</v>
      </c>
      <c r="J57" s="8" t="n">
        <v>-2.50575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4</v>
      </c>
      <c r="M57" s="14" t="n">
        <v>-250.58</v>
      </c>
      <c r="N57" s="9" t="n">
        <v>-8573.65</v>
      </c>
      <c r="O57" s="9" t="n">
        <v>209633.3</v>
      </c>
    </row>
    <row r="58" customFormat="false" ht="15" hidden="false" customHeight="false" outlineLevel="0" collapsed="false">
      <c r="A58" s="6" t="n">
        <v>53</v>
      </c>
      <c r="B58" s="5" t="s">
        <v>74</v>
      </c>
      <c r="C58" s="5" t="s">
        <v>803</v>
      </c>
      <c r="D58" s="5" t="s">
        <v>600</v>
      </c>
      <c r="E58" s="5" t="s">
        <v>77</v>
      </c>
      <c r="F58" s="11" t="n">
        <v>927.36</v>
      </c>
      <c r="G58" s="12" t="n">
        <v>81.8226</v>
      </c>
      <c r="H58" s="12" t="n">
        <v>77.8297</v>
      </c>
      <c r="I58" s="5" t="s">
        <v>78</v>
      </c>
      <c r="J58" s="8" t="n">
        <v>-14.81194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5</v>
      </c>
      <c r="M58" s="14" t="n">
        <v>-1481.19</v>
      </c>
      <c r="N58" s="9" t="n">
        <v>-13736.07</v>
      </c>
      <c r="O58" s="9" t="n">
        <v>195897.24</v>
      </c>
    </row>
    <row r="59" customFormat="false" ht="15" hidden="false" customHeight="false" outlineLevel="0" collapsed="false">
      <c r="A59" s="6" t="n">
        <v>54</v>
      </c>
      <c r="B59" s="5" t="s">
        <v>74</v>
      </c>
      <c r="C59" s="5" t="s">
        <v>600</v>
      </c>
      <c r="D59" s="5" t="s">
        <v>601</v>
      </c>
      <c r="E59" s="5" t="s">
        <v>77</v>
      </c>
      <c r="F59" s="11" t="n">
        <v>1240.98</v>
      </c>
      <c r="G59" s="12" t="n">
        <v>87.0266</v>
      </c>
      <c r="H59" s="12" t="n">
        <v>76.663</v>
      </c>
      <c r="I59" s="5" t="s">
        <v>78</v>
      </c>
      <c r="J59" s="8" t="n">
        <v>-15.89428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6</v>
      </c>
      <c r="M59" s="14" t="n">
        <v>-1589.43</v>
      </c>
      <c r="N59" s="9" t="n">
        <v>-19724.42</v>
      </c>
      <c r="O59" s="9" t="n">
        <v>176172.81</v>
      </c>
    </row>
    <row r="60" customFormat="false" ht="15" hidden="false" customHeight="false" outlineLevel="0" collapsed="false">
      <c r="A60" s="6" t="n">
        <v>55</v>
      </c>
      <c r="B60" s="5" t="s">
        <v>74</v>
      </c>
      <c r="C60" s="5" t="s">
        <v>601</v>
      </c>
      <c r="D60" s="5" t="s">
        <v>805</v>
      </c>
      <c r="E60" s="5" t="s">
        <v>77</v>
      </c>
      <c r="F60" s="11" t="n">
        <v>4377.55</v>
      </c>
      <c r="G60" s="12" t="n">
        <v>88.1843</v>
      </c>
      <c r="H60" s="12" t="n">
        <v>86.2876</v>
      </c>
      <c r="I60" s="5" t="s">
        <v>78</v>
      </c>
      <c r="J60" s="8" t="n">
        <v>-6.77401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7</v>
      </c>
      <c r="M60" s="14" t="n">
        <v>-677.4</v>
      </c>
      <c r="N60" s="9" t="n">
        <v>-29653.56</v>
      </c>
      <c r="O60" s="9" t="n">
        <v>146519.25</v>
      </c>
    </row>
    <row r="61" customFormat="false" ht="15" hidden="false" customHeight="false" outlineLevel="0" collapsed="false">
      <c r="A61" s="6" t="n">
        <v>56</v>
      </c>
      <c r="B61" s="5" t="s">
        <v>74</v>
      </c>
      <c r="C61" s="5" t="s">
        <v>805</v>
      </c>
      <c r="D61" s="5" t="s">
        <v>806</v>
      </c>
      <c r="E61" s="5" t="s">
        <v>81</v>
      </c>
      <c r="F61" s="11" t="n">
        <v>5019.54</v>
      </c>
      <c r="G61" s="12" t="n">
        <v>86.2876</v>
      </c>
      <c r="H61" s="12" t="n">
        <v>83.7753</v>
      </c>
      <c r="J61" s="8" t="n">
        <v>2.50426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250.43</v>
      </c>
      <c r="N61" s="9" t="n">
        <v>12570.22</v>
      </c>
      <c r="O61" s="9" t="n">
        <v>159089.47</v>
      </c>
    </row>
    <row r="62" customFormat="false" ht="15" hidden="false" customHeight="false" outlineLevel="0" collapsed="false">
      <c r="A62" s="6" t="n">
        <v>57</v>
      </c>
      <c r="B62" s="5" t="s">
        <v>74</v>
      </c>
      <c r="C62" s="5" t="s">
        <v>806</v>
      </c>
      <c r="D62" s="5" t="s">
        <v>807</v>
      </c>
      <c r="E62" s="5" t="s">
        <v>77</v>
      </c>
      <c r="F62" s="11" t="n">
        <v>5511.33</v>
      </c>
      <c r="G62" s="12" t="n">
        <v>84.3233</v>
      </c>
      <c r="H62" s="12" t="n">
        <v>94.57</v>
      </c>
      <c r="I62" s="5" t="s">
        <v>78</v>
      </c>
      <c r="J62" s="8" t="n">
        <v>8.40122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840.12</v>
      </c>
      <c r="N62" s="9" t="n">
        <v>46301.88</v>
      </c>
      <c r="O62" s="9" t="n">
        <v>205391.36</v>
      </c>
    </row>
    <row r="63" customFormat="false" ht="15" hidden="false" customHeight="false" outlineLevel="0" collapsed="false">
      <c r="A63" s="6" t="n">
        <v>58</v>
      </c>
      <c r="B63" s="5" t="s">
        <v>74</v>
      </c>
      <c r="C63" s="5" t="s">
        <v>807</v>
      </c>
      <c r="D63" s="5" t="s">
        <v>350</v>
      </c>
      <c r="E63" s="5" t="s">
        <v>81</v>
      </c>
      <c r="F63" s="11" t="n">
        <v>2515.53</v>
      </c>
      <c r="G63" s="12" t="n">
        <v>94.57</v>
      </c>
      <c r="H63" s="12" t="n">
        <v>86.7354</v>
      </c>
      <c r="I63" s="5" t="s">
        <v>78</v>
      </c>
      <c r="J63" s="8" t="n">
        <v>3.54206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354.21</v>
      </c>
      <c r="N63" s="9" t="n">
        <v>8910.14</v>
      </c>
      <c r="O63" s="9" t="n">
        <v>214301.5</v>
      </c>
    </row>
    <row r="64" customFormat="false" ht="15" hidden="false" customHeight="false" outlineLevel="0" collapsed="false">
      <c r="A64" s="6" t="n">
        <v>59</v>
      </c>
      <c r="B64" s="5" t="s">
        <v>74</v>
      </c>
      <c r="C64" s="5" t="s">
        <v>350</v>
      </c>
      <c r="D64" s="5" t="s">
        <v>351</v>
      </c>
      <c r="E64" s="5" t="s">
        <v>81</v>
      </c>
      <c r="F64" s="11" t="n">
        <v>1098.72</v>
      </c>
      <c r="G64" s="12" t="n">
        <v>90.2818</v>
      </c>
      <c r="H64" s="12" t="n">
        <v>91.2603</v>
      </c>
      <c r="J64" s="8" t="n">
        <v>-0.98307</v>
      </c>
      <c r="K64" s="13" t="str">
        <f aca="false">IF(J64&gt;0,"прибыль",IF(J64&lt;0,"убыток","ноль"))</f>
        <v>убыток</v>
      </c>
      <c r="L64" s="13" t="n">
        <f aca="false">IF(C64="",L63,IF(J64&lt;0,L63+1,0))</f>
        <v>1</v>
      </c>
      <c r="M64" s="14" t="n">
        <v>-98.31</v>
      </c>
      <c r="N64" s="9" t="n">
        <v>-1080.12</v>
      </c>
      <c r="O64" s="9" t="n">
        <v>213221.37</v>
      </c>
    </row>
    <row r="65" customFormat="false" ht="15" hidden="false" customHeight="false" outlineLevel="0" collapsed="false">
      <c r="A65" s="6" t="n">
        <v>60</v>
      </c>
      <c r="B65" s="5" t="s">
        <v>74</v>
      </c>
      <c r="C65" s="5" t="s">
        <v>351</v>
      </c>
      <c r="D65" s="5" t="s">
        <v>808</v>
      </c>
      <c r="E65" s="5" t="s">
        <v>81</v>
      </c>
      <c r="F65" s="11" t="n">
        <v>2263.05</v>
      </c>
      <c r="G65" s="12" t="n">
        <v>90.2818</v>
      </c>
      <c r="H65" s="12" t="n">
        <v>90.3495</v>
      </c>
      <c r="J65" s="8" t="n">
        <v>-0.07676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2</v>
      </c>
      <c r="M65" s="14" t="n">
        <v>-7.68</v>
      </c>
      <c r="N65" s="9" t="n">
        <v>-173.7</v>
      </c>
      <c r="O65" s="9" t="n">
        <v>213047.67</v>
      </c>
    </row>
    <row r="66" customFormat="false" ht="15" hidden="false" customHeight="false" outlineLevel="0" collapsed="false">
      <c r="A66" s="6" t="n">
        <v>61</v>
      </c>
      <c r="B66" s="5" t="s">
        <v>74</v>
      </c>
      <c r="C66" s="5" t="s">
        <v>808</v>
      </c>
      <c r="D66" s="5" t="s">
        <v>809</v>
      </c>
      <c r="E66" s="5" t="s">
        <v>77</v>
      </c>
      <c r="F66" s="11" t="n">
        <v>2274.88</v>
      </c>
      <c r="G66" s="12" t="n">
        <v>90.3495</v>
      </c>
      <c r="H66" s="12" t="n">
        <v>88.1562</v>
      </c>
      <c r="J66" s="8" t="n">
        <v>-2.20194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3</v>
      </c>
      <c r="M66" s="14" t="n">
        <v>-220.19</v>
      </c>
      <c r="N66" s="9" t="n">
        <v>-5009.13</v>
      </c>
      <c r="O66" s="9" t="n">
        <v>208038.54</v>
      </c>
    </row>
    <row r="67" customFormat="false" ht="15" hidden="false" customHeight="false" outlineLevel="0" collapsed="false">
      <c r="A67" s="6" t="n">
        <v>62</v>
      </c>
      <c r="B67" s="5" t="s">
        <v>74</v>
      </c>
      <c r="C67" s="5" t="s">
        <v>809</v>
      </c>
      <c r="D67" s="5" t="s">
        <v>810</v>
      </c>
      <c r="E67" s="5" t="s">
        <v>81</v>
      </c>
      <c r="F67" s="11" t="n">
        <v>2168.37</v>
      </c>
      <c r="G67" s="12" t="n">
        <v>88.1562</v>
      </c>
      <c r="H67" s="12" t="n">
        <v>90.2448</v>
      </c>
      <c r="J67" s="8" t="n">
        <v>-2.09766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4</v>
      </c>
      <c r="M67" s="14" t="n">
        <v>-209.77</v>
      </c>
      <c r="N67" s="9" t="n">
        <v>-4548.51</v>
      </c>
      <c r="O67" s="9" t="n">
        <v>203490.03</v>
      </c>
    </row>
    <row r="68" customFormat="false" ht="15" hidden="false" customHeight="false" outlineLevel="0" collapsed="false">
      <c r="A68" s="6" t="n">
        <v>63</v>
      </c>
      <c r="B68" s="5" t="s">
        <v>74</v>
      </c>
      <c r="C68" s="5" t="s">
        <v>810</v>
      </c>
      <c r="D68" s="5" t="s">
        <v>811</v>
      </c>
      <c r="E68" s="5" t="s">
        <v>77</v>
      </c>
      <c r="F68" s="11" t="n">
        <v>2162.88</v>
      </c>
      <c r="G68" s="12" t="n">
        <v>90.2448</v>
      </c>
      <c r="H68" s="12" t="n">
        <v>88.3769</v>
      </c>
      <c r="J68" s="8" t="n">
        <v>-1.8768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5</v>
      </c>
      <c r="M68" s="14" t="n">
        <v>-187.68</v>
      </c>
      <c r="N68" s="9" t="n">
        <v>-4059.29</v>
      </c>
      <c r="O68" s="9" t="n">
        <v>199430.73</v>
      </c>
    </row>
    <row r="69" customFormat="false" ht="15" hidden="false" customHeight="false" outlineLevel="0" collapsed="false">
      <c r="A69" s="6" t="n">
        <v>64</v>
      </c>
      <c r="B69" s="5" t="s">
        <v>74</v>
      </c>
      <c r="C69" s="5" t="s">
        <v>811</v>
      </c>
      <c r="D69" s="5" t="s">
        <v>812</v>
      </c>
      <c r="E69" s="5" t="s">
        <v>81</v>
      </c>
      <c r="F69" s="11" t="n">
        <v>2224.87</v>
      </c>
      <c r="G69" s="12" t="n">
        <v>88.3769</v>
      </c>
      <c r="H69" s="12" t="n">
        <v>86.2209</v>
      </c>
      <c r="I69" s="5" t="s">
        <v>78</v>
      </c>
      <c r="J69" s="8" t="n">
        <v>0.74138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74.14</v>
      </c>
      <c r="N69" s="9" t="n">
        <v>1649.48</v>
      </c>
      <c r="O69" s="9" t="n">
        <v>201080.21</v>
      </c>
    </row>
    <row r="70" customFormat="false" ht="15" hidden="false" customHeight="false" outlineLevel="0" collapsed="false">
      <c r="A70" s="6" t="n">
        <v>65</v>
      </c>
      <c r="B70" s="5" t="s">
        <v>74</v>
      </c>
      <c r="C70" s="5" t="s">
        <v>812</v>
      </c>
      <c r="D70" s="5" t="s">
        <v>352</v>
      </c>
      <c r="E70" s="5" t="s">
        <v>77</v>
      </c>
      <c r="F70" s="11" t="n">
        <v>2456.46</v>
      </c>
      <c r="G70" s="12" t="n">
        <v>86.2209</v>
      </c>
      <c r="H70" s="12" t="n">
        <v>83.1286</v>
      </c>
      <c r="J70" s="8" t="n">
        <v>-3.10096</v>
      </c>
      <c r="K70" s="13" t="str">
        <f aca="false">IF(J70&gt;0,"прибыль",IF(J70&lt;0,"убыток","ноль"))</f>
        <v>убыток</v>
      </c>
      <c r="L70" s="13" t="n">
        <f aca="false">IF(C70="",L69,IF(J70&lt;0,L69+1,0))</f>
        <v>1</v>
      </c>
      <c r="M70" s="14" t="n">
        <v>-310.1</v>
      </c>
      <c r="N70" s="9" t="n">
        <v>-7617.39</v>
      </c>
      <c r="O70" s="9" t="n">
        <v>193462.82</v>
      </c>
    </row>
    <row r="71" customFormat="false" ht="15" hidden="false" customHeight="false" outlineLevel="0" collapsed="false">
      <c r="A71" s="6" t="n">
        <v>66</v>
      </c>
      <c r="B71" s="5" t="s">
        <v>74</v>
      </c>
      <c r="C71" s="5" t="s">
        <v>352</v>
      </c>
      <c r="D71" s="5" t="s">
        <v>814</v>
      </c>
      <c r="E71" s="5" t="s">
        <v>81</v>
      </c>
      <c r="F71" s="11" t="n">
        <v>3412.76</v>
      </c>
      <c r="G71" s="12" t="n">
        <v>82.9179</v>
      </c>
      <c r="H71" s="12" t="n">
        <v>82.9517</v>
      </c>
      <c r="J71" s="8" t="n">
        <v>-0.04249</v>
      </c>
      <c r="K71" s="13" t="str">
        <f aca="false">IF(J71&gt;0,"прибыль",IF(J71&lt;0,"убыток","ноль"))</f>
        <v>убыток</v>
      </c>
      <c r="L71" s="13" t="n">
        <f aca="false">IF(C71="",L70,IF(J71&lt;0,L70+1,0))</f>
        <v>2</v>
      </c>
      <c r="M71" s="14" t="n">
        <v>-4.25</v>
      </c>
      <c r="N71" s="9" t="n">
        <v>-145.02</v>
      </c>
      <c r="O71" s="9" t="n">
        <v>193317.81</v>
      </c>
    </row>
    <row r="72" customFormat="false" ht="15" hidden="false" customHeight="false" outlineLevel="0" collapsed="false">
      <c r="A72" s="6" t="n">
        <v>67</v>
      </c>
      <c r="B72" s="5" t="s">
        <v>74</v>
      </c>
      <c r="C72" s="5" t="s">
        <v>814</v>
      </c>
      <c r="D72" s="5" t="s">
        <v>815</v>
      </c>
      <c r="E72" s="5" t="s">
        <v>77</v>
      </c>
      <c r="F72" s="11" t="n">
        <v>3026.09</v>
      </c>
      <c r="G72" s="12" t="n">
        <v>82.9517</v>
      </c>
      <c r="H72" s="12" t="n">
        <v>81.5523</v>
      </c>
      <c r="J72" s="8" t="n">
        <v>-1.40772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3</v>
      </c>
      <c r="M72" s="14" t="n">
        <v>-140.77</v>
      </c>
      <c r="N72" s="9" t="n">
        <v>-4259.88</v>
      </c>
      <c r="O72" s="9" t="n">
        <v>189057.93</v>
      </c>
    </row>
    <row r="73" customFormat="false" ht="15" hidden="false" customHeight="false" outlineLevel="0" collapsed="false">
      <c r="A73" s="6" t="n">
        <v>68</v>
      </c>
      <c r="B73" s="5" t="s">
        <v>74</v>
      </c>
      <c r="C73" s="5" t="s">
        <v>815</v>
      </c>
      <c r="D73" s="5" t="s">
        <v>816</v>
      </c>
      <c r="E73" s="5" t="s">
        <v>81</v>
      </c>
      <c r="F73" s="11" t="n">
        <v>3164.76</v>
      </c>
      <c r="G73" s="12" t="n">
        <v>81.5523</v>
      </c>
      <c r="H73" s="12" t="n">
        <v>81.8566</v>
      </c>
      <c r="J73" s="8" t="n">
        <v>-0.31259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4</v>
      </c>
      <c r="M73" s="14" t="n">
        <v>-31.26</v>
      </c>
      <c r="N73" s="9" t="n">
        <v>-989.28</v>
      </c>
      <c r="O73" s="9" t="n">
        <v>188068.65</v>
      </c>
    </row>
    <row r="74" customFormat="false" ht="15" hidden="false" customHeight="false" outlineLevel="0" collapsed="false">
      <c r="A74" s="6" t="n">
        <v>69</v>
      </c>
      <c r="B74" s="5" t="s">
        <v>74</v>
      </c>
      <c r="C74" s="5" t="s">
        <v>816</v>
      </c>
      <c r="D74" s="5" t="s">
        <v>356</v>
      </c>
      <c r="E74" s="5" t="s">
        <v>77</v>
      </c>
      <c r="F74" s="11" t="n">
        <v>3434.38</v>
      </c>
      <c r="G74" s="12" t="n">
        <v>81.8566</v>
      </c>
      <c r="H74" s="12" t="n">
        <v>78.8467</v>
      </c>
      <c r="I74" s="5" t="s">
        <v>78</v>
      </c>
      <c r="J74" s="8" t="n">
        <v>1.46118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146.12</v>
      </c>
      <c r="N74" s="9" t="n">
        <v>5018.24</v>
      </c>
      <c r="O74" s="9" t="n">
        <v>193086.89</v>
      </c>
    </row>
    <row r="75" customFormat="false" ht="15" hidden="false" customHeight="false" outlineLevel="0" collapsed="false">
      <c r="A75" s="6" t="n">
        <v>70</v>
      </c>
      <c r="B75" s="5" t="s">
        <v>74</v>
      </c>
      <c r="C75" s="5" t="s">
        <v>356</v>
      </c>
      <c r="D75" s="5" t="s">
        <v>817</v>
      </c>
      <c r="E75" s="5" t="s">
        <v>81</v>
      </c>
      <c r="F75" s="11" t="n">
        <v>3908.46</v>
      </c>
      <c r="G75" s="12" t="n">
        <v>78.8467</v>
      </c>
      <c r="H75" s="12" t="n">
        <v>78.4784</v>
      </c>
      <c r="J75" s="8" t="n">
        <v>0.36017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36.02</v>
      </c>
      <c r="N75" s="9" t="n">
        <v>1407.71</v>
      </c>
      <c r="O75" s="9" t="n">
        <v>194494.6</v>
      </c>
    </row>
    <row r="76" customFormat="false" ht="15" hidden="false" customHeight="false" outlineLevel="0" collapsed="false">
      <c r="A76" s="6" t="n">
        <v>71</v>
      </c>
      <c r="B76" s="5" t="s">
        <v>74</v>
      </c>
      <c r="C76" s="5" t="s">
        <v>817</v>
      </c>
      <c r="D76" s="5" t="s">
        <v>360</v>
      </c>
      <c r="E76" s="5" t="s">
        <v>77</v>
      </c>
      <c r="F76" s="11" t="n">
        <v>1424.58</v>
      </c>
      <c r="G76" s="12" t="n">
        <v>80.0076</v>
      </c>
      <c r="H76" s="12" t="n">
        <v>87.7068</v>
      </c>
      <c r="I76" s="5" t="s">
        <v>78</v>
      </c>
      <c r="J76" s="8" t="n">
        <v>8.49695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849.69</v>
      </c>
      <c r="N76" s="9" t="n">
        <v>12104.56</v>
      </c>
      <c r="O76" s="9" t="n">
        <v>206599.16</v>
      </c>
    </row>
    <row r="77" customFormat="false" ht="15" hidden="false" customHeight="false" outlineLevel="0" collapsed="false">
      <c r="A77" s="6" t="n">
        <v>72</v>
      </c>
      <c r="B77" s="5" t="s">
        <v>288</v>
      </c>
      <c r="C77" s="5" t="s">
        <v>360</v>
      </c>
      <c r="D77" s="5" t="s">
        <v>693</v>
      </c>
      <c r="E77" s="5" t="s">
        <v>77</v>
      </c>
      <c r="F77" s="11" t="n">
        <v>1405.72</v>
      </c>
      <c r="G77" s="12" t="n">
        <v>81.1598</v>
      </c>
      <c r="H77" s="12" t="n">
        <v>81.7724</v>
      </c>
      <c r="I77" s="5" t="s">
        <v>78</v>
      </c>
      <c r="J77" s="8" t="n">
        <v>4.0111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401.11</v>
      </c>
      <c r="N77" s="9" t="n">
        <v>5638.47</v>
      </c>
      <c r="O77" s="9" t="n">
        <v>212237.63</v>
      </c>
    </row>
    <row r="78" customFormat="false" ht="15" hidden="false" customHeight="false" outlineLevel="0" collapsed="false">
      <c r="A78" s="6" t="n">
        <v>73</v>
      </c>
      <c r="B78" s="5" t="s">
        <v>288</v>
      </c>
      <c r="C78" s="5" t="s">
        <v>693</v>
      </c>
      <c r="D78" s="5" t="s">
        <v>366</v>
      </c>
      <c r="E78" s="5" t="s">
        <v>77</v>
      </c>
      <c r="F78" s="11" t="n">
        <v>1165.64</v>
      </c>
      <c r="G78" s="12" t="n">
        <v>77.7524</v>
      </c>
      <c r="H78" s="12" t="n">
        <v>81.3439</v>
      </c>
      <c r="I78" s="5" t="s">
        <v>78</v>
      </c>
      <c r="J78" s="8" t="n">
        <v>6.9991</v>
      </c>
      <c r="K78" s="13" t="str">
        <f aca="false">IF(J78&gt;0,"прибыль",IF(J78&lt;0,"убыток","ноль"))</f>
        <v>прибыль</v>
      </c>
      <c r="L78" s="13" t="n">
        <f aca="false">IF(C78="",L77,IF(J78&lt;0,L77+1,0))</f>
        <v>0</v>
      </c>
      <c r="M78" s="14" t="n">
        <v>699.91</v>
      </c>
      <c r="N78" s="9" t="n">
        <v>8158.45</v>
      </c>
      <c r="O78" s="9" t="n">
        <v>220396.08</v>
      </c>
    </row>
    <row r="79" customFormat="false" ht="15" hidden="false" customHeight="false" outlineLevel="0" collapsed="false">
      <c r="A79" s="6" t="n">
        <v>74</v>
      </c>
      <c r="B79" s="5" t="s">
        <v>288</v>
      </c>
      <c r="C79" s="5" t="s">
        <v>366</v>
      </c>
      <c r="D79" s="5" t="s">
        <v>838</v>
      </c>
      <c r="E79" s="5" t="s">
        <v>77</v>
      </c>
      <c r="F79" s="11" t="n">
        <v>1788.62</v>
      </c>
      <c r="G79" s="12" t="n">
        <v>77.0165</v>
      </c>
      <c r="H79" s="12" t="n">
        <v>78.4933</v>
      </c>
      <c r="I79" s="5" t="s">
        <v>78</v>
      </c>
      <c r="J79" s="8" t="n">
        <v>1.00062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100.06</v>
      </c>
      <c r="N79" s="9" t="n">
        <v>1789.72</v>
      </c>
      <c r="O79" s="9" t="n">
        <v>222185.8</v>
      </c>
    </row>
    <row r="80" customFormat="false" ht="15" hidden="false" customHeight="false" outlineLevel="0" collapsed="false">
      <c r="A80" s="6" t="n">
        <v>75</v>
      </c>
      <c r="B80" s="5" t="s">
        <v>288</v>
      </c>
      <c r="C80" s="5" t="s">
        <v>838</v>
      </c>
      <c r="D80" s="5" t="s">
        <v>839</v>
      </c>
      <c r="E80" s="5" t="s">
        <v>77</v>
      </c>
      <c r="F80" s="11" t="n">
        <v>995</v>
      </c>
      <c r="G80" s="12" t="n">
        <v>77.4848</v>
      </c>
      <c r="H80" s="12" t="n">
        <v>81.3062</v>
      </c>
      <c r="J80" s="8" t="n">
        <v>3.81737</v>
      </c>
      <c r="K80" s="13" t="str">
        <f aca="false">IF(J80&gt;0,"прибыль",IF(J80&lt;0,"убыток","ноль"))</f>
        <v>прибыль</v>
      </c>
      <c r="L80" s="13" t="n">
        <f aca="false">IF(C80="",L79,IF(J80&lt;0,L79+1,0))</f>
        <v>0</v>
      </c>
      <c r="M80" s="14" t="n">
        <v>381.74</v>
      </c>
      <c r="N80" s="9" t="n">
        <v>3798.29</v>
      </c>
      <c r="O80" s="9" t="n">
        <v>225984.1</v>
      </c>
    </row>
    <row r="81" customFormat="false" ht="15" hidden="false" customHeight="false" outlineLevel="0" collapsed="false">
      <c r="A81" s="6" t="n">
        <v>76</v>
      </c>
      <c r="B81" s="5" t="s">
        <v>288</v>
      </c>
      <c r="C81" s="5" t="s">
        <v>839</v>
      </c>
      <c r="D81" s="5" t="s">
        <v>634</v>
      </c>
      <c r="E81" s="5" t="s">
        <v>77</v>
      </c>
      <c r="F81" s="11" t="n">
        <v>3415.86</v>
      </c>
      <c r="G81" s="12" t="n">
        <v>77.4848</v>
      </c>
      <c r="H81" s="12" t="n">
        <v>72.4171</v>
      </c>
      <c r="I81" s="5" t="s">
        <v>78</v>
      </c>
      <c r="J81" s="8" t="n">
        <v>-4.01239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1</v>
      </c>
      <c r="M81" s="14" t="n">
        <v>-401.24</v>
      </c>
      <c r="N81" s="9" t="n">
        <v>-13705.76</v>
      </c>
      <c r="O81" s="9" t="n">
        <v>212278.34</v>
      </c>
    </row>
    <row r="82" customFormat="false" ht="15" hidden="false" customHeight="false" outlineLevel="0" collapsed="false">
      <c r="A82" s="6" t="n">
        <v>77</v>
      </c>
      <c r="B82" s="5" t="s">
        <v>288</v>
      </c>
      <c r="C82" s="5" t="s">
        <v>634</v>
      </c>
      <c r="D82" s="5" t="s">
        <v>818</v>
      </c>
      <c r="E82" s="5" t="s">
        <v>81</v>
      </c>
      <c r="F82" s="11" t="n">
        <v>3283.68</v>
      </c>
      <c r="G82" s="12" t="n">
        <v>72.4171</v>
      </c>
      <c r="H82" s="12" t="n">
        <v>73.4229</v>
      </c>
      <c r="J82" s="8" t="n">
        <v>-1.01311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2</v>
      </c>
      <c r="M82" s="14" t="n">
        <v>-101.31</v>
      </c>
      <c r="N82" s="9" t="n">
        <v>-3326.74</v>
      </c>
      <c r="O82" s="9" t="n">
        <v>208951.59</v>
      </c>
    </row>
    <row r="83" customFormat="false" ht="15" hidden="false" customHeight="false" outlineLevel="0" collapsed="false">
      <c r="A83" s="6" t="n">
        <v>78</v>
      </c>
      <c r="B83" s="5" t="s">
        <v>288</v>
      </c>
      <c r="C83" s="5" t="s">
        <v>818</v>
      </c>
      <c r="D83" s="5" t="s">
        <v>750</v>
      </c>
      <c r="E83" s="5" t="s">
        <v>77</v>
      </c>
      <c r="F83" s="11" t="n">
        <v>3266.43</v>
      </c>
      <c r="G83" s="12" t="n">
        <v>73.4229</v>
      </c>
      <c r="H83" s="12" t="n">
        <v>74.7556</v>
      </c>
      <c r="J83" s="8" t="n">
        <v>1.32524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132.52</v>
      </c>
      <c r="N83" s="9" t="n">
        <v>4328.81</v>
      </c>
      <c r="O83" s="9" t="n">
        <v>213280.4</v>
      </c>
    </row>
    <row r="84" customFormat="false" ht="15" hidden="false" customHeight="false" outlineLevel="0" collapsed="false">
      <c r="A84" s="6" t="n">
        <v>79</v>
      </c>
      <c r="B84" s="5" t="s">
        <v>288</v>
      </c>
      <c r="C84" s="5" t="s">
        <v>750</v>
      </c>
      <c r="D84" s="5" t="s">
        <v>840</v>
      </c>
      <c r="E84" s="5" t="s">
        <v>81</v>
      </c>
      <c r="F84" s="11" t="n">
        <v>785.22</v>
      </c>
      <c r="G84" s="12" t="n">
        <v>74.2445</v>
      </c>
      <c r="H84" s="12" t="n">
        <v>77.6524</v>
      </c>
      <c r="I84" s="5" t="s">
        <v>78</v>
      </c>
      <c r="J84" s="8" t="n">
        <v>-0.1675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1</v>
      </c>
      <c r="M84" s="14" t="n">
        <v>-16.75</v>
      </c>
      <c r="N84" s="9" t="n">
        <v>-131.52</v>
      </c>
      <c r="O84" s="9" t="n">
        <v>213148.88</v>
      </c>
    </row>
    <row r="85" customFormat="false" ht="15" hidden="false" customHeight="false" outlineLevel="0" collapsed="false">
      <c r="A85" s="6" t="n">
        <v>80</v>
      </c>
      <c r="B85" s="5" t="s">
        <v>288</v>
      </c>
      <c r="C85" s="5" t="s">
        <v>840</v>
      </c>
      <c r="D85" s="5" t="s">
        <v>820</v>
      </c>
      <c r="E85" s="5" t="s">
        <v>81</v>
      </c>
      <c r="F85" s="11" t="n">
        <v>2941.63</v>
      </c>
      <c r="G85" s="12" t="n">
        <v>77.4918</v>
      </c>
      <c r="H85" s="12" t="n">
        <v>75.8886</v>
      </c>
      <c r="J85" s="8" t="n">
        <v>1.59594</v>
      </c>
      <c r="K85" s="13" t="str">
        <f aca="false">IF(J85&gt;0,"прибыль",IF(J85&lt;0,"убыток","ноль"))</f>
        <v>прибыль</v>
      </c>
      <c r="L85" s="13" t="n">
        <f aca="false">IF(C85="",L84,IF(J85&lt;0,L84+1,0))</f>
        <v>0</v>
      </c>
      <c r="M85" s="14" t="n">
        <v>159.59</v>
      </c>
      <c r="N85" s="9" t="n">
        <v>4694.66</v>
      </c>
      <c r="O85" s="9" t="n">
        <v>217843.54</v>
      </c>
    </row>
    <row r="86" customFormat="false" ht="15" hidden="false" customHeight="false" outlineLevel="0" collapsed="false">
      <c r="A86" s="6" t="n">
        <v>81</v>
      </c>
      <c r="B86" s="5" t="s">
        <v>288</v>
      </c>
      <c r="C86" s="5" t="s">
        <v>820</v>
      </c>
      <c r="D86" s="5" t="s">
        <v>821</v>
      </c>
      <c r="E86" s="5" t="s">
        <v>77</v>
      </c>
      <c r="F86" s="11" t="n">
        <v>2716.62</v>
      </c>
      <c r="G86" s="12" t="n">
        <v>75.8886</v>
      </c>
      <c r="H86" s="12" t="n">
        <v>74.6685</v>
      </c>
      <c r="J86" s="8" t="n">
        <v>-1.22783</v>
      </c>
      <c r="K86" s="13" t="str">
        <f aca="false">IF(J86&gt;0,"прибыль",IF(J86&lt;0,"убыток","ноль"))</f>
        <v>убыток</v>
      </c>
      <c r="L86" s="13" t="n">
        <f aca="false">IF(C86="",L85,IF(J86&lt;0,L85+1,0))</f>
        <v>1</v>
      </c>
      <c r="M86" s="14" t="n">
        <v>-122.78</v>
      </c>
      <c r="N86" s="9" t="n">
        <v>-3335.55</v>
      </c>
      <c r="O86" s="9" t="n">
        <v>214507.99</v>
      </c>
    </row>
    <row r="87" customFormat="false" ht="15" hidden="false" customHeight="false" outlineLevel="0" collapsed="false">
      <c r="A87" s="6" t="n">
        <v>82</v>
      </c>
      <c r="B87" s="5" t="s">
        <v>288</v>
      </c>
      <c r="C87" s="5" t="s">
        <v>821</v>
      </c>
      <c r="D87" s="5" t="s">
        <v>697</v>
      </c>
      <c r="E87" s="5" t="s">
        <v>81</v>
      </c>
      <c r="F87" s="11" t="n">
        <v>2953.65</v>
      </c>
      <c r="G87" s="12" t="n">
        <v>74.6685</v>
      </c>
      <c r="H87" s="12" t="n">
        <v>71.568</v>
      </c>
      <c r="J87" s="8" t="n">
        <v>3.09374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309.37</v>
      </c>
      <c r="N87" s="9" t="n">
        <v>9137.84</v>
      </c>
      <c r="O87" s="9" t="n">
        <v>223645.83</v>
      </c>
    </row>
    <row r="88" customFormat="false" ht="15" hidden="false" customHeight="false" outlineLevel="0" collapsed="false">
      <c r="A88" s="6" t="n">
        <v>83</v>
      </c>
      <c r="B88" s="5" t="s">
        <v>288</v>
      </c>
      <c r="C88" s="5" t="s">
        <v>697</v>
      </c>
      <c r="D88" s="5" t="s">
        <v>823</v>
      </c>
      <c r="E88" s="5" t="s">
        <v>77</v>
      </c>
      <c r="F88" s="11" t="n">
        <v>4309.68</v>
      </c>
      <c r="G88" s="12" t="n">
        <v>71.8617</v>
      </c>
      <c r="H88" s="12" t="n">
        <v>73.6153</v>
      </c>
      <c r="I88" s="5" t="s">
        <v>78</v>
      </c>
      <c r="J88" s="8" t="n">
        <v>2.15096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215.1</v>
      </c>
      <c r="N88" s="9" t="n">
        <v>9269.94</v>
      </c>
      <c r="O88" s="9" t="n">
        <v>232915.77</v>
      </c>
    </row>
    <row r="89" customFormat="false" ht="15" hidden="false" customHeight="false" outlineLevel="0" collapsed="false">
      <c r="A89" s="6" t="n">
        <v>84</v>
      </c>
      <c r="B89" s="5" t="s">
        <v>288</v>
      </c>
      <c r="C89" s="5" t="s">
        <v>823</v>
      </c>
      <c r="D89" s="5" t="s">
        <v>374</v>
      </c>
      <c r="E89" s="5" t="s">
        <v>81</v>
      </c>
      <c r="F89" s="11" t="n">
        <v>4435.63</v>
      </c>
      <c r="G89" s="12" t="n">
        <v>73.6153</v>
      </c>
      <c r="H89" s="12" t="n">
        <v>74.3732</v>
      </c>
      <c r="J89" s="8" t="n">
        <v>-0.76544</v>
      </c>
      <c r="K89" s="13" t="str">
        <f aca="false">IF(J89&gt;0,"прибыль",IF(J89&lt;0,"убыток","ноль"))</f>
        <v>убыток</v>
      </c>
      <c r="L89" s="13" t="n">
        <f aca="false">IF(C89="",L88,IF(J89&lt;0,L88+1,0))</f>
        <v>1</v>
      </c>
      <c r="M89" s="14" t="n">
        <v>-76.54</v>
      </c>
      <c r="N89" s="9" t="n">
        <v>-3395.23</v>
      </c>
      <c r="O89" s="9" t="n">
        <v>229520.54</v>
      </c>
    </row>
    <row r="90" customFormat="false" ht="15" hidden="false" customHeight="false" outlineLevel="0" collapsed="false">
      <c r="A90" s="6" t="n">
        <v>85</v>
      </c>
      <c r="B90" s="5" t="s">
        <v>288</v>
      </c>
      <c r="C90" s="5" t="s">
        <v>374</v>
      </c>
      <c r="D90" s="5" t="s">
        <v>824</v>
      </c>
      <c r="E90" s="5" t="s">
        <v>77</v>
      </c>
      <c r="F90" s="11" t="n">
        <v>4565.16</v>
      </c>
      <c r="G90" s="12" t="n">
        <v>74.3732</v>
      </c>
      <c r="H90" s="12" t="n">
        <v>74.0622</v>
      </c>
      <c r="J90" s="8" t="n">
        <v>-0.31887</v>
      </c>
      <c r="K90" s="13" t="str">
        <f aca="false">IF(J90&gt;0,"прибыль",IF(J90&lt;0,"убыток","ноль"))</f>
        <v>убыток</v>
      </c>
      <c r="L90" s="13" t="n">
        <f aca="false">IF(C90="",L89,IF(J90&lt;0,L89+1,0))</f>
        <v>2</v>
      </c>
      <c r="M90" s="14" t="n">
        <v>-31.89</v>
      </c>
      <c r="N90" s="9" t="n">
        <v>-1455.71</v>
      </c>
      <c r="O90" s="9" t="n">
        <v>228064.83</v>
      </c>
    </row>
    <row r="91" customFormat="false" ht="15" hidden="false" customHeight="false" outlineLevel="0" collapsed="false">
      <c r="A91" s="6" t="n">
        <v>86</v>
      </c>
      <c r="B91" s="5" t="s">
        <v>288</v>
      </c>
      <c r="C91" s="5" t="s">
        <v>824</v>
      </c>
      <c r="D91" s="5" t="s">
        <v>380</v>
      </c>
      <c r="E91" s="5" t="s">
        <v>81</v>
      </c>
      <c r="F91" s="11" t="n">
        <v>1843.39</v>
      </c>
      <c r="G91" s="12" t="n">
        <v>73.9467</v>
      </c>
      <c r="H91" s="12" t="n">
        <v>81.3449</v>
      </c>
      <c r="I91" s="5" t="s">
        <v>78</v>
      </c>
      <c r="J91" s="8" t="n">
        <v>-5.47915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3</v>
      </c>
      <c r="M91" s="14" t="n">
        <v>-547.91</v>
      </c>
      <c r="N91" s="9" t="n">
        <v>-10100.2</v>
      </c>
      <c r="O91" s="9" t="n">
        <v>217964.64</v>
      </c>
    </row>
    <row r="92" customFormat="false" ht="15" hidden="false" customHeight="false" outlineLevel="0" collapsed="false">
      <c r="A92" s="6" t="n">
        <v>87</v>
      </c>
      <c r="B92" s="5" t="s">
        <v>288</v>
      </c>
      <c r="C92" s="5" t="s">
        <v>380</v>
      </c>
      <c r="D92" s="5" t="s">
        <v>381</v>
      </c>
      <c r="E92" s="5" t="s">
        <v>81</v>
      </c>
      <c r="F92" s="11" t="n">
        <v>1312.77</v>
      </c>
      <c r="G92" s="12" t="n">
        <v>75.8754</v>
      </c>
      <c r="H92" s="12" t="n">
        <v>77.4846</v>
      </c>
      <c r="J92" s="8" t="n">
        <v>-1.61304</v>
      </c>
      <c r="K92" s="13" t="str">
        <f aca="false">IF(J92&gt;0,"прибыль",IF(J92&lt;0,"убыток","ноль"))</f>
        <v>убыток</v>
      </c>
      <c r="L92" s="13" t="n">
        <f aca="false">IF(C92="",L91,IF(J92&lt;0,L91+1,0))</f>
        <v>4</v>
      </c>
      <c r="M92" s="14" t="n">
        <v>-161.3</v>
      </c>
      <c r="N92" s="9" t="n">
        <v>-2117.55</v>
      </c>
      <c r="O92" s="9" t="n">
        <v>215847.09</v>
      </c>
    </row>
    <row r="93" customFormat="false" ht="15" hidden="false" customHeight="false" outlineLevel="0" collapsed="false">
      <c r="A93" s="6" t="n">
        <v>88</v>
      </c>
      <c r="B93" s="5" t="s">
        <v>288</v>
      </c>
      <c r="C93" s="5" t="s">
        <v>381</v>
      </c>
      <c r="D93" s="5" t="s">
        <v>384</v>
      </c>
      <c r="E93" s="5" t="s">
        <v>81</v>
      </c>
      <c r="F93" s="11" t="n">
        <v>1990.98</v>
      </c>
      <c r="G93" s="12" t="n">
        <v>76.0006</v>
      </c>
      <c r="H93" s="12" t="n">
        <v>69.6907</v>
      </c>
      <c r="I93" s="5" t="s">
        <v>78</v>
      </c>
      <c r="J93" s="8" t="n">
        <v>2.33238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233.24</v>
      </c>
      <c r="N93" s="9" t="n">
        <v>4643.72</v>
      </c>
      <c r="O93" s="9" t="n">
        <v>220490.8</v>
      </c>
    </row>
    <row r="94" customFormat="false" ht="15" hidden="false" customHeight="false" outlineLevel="0" collapsed="false">
      <c r="A94" s="6" t="n">
        <v>89</v>
      </c>
      <c r="B94" s="5" t="s">
        <v>288</v>
      </c>
      <c r="C94" s="5" t="s">
        <v>384</v>
      </c>
      <c r="D94" s="5" t="s">
        <v>385</v>
      </c>
      <c r="E94" s="5" t="s">
        <v>81</v>
      </c>
      <c r="F94" s="11" t="n">
        <v>1361.13</v>
      </c>
      <c r="G94" s="12" t="n">
        <v>72.0285</v>
      </c>
      <c r="H94" s="12" t="n">
        <v>65.1908</v>
      </c>
      <c r="J94" s="8" t="n">
        <v>6.83441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683.44</v>
      </c>
      <c r="N94" s="9" t="n">
        <v>9302.54</v>
      </c>
      <c r="O94" s="9" t="n">
        <v>229793.34</v>
      </c>
    </row>
    <row r="95" customFormat="false" ht="15" hidden="false" customHeight="false" outlineLevel="0" collapsed="false">
      <c r="A95" s="6" t="n">
        <v>90</v>
      </c>
      <c r="B95" s="5" t="s">
        <v>288</v>
      </c>
      <c r="C95" s="5" t="s">
        <v>385</v>
      </c>
      <c r="D95" s="5" t="s">
        <v>387</v>
      </c>
      <c r="E95" s="5" t="s">
        <v>81</v>
      </c>
      <c r="F95" s="11" t="n">
        <v>1937.45</v>
      </c>
      <c r="G95" s="12" t="n">
        <v>69.7948</v>
      </c>
      <c r="H95" s="12" t="n">
        <v>73.8393</v>
      </c>
      <c r="I95" s="5" t="s">
        <v>78</v>
      </c>
      <c r="J95" s="8" t="n">
        <v>-6.96949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1</v>
      </c>
      <c r="M95" s="14" t="n">
        <v>-696.95</v>
      </c>
      <c r="N95" s="9" t="n">
        <v>-13503.03</v>
      </c>
      <c r="O95" s="9" t="n">
        <v>216290.31</v>
      </c>
    </row>
    <row r="96" customFormat="false" ht="15" hidden="false" customHeight="false" outlineLevel="0" collapsed="false">
      <c r="A96" s="6" t="n">
        <v>91</v>
      </c>
      <c r="B96" s="5" t="s">
        <v>288</v>
      </c>
      <c r="C96" s="5" t="s">
        <v>387</v>
      </c>
      <c r="D96" s="5" t="s">
        <v>388</v>
      </c>
      <c r="E96" s="5" t="s">
        <v>81</v>
      </c>
      <c r="F96" s="11" t="n">
        <v>4319.57</v>
      </c>
      <c r="G96" s="12" t="n">
        <v>66.8796</v>
      </c>
      <c r="H96" s="12" t="n">
        <v>74.7313</v>
      </c>
      <c r="J96" s="8" t="n">
        <v>-7.85799</v>
      </c>
      <c r="K96" s="13" t="str">
        <f aca="false">IF(J96&gt;0,"прибыль",IF(J96&lt;0,"убыток","ноль"))</f>
        <v>убыток</v>
      </c>
      <c r="L96" s="13" t="n">
        <f aca="false">IF(C96="",L95,IF(J96&lt;0,L95+1,0))</f>
        <v>2</v>
      </c>
      <c r="M96" s="14" t="n">
        <v>-785.8</v>
      </c>
      <c r="N96" s="9" t="n">
        <v>-33943.15</v>
      </c>
      <c r="O96" s="9" t="n">
        <v>182347.16</v>
      </c>
    </row>
    <row r="97" customFormat="false" ht="15" hidden="false" customHeight="false" outlineLevel="0" collapsed="false">
      <c r="A97" s="6" t="n">
        <v>92</v>
      </c>
      <c r="B97" s="5" t="s">
        <v>288</v>
      </c>
      <c r="C97" s="5" t="s">
        <v>388</v>
      </c>
      <c r="D97" s="5" t="s">
        <v>389</v>
      </c>
      <c r="E97" s="5" t="s">
        <v>77</v>
      </c>
      <c r="F97" s="11" t="n">
        <v>919.9</v>
      </c>
      <c r="G97" s="12" t="n">
        <v>74.7313</v>
      </c>
      <c r="H97" s="12" t="n">
        <v>68.647</v>
      </c>
      <c r="J97" s="8" t="n">
        <v>-6.08774</v>
      </c>
      <c r="K97" s="13" t="str">
        <f aca="false">IF(J97&gt;0,"прибыль",IF(J97&lt;0,"убыток","ноль"))</f>
        <v>убыток</v>
      </c>
      <c r="L97" s="13" t="n">
        <f aca="false">IF(C97="",L96,IF(J97&lt;0,L96+1,0))</f>
        <v>3</v>
      </c>
      <c r="M97" s="14" t="n">
        <v>-608.77</v>
      </c>
      <c r="N97" s="9" t="n">
        <v>-5600.14</v>
      </c>
      <c r="O97" s="9" t="n">
        <v>176747.01</v>
      </c>
    </row>
    <row r="98" customFormat="false" ht="15" hidden="false" customHeight="false" outlineLevel="0" collapsed="false">
      <c r="A98" s="6" t="n">
        <v>93</v>
      </c>
      <c r="B98" s="5" t="s">
        <v>288</v>
      </c>
      <c r="C98" s="5" t="s">
        <v>389</v>
      </c>
      <c r="D98" s="5" t="s">
        <v>397</v>
      </c>
      <c r="E98" s="5" t="s">
        <v>77</v>
      </c>
      <c r="F98" s="11" t="n">
        <v>1469.53</v>
      </c>
      <c r="G98" s="12" t="n">
        <v>71.4374</v>
      </c>
      <c r="H98" s="12" t="n">
        <v>67.6595</v>
      </c>
      <c r="I98" s="5" t="s">
        <v>78</v>
      </c>
      <c r="J98" s="8" t="n">
        <v>-0.54414</v>
      </c>
      <c r="K98" s="13" t="str">
        <f aca="false">IF(J98&gt;0,"прибыль",IF(J98&lt;0,"убыток","ноль"))</f>
        <v>убыток</v>
      </c>
      <c r="L98" s="13" t="n">
        <f aca="false">IF(C98="",L97,IF(J98&lt;0,L97+1,0))</f>
        <v>4</v>
      </c>
      <c r="M98" s="14" t="n">
        <v>-54.41</v>
      </c>
      <c r="N98" s="9" t="n">
        <v>-799.64</v>
      </c>
      <c r="O98" s="9" t="n">
        <v>175947.38</v>
      </c>
    </row>
    <row r="99" customFormat="false" ht="15" hidden="false" customHeight="false" outlineLevel="0" collapsed="false">
      <c r="A99" s="6" t="n">
        <v>94</v>
      </c>
      <c r="B99" s="5" t="s">
        <v>288</v>
      </c>
      <c r="C99" s="5" t="s">
        <v>397</v>
      </c>
      <c r="D99" s="5" t="s">
        <v>399</v>
      </c>
      <c r="E99" s="5" t="s">
        <v>77</v>
      </c>
      <c r="F99" s="11" t="n">
        <v>1792.84</v>
      </c>
      <c r="G99" s="12" t="n">
        <v>68.1886</v>
      </c>
      <c r="H99" s="12" t="n">
        <v>65.6938</v>
      </c>
      <c r="I99" s="5" t="s">
        <v>78</v>
      </c>
      <c r="J99" s="8" t="n">
        <v>-1.18583</v>
      </c>
      <c r="K99" s="13" t="str">
        <f aca="false">IF(J99&gt;0,"прибыль",IF(J99&lt;0,"убыток","ноль"))</f>
        <v>убыток</v>
      </c>
      <c r="L99" s="13" t="n">
        <f aca="false">IF(C99="",L98,IF(J99&lt;0,L98+1,0))</f>
        <v>5</v>
      </c>
      <c r="M99" s="14" t="n">
        <v>-118.58</v>
      </c>
      <c r="N99" s="9" t="n">
        <v>-2126</v>
      </c>
      <c r="O99" s="9" t="n">
        <v>173821.38</v>
      </c>
    </row>
    <row r="100" customFormat="false" ht="15" hidden="false" customHeight="false" outlineLevel="0" collapsed="false">
      <c r="A100" s="6" t="n">
        <v>95</v>
      </c>
      <c r="B100" s="5" t="s">
        <v>288</v>
      </c>
      <c r="C100" s="5" t="s">
        <v>399</v>
      </c>
      <c r="D100" s="5" t="s">
        <v>825</v>
      </c>
      <c r="E100" s="5" t="s">
        <v>77</v>
      </c>
      <c r="F100" s="11" t="n">
        <v>6053.94</v>
      </c>
      <c r="G100" s="12" t="n">
        <v>66.0578</v>
      </c>
      <c r="H100" s="12" t="n">
        <v>63.091</v>
      </c>
      <c r="I100" s="5" t="s">
        <v>78</v>
      </c>
      <c r="J100" s="8" t="n">
        <v>-2.55764</v>
      </c>
      <c r="K100" s="13" t="str">
        <f aca="false">IF(J100&gt;0,"прибыль",IF(J100&lt;0,"убыток","ноль"))</f>
        <v>убыток</v>
      </c>
      <c r="L100" s="13" t="n">
        <f aca="false">IF(C100="",L99,IF(J100&lt;0,L99+1,0))</f>
        <v>6</v>
      </c>
      <c r="M100" s="14" t="n">
        <v>-255.76</v>
      </c>
      <c r="N100" s="9" t="n">
        <v>-15483.8</v>
      </c>
      <c r="O100" s="9" t="n">
        <v>158337.58</v>
      </c>
    </row>
    <row r="101" customFormat="false" ht="15" hidden="false" customHeight="false" outlineLevel="0" collapsed="false">
      <c r="A101" s="6" t="n">
        <v>96</v>
      </c>
      <c r="B101" s="5" t="s">
        <v>288</v>
      </c>
      <c r="C101" s="5" t="s">
        <v>825</v>
      </c>
      <c r="D101" s="5" t="s">
        <v>403</v>
      </c>
      <c r="E101" s="5" t="s">
        <v>81</v>
      </c>
      <c r="F101" s="11" t="n">
        <v>5788.89</v>
      </c>
      <c r="G101" s="12" t="n">
        <v>63.091</v>
      </c>
      <c r="H101" s="12" t="n">
        <v>62.7598</v>
      </c>
      <c r="J101" s="8" t="n">
        <v>0.32501</v>
      </c>
      <c r="K101" s="13" t="str">
        <f aca="false">IF(J101&gt;0,"прибыль",IF(J101&lt;0,"убыток","ноль"))</f>
        <v>прибыль</v>
      </c>
      <c r="L101" s="13" t="n">
        <f aca="false">IF(C101="",L100,IF(J101&lt;0,L100+1,0))</f>
        <v>0</v>
      </c>
      <c r="M101" s="14" t="n">
        <v>32.5</v>
      </c>
      <c r="N101" s="9" t="n">
        <v>1881.45</v>
      </c>
      <c r="O101" s="9" t="n">
        <v>160219.03</v>
      </c>
    </row>
    <row r="102" customFormat="false" ht="15" hidden="false" customHeight="false" outlineLevel="0" collapsed="false">
      <c r="A102" s="6" t="n">
        <v>97</v>
      </c>
      <c r="B102" s="5" t="s">
        <v>288</v>
      </c>
      <c r="C102" s="5" t="s">
        <v>403</v>
      </c>
      <c r="D102" s="5" t="s">
        <v>826</v>
      </c>
      <c r="E102" s="5" t="s">
        <v>77</v>
      </c>
      <c r="F102" s="11" t="n">
        <v>5703.92</v>
      </c>
      <c r="G102" s="12" t="n">
        <v>62.7598</v>
      </c>
      <c r="H102" s="12" t="n">
        <v>62.8095</v>
      </c>
      <c r="J102" s="8" t="n">
        <v>0.04353</v>
      </c>
      <c r="K102" s="13" t="str">
        <f aca="false">IF(J102&gt;0,"прибыль",IF(J102&lt;0,"убыток","ноль"))</f>
        <v>прибыль</v>
      </c>
      <c r="L102" s="13" t="n">
        <f aca="false">IF(C102="",L101,IF(J102&lt;0,L101+1,0))</f>
        <v>0</v>
      </c>
      <c r="M102" s="14" t="n">
        <v>4.35</v>
      </c>
      <c r="N102" s="9" t="n">
        <v>248.3</v>
      </c>
      <c r="O102" s="9" t="n">
        <v>160467.33</v>
      </c>
    </row>
    <row r="103" customFormat="false" ht="15" hidden="false" customHeight="false" outlineLevel="0" collapsed="false">
      <c r="A103" s="6" t="n">
        <v>98</v>
      </c>
      <c r="B103" s="5" t="s">
        <v>288</v>
      </c>
      <c r="C103" s="5" t="s">
        <v>826</v>
      </c>
      <c r="D103" s="5" t="s">
        <v>827</v>
      </c>
      <c r="E103" s="5" t="s">
        <v>81</v>
      </c>
      <c r="F103" s="11" t="n">
        <v>5584.53</v>
      </c>
      <c r="G103" s="12" t="n">
        <v>62.8095</v>
      </c>
      <c r="H103" s="12" t="n">
        <v>63.5798</v>
      </c>
      <c r="J103" s="8" t="n">
        <v>-0.77672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1</v>
      </c>
      <c r="M103" s="14" t="n">
        <v>-77.67</v>
      </c>
      <c r="N103" s="9" t="n">
        <v>-4337.64</v>
      </c>
      <c r="O103" s="9" t="n">
        <v>156129.7</v>
      </c>
    </row>
    <row r="104" customFormat="false" ht="15" hidden="false" customHeight="false" outlineLevel="0" collapsed="false">
      <c r="A104" s="6" t="n">
        <v>99</v>
      </c>
      <c r="B104" s="5" t="s">
        <v>288</v>
      </c>
      <c r="C104" s="5" t="s">
        <v>827</v>
      </c>
      <c r="D104" s="5" t="s">
        <v>828</v>
      </c>
      <c r="E104" s="5" t="s">
        <v>77</v>
      </c>
      <c r="F104" s="11" t="n">
        <v>5730.51</v>
      </c>
      <c r="G104" s="12" t="n">
        <v>63.5798</v>
      </c>
      <c r="H104" s="12" t="n">
        <v>62.4906</v>
      </c>
      <c r="I104" s="5" t="s">
        <v>78</v>
      </c>
      <c r="J104" s="8" t="n">
        <v>-1.11554</v>
      </c>
      <c r="K104" s="13" t="str">
        <f aca="false">IF(J104&gt;0,"прибыль",IF(J104&lt;0,"убыток","ноль"))</f>
        <v>убыток</v>
      </c>
      <c r="L104" s="13" t="n">
        <f aca="false">IF(C104="",L103,IF(J104&lt;0,L103+1,0))</f>
        <v>2</v>
      </c>
      <c r="M104" s="14" t="n">
        <v>-111.55</v>
      </c>
      <c r="N104" s="9" t="n">
        <v>-6392.61</v>
      </c>
      <c r="O104" s="9" t="n">
        <v>149737.08</v>
      </c>
    </row>
    <row r="105" customFormat="false" ht="15" hidden="false" customHeight="false" outlineLevel="0" collapsed="false">
      <c r="A105" s="6" t="n">
        <v>100</v>
      </c>
      <c r="B105" s="5" t="s">
        <v>288</v>
      </c>
      <c r="C105" s="5" t="s">
        <v>828</v>
      </c>
      <c r="D105" s="5" t="s">
        <v>405</v>
      </c>
      <c r="E105" s="5" t="s">
        <v>81</v>
      </c>
      <c r="F105" s="11" t="n">
        <v>1673.8</v>
      </c>
      <c r="G105" s="12" t="n">
        <v>62.6477</v>
      </c>
      <c r="H105" s="12" t="n">
        <v>61.9493</v>
      </c>
      <c r="J105" s="8" t="n">
        <v>0.69224</v>
      </c>
      <c r="K105" s="13" t="str">
        <f aca="false">IF(J105&gt;0,"прибыль",IF(J105&lt;0,"убыток","ноль"))</f>
        <v>прибыль</v>
      </c>
      <c r="L105" s="13" t="n">
        <f aca="false">IF(C105="",L104,IF(J105&lt;0,L104+1,0))</f>
        <v>0</v>
      </c>
      <c r="M105" s="14" t="n">
        <v>69.22</v>
      </c>
      <c r="N105" s="9" t="n">
        <v>1158.67</v>
      </c>
      <c r="O105" s="9" t="n">
        <v>150895.75</v>
      </c>
    </row>
    <row r="106" customFormat="false" ht="15" hidden="false" customHeight="false" outlineLevel="0" collapsed="false">
      <c r="A106" s="6" t="n">
        <v>101</v>
      </c>
      <c r="B106" s="5" t="s">
        <v>288</v>
      </c>
      <c r="C106" s="5" t="s">
        <v>405</v>
      </c>
      <c r="D106" s="5" t="s">
        <v>406</v>
      </c>
      <c r="E106" s="5" t="s">
        <v>81</v>
      </c>
      <c r="F106" s="11" t="n">
        <v>5738.61</v>
      </c>
      <c r="G106" s="12" t="n">
        <v>62.6477</v>
      </c>
      <c r="H106" s="12" t="n">
        <v>63.5681</v>
      </c>
      <c r="I106" s="5" t="s">
        <v>78</v>
      </c>
      <c r="J106" s="8" t="n">
        <v>-1.29021</v>
      </c>
      <c r="K106" s="13" t="str">
        <f aca="false">IF(J106&gt;0,"прибыль",IF(J106&lt;0,"убыток","ноль"))</f>
        <v>убыток</v>
      </c>
      <c r="L106" s="13" t="n">
        <f aca="false">IF(C106="",L105,IF(J106&lt;0,L105+1,0))</f>
        <v>1</v>
      </c>
      <c r="M106" s="14" t="n">
        <v>-129.02</v>
      </c>
      <c r="N106" s="9" t="n">
        <v>-7404.01</v>
      </c>
      <c r="O106" s="9" t="n">
        <v>143491.74</v>
      </c>
    </row>
    <row r="107" customFormat="false" ht="15" hidden="false" customHeight="false" outlineLevel="0" collapsed="false">
      <c r="A107" s="6" t="n">
        <v>102</v>
      </c>
      <c r="B107" s="5" t="s">
        <v>288</v>
      </c>
      <c r="C107" s="5" t="s">
        <v>406</v>
      </c>
      <c r="D107" s="5" t="s">
        <v>407</v>
      </c>
      <c r="E107" s="5" t="s">
        <v>77</v>
      </c>
      <c r="F107" s="11" t="n">
        <v>4786.29</v>
      </c>
      <c r="G107" s="12" t="n">
        <v>63.5681</v>
      </c>
      <c r="H107" s="12" t="n">
        <v>63.9422</v>
      </c>
      <c r="J107" s="8" t="n">
        <v>0.36769</v>
      </c>
      <c r="K107" s="13" t="str">
        <f aca="false">IF(J107&gt;0,"прибыль",IF(J107&lt;0,"убыток","ноль"))</f>
        <v>прибыль</v>
      </c>
      <c r="L107" s="13" t="n">
        <f aca="false">IF(C107="",L106,IF(J107&lt;0,L106+1,0))</f>
        <v>0</v>
      </c>
      <c r="M107" s="14" t="n">
        <v>36.77</v>
      </c>
      <c r="N107" s="9" t="n">
        <v>1759.85</v>
      </c>
      <c r="O107" s="9" t="n">
        <v>145251.59</v>
      </c>
    </row>
    <row r="108" customFormat="false" ht="15" hidden="false" customHeight="false" outlineLevel="0" collapsed="false">
      <c r="A108" s="6" t="n">
        <v>103</v>
      </c>
      <c r="B108" s="5" t="s">
        <v>288</v>
      </c>
      <c r="C108" s="5" t="s">
        <v>407</v>
      </c>
      <c r="D108" s="5" t="s">
        <v>537</v>
      </c>
      <c r="E108" s="5" t="s">
        <v>81</v>
      </c>
      <c r="F108" s="11" t="n">
        <v>4815.77</v>
      </c>
      <c r="G108" s="12" t="n">
        <v>63.9422</v>
      </c>
      <c r="H108" s="12" t="n">
        <v>64.4655</v>
      </c>
      <c r="J108" s="8" t="n">
        <v>-0.52991</v>
      </c>
      <c r="K108" s="13" t="str">
        <f aca="false">IF(J108&gt;0,"прибыль",IF(J108&lt;0,"убыток","ноль"))</f>
        <v>убыток</v>
      </c>
      <c r="L108" s="13" t="n">
        <f aca="false">IF(C108="",L107,IF(J108&lt;0,L107+1,0))</f>
        <v>1</v>
      </c>
      <c r="M108" s="14" t="n">
        <v>-52.99</v>
      </c>
      <c r="N108" s="9" t="n">
        <v>-2551.92</v>
      </c>
      <c r="O108" s="9" t="n">
        <v>142699.67</v>
      </c>
    </row>
    <row r="109" customFormat="false" ht="15" hidden="false" customHeight="false" outlineLevel="0" collapsed="false">
      <c r="A109" s="6" t="n">
        <v>104</v>
      </c>
      <c r="B109" s="5" t="s">
        <v>288</v>
      </c>
      <c r="C109" s="5" t="s">
        <v>537</v>
      </c>
      <c r="D109" s="5" t="s">
        <v>539</v>
      </c>
      <c r="E109" s="5" t="s">
        <v>77</v>
      </c>
      <c r="F109" s="11" t="n">
        <v>5058.28</v>
      </c>
      <c r="G109" s="12" t="n">
        <v>64.4655</v>
      </c>
      <c r="H109" s="12" t="n">
        <v>64.0363</v>
      </c>
      <c r="J109" s="8" t="n">
        <v>-0.43578</v>
      </c>
      <c r="K109" s="13" t="str">
        <f aca="false">IF(J109&gt;0,"прибыль",IF(J109&lt;0,"убыток","ноль"))</f>
        <v>убыток</v>
      </c>
      <c r="L109" s="13" t="n">
        <f aca="false">IF(C109="",L108,IF(J109&lt;0,L108+1,0))</f>
        <v>2</v>
      </c>
      <c r="M109" s="14" t="n">
        <v>-43.58</v>
      </c>
      <c r="N109" s="9" t="n">
        <v>-2204.32</v>
      </c>
      <c r="O109" s="9" t="n">
        <v>140495.36</v>
      </c>
    </row>
    <row r="110" customFormat="false" ht="15" hidden="false" customHeight="false" outlineLevel="0" collapsed="false">
      <c r="A110" s="6" t="n">
        <v>105</v>
      </c>
      <c r="B110" s="5" t="s">
        <v>288</v>
      </c>
      <c r="C110" s="5" t="s">
        <v>539</v>
      </c>
      <c r="D110" s="5" t="s">
        <v>841</v>
      </c>
      <c r="E110" s="5" t="s">
        <v>81</v>
      </c>
      <c r="F110" s="11" t="n">
        <v>1054.39</v>
      </c>
      <c r="G110" s="12" t="n">
        <v>64.0363</v>
      </c>
      <c r="H110" s="12" t="n">
        <v>69.267</v>
      </c>
      <c r="J110" s="8" t="n">
        <v>-5.23422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3</v>
      </c>
      <c r="M110" s="14" t="n">
        <v>-523.42</v>
      </c>
      <c r="N110" s="9" t="n">
        <v>-5518.92</v>
      </c>
      <c r="O110" s="9" t="n">
        <v>134976.44</v>
      </c>
    </row>
    <row r="111" customFormat="false" ht="15" hidden="false" customHeight="false" outlineLevel="0" collapsed="false">
      <c r="A111" s="6" t="n">
        <v>106</v>
      </c>
      <c r="B111" s="5" t="s">
        <v>288</v>
      </c>
      <c r="C111" s="5" t="s">
        <v>841</v>
      </c>
      <c r="D111" s="5" t="s">
        <v>842</v>
      </c>
      <c r="E111" s="5" t="s">
        <v>81</v>
      </c>
      <c r="F111" s="11" t="n">
        <v>906.35</v>
      </c>
      <c r="G111" s="12" t="n">
        <v>64.0363</v>
      </c>
      <c r="H111" s="12" t="n">
        <v>72.1372</v>
      </c>
      <c r="I111" s="5" t="s">
        <v>78</v>
      </c>
      <c r="J111" s="8" t="n">
        <v>-12.28904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4</v>
      </c>
      <c r="M111" s="14" t="n">
        <v>-1228.9</v>
      </c>
      <c r="N111" s="9" t="n">
        <v>-11138.2</v>
      </c>
      <c r="O111" s="9" t="n">
        <v>123838.24</v>
      </c>
    </row>
    <row r="112" customFormat="false" ht="15" hidden="false" customHeight="false" outlineLevel="0" collapsed="false">
      <c r="A112" s="6" t="n">
        <v>107</v>
      </c>
      <c r="B112" s="5" t="s">
        <v>288</v>
      </c>
      <c r="C112" s="5" t="s">
        <v>842</v>
      </c>
      <c r="D112" s="5" t="s">
        <v>409</v>
      </c>
      <c r="E112" s="5" t="s">
        <v>81</v>
      </c>
      <c r="F112" s="11" t="n">
        <v>1040.05</v>
      </c>
      <c r="G112" s="12" t="n">
        <v>59.8517</v>
      </c>
      <c r="H112" s="12" t="n">
        <v>105.7635</v>
      </c>
      <c r="I112" s="5" t="s">
        <v>78</v>
      </c>
      <c r="J112" s="8" t="n">
        <v>-39.47487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5</v>
      </c>
      <c r="M112" s="14" t="n">
        <v>-3947.49</v>
      </c>
      <c r="N112" s="9" t="n">
        <v>-41056.01</v>
      </c>
      <c r="O112" s="9" t="n">
        <v>82782.23</v>
      </c>
    </row>
    <row r="113" customFormat="false" ht="15" hidden="false" customHeight="false" outlineLevel="0" collapsed="false">
      <c r="A113" s="6" t="n">
        <v>108</v>
      </c>
      <c r="B113" s="5" t="s">
        <v>288</v>
      </c>
      <c r="C113" s="5" t="s">
        <v>409</v>
      </c>
      <c r="D113" s="5" t="s">
        <v>410</v>
      </c>
      <c r="E113" s="5" t="s">
        <v>81</v>
      </c>
      <c r="F113" s="11" t="n">
        <v>722.85</v>
      </c>
      <c r="G113" s="12" t="n">
        <v>66.2939</v>
      </c>
      <c r="H113" s="12" t="n">
        <v>101.3484</v>
      </c>
      <c r="J113" s="8" t="n">
        <v>-35.05963</v>
      </c>
      <c r="K113" s="13" t="str">
        <f aca="false">IF(J113&gt;0,"прибыль",IF(J113&lt;0,"убыток","ноль"))</f>
        <v>убыток</v>
      </c>
      <c r="L113" s="13" t="n">
        <f aca="false">IF(C113="",L112,IF(J113&lt;0,L112+1,0))</f>
        <v>6</v>
      </c>
      <c r="M113" s="14" t="n">
        <v>-3505.96</v>
      </c>
      <c r="N113" s="9" t="n">
        <v>-25342.91</v>
      </c>
      <c r="O113" s="9" t="n">
        <v>57439.32</v>
      </c>
    </row>
    <row r="114" customFormat="false" ht="15" hidden="false" customHeight="false" outlineLevel="0" collapsed="false">
      <c r="A114" s="6" t="n">
        <v>109</v>
      </c>
      <c r="B114" s="5" t="s">
        <v>288</v>
      </c>
      <c r="C114" s="5" t="s">
        <v>410</v>
      </c>
      <c r="D114" s="5" t="s">
        <v>829</v>
      </c>
      <c r="E114" s="5" t="s">
        <v>81</v>
      </c>
      <c r="F114" s="11" t="n">
        <v>1454.02</v>
      </c>
      <c r="G114" s="12" t="n">
        <v>66.2939</v>
      </c>
      <c r="H114" s="12" t="n">
        <v>102.204</v>
      </c>
      <c r="J114" s="8" t="n">
        <v>-35.91986</v>
      </c>
      <c r="K114" s="13" t="str">
        <f aca="false">IF(J114&gt;0,"прибыль",IF(J114&lt;0,"убыток","ноль"))</f>
        <v>убыток</v>
      </c>
      <c r="L114" s="13" t="n">
        <f aca="false">IF(C114="",L113,IF(J114&lt;0,L113+1,0))</f>
        <v>7</v>
      </c>
      <c r="M114" s="14" t="n">
        <v>-3591.99</v>
      </c>
      <c r="N114" s="9" t="n">
        <v>-52228.35</v>
      </c>
      <c r="O114" s="9" t="n">
        <v>5210.96</v>
      </c>
    </row>
    <row r="115" customFormat="false" ht="15" hidden="false" customHeight="false" outlineLevel="0" collapsed="false">
      <c r="A115" s="6" t="n">
        <v>110</v>
      </c>
      <c r="B115" s="5" t="s">
        <v>288</v>
      </c>
      <c r="C115" s="5" t="s">
        <v>829</v>
      </c>
      <c r="D115" s="5" t="s">
        <v>843</v>
      </c>
      <c r="E115" s="5" t="s">
        <v>77</v>
      </c>
      <c r="F115" s="11" t="n">
        <v>283.38</v>
      </c>
      <c r="G115" s="12" t="n">
        <v>102.204</v>
      </c>
      <c r="H115" s="12" t="n">
        <v>107.83</v>
      </c>
      <c r="J115" s="8" t="n">
        <v>5.62062</v>
      </c>
      <c r="K115" s="13" t="str">
        <f aca="false">IF(J115&gt;0,"прибыль",IF(J115&lt;0,"убыток","ноль"))</f>
        <v>прибыль</v>
      </c>
      <c r="L115" s="13" t="n">
        <f aca="false">IF(C115="",L114,IF(J115&lt;0,L114+1,0))</f>
        <v>0</v>
      </c>
      <c r="M115" s="14" t="n">
        <v>562.06</v>
      </c>
      <c r="N115" s="9" t="n">
        <v>1592.78</v>
      </c>
      <c r="O115" s="9" t="n">
        <v>6803.75</v>
      </c>
    </row>
    <row r="116" customFormat="false" ht="15" hidden="false" customHeight="false" outlineLevel="0" collapsed="false">
      <c r="A116" s="6" t="n">
        <v>111</v>
      </c>
      <c r="B116" s="5" t="s">
        <v>288</v>
      </c>
      <c r="C116" s="5" t="s">
        <v>843</v>
      </c>
      <c r="D116" s="5" t="s">
        <v>622</v>
      </c>
      <c r="E116" s="5" t="s">
        <v>77</v>
      </c>
      <c r="F116" s="11" t="n">
        <v>559.98</v>
      </c>
      <c r="G116" s="12" t="n">
        <v>100.8738</v>
      </c>
      <c r="H116" s="12" t="n">
        <v>84.5761</v>
      </c>
      <c r="I116" s="5" t="s">
        <v>78</v>
      </c>
      <c r="J116" s="8" t="n">
        <v>-8.28067</v>
      </c>
      <c r="K116" s="13" t="str">
        <f aca="false">IF(J116&gt;0,"прибыль",IF(J116&lt;0,"убыток","ноль"))</f>
        <v>убыток</v>
      </c>
      <c r="L116" s="13" t="n">
        <f aca="false">IF(C116="",L115,IF(J116&lt;0,L115+1,0))</f>
        <v>1</v>
      </c>
      <c r="M116" s="14" t="n">
        <v>-828.07</v>
      </c>
      <c r="N116" s="9" t="n">
        <v>-4637.03</v>
      </c>
      <c r="O116" s="9" t="n">
        <v>2166.72</v>
      </c>
    </row>
    <row r="117" customFormat="false" ht="15" hidden="false" customHeight="false" outlineLevel="0" collapsed="false">
      <c r="A117" s="6" t="n">
        <v>112</v>
      </c>
      <c r="B117" s="5" t="s">
        <v>288</v>
      </c>
      <c r="C117" s="5" t="s">
        <v>622</v>
      </c>
      <c r="D117" s="5" t="s">
        <v>707</v>
      </c>
      <c r="E117" s="5" t="s">
        <v>77</v>
      </c>
      <c r="F117" s="11" t="n">
        <v>416.94</v>
      </c>
      <c r="G117" s="12" t="n">
        <v>92.8408</v>
      </c>
      <c r="H117" s="12" t="n">
        <v>92.304</v>
      </c>
      <c r="J117" s="8" t="n">
        <v>-0.54137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2</v>
      </c>
      <c r="M117" s="14" t="n">
        <v>-54.14</v>
      </c>
      <c r="N117" s="9" t="n">
        <v>-225.72</v>
      </c>
      <c r="O117" s="9" t="n">
        <v>1941</v>
      </c>
    </row>
    <row r="118" customFormat="false" ht="15" hidden="false" customHeight="false" outlineLevel="0" collapsed="false">
      <c r="A118" s="6" t="n">
        <v>113</v>
      </c>
      <c r="B118" s="5" t="s">
        <v>288</v>
      </c>
      <c r="C118" s="5" t="s">
        <v>707</v>
      </c>
      <c r="D118" s="5" t="s">
        <v>831</v>
      </c>
      <c r="E118" s="5" t="s">
        <v>77</v>
      </c>
      <c r="F118" s="11" t="n">
        <v>1664.94</v>
      </c>
      <c r="G118" s="12" t="n">
        <v>92.8408</v>
      </c>
      <c r="H118" s="12" t="n">
        <v>78.7052</v>
      </c>
      <c r="I118" s="5" t="s">
        <v>78</v>
      </c>
      <c r="J118" s="8" t="n">
        <v>-9.31101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3</v>
      </c>
      <c r="M118" s="14" t="n">
        <v>-931.1</v>
      </c>
      <c r="N118" s="9" t="n">
        <v>-15502.23</v>
      </c>
      <c r="O118" s="9" t="n">
        <v>-13561.23</v>
      </c>
    </row>
    <row r="119" customFormat="false" ht="15" hidden="false" customHeight="false" outlineLevel="0" collapsed="false">
      <c r="A119" s="6" t="n">
        <v>114</v>
      </c>
      <c r="B119" s="5" t="s">
        <v>288</v>
      </c>
      <c r="C119" s="5" t="s">
        <v>831</v>
      </c>
      <c r="D119" s="5" t="s">
        <v>424</v>
      </c>
      <c r="E119" s="5" t="s">
        <v>81</v>
      </c>
      <c r="F119" s="11" t="n">
        <v>1535.67</v>
      </c>
      <c r="G119" s="12" t="n">
        <v>78.7052</v>
      </c>
      <c r="H119" s="12" t="n">
        <v>84.0417</v>
      </c>
      <c r="J119" s="8" t="n">
        <v>-5.34456</v>
      </c>
      <c r="K119" s="13" t="str">
        <f aca="false">IF(J119&gt;0,"прибыль",IF(J119&lt;0,"убыток","ноль"))</f>
        <v>убыток</v>
      </c>
      <c r="L119" s="13" t="n">
        <f aca="false">IF(C119="",L118,IF(J119&lt;0,L118+1,0))</f>
        <v>4</v>
      </c>
      <c r="M119" s="14" t="n">
        <v>-534.46</v>
      </c>
      <c r="N119" s="9" t="n">
        <v>-8207.46</v>
      </c>
      <c r="O119" s="9" t="n">
        <v>-21768.68</v>
      </c>
    </row>
    <row r="120" customFormat="false" ht="15" hidden="false" customHeight="false" outlineLevel="0" collapsed="false">
      <c r="A120" s="6" t="n">
        <v>115</v>
      </c>
      <c r="B120" s="5" t="s">
        <v>288</v>
      </c>
      <c r="C120" s="5" t="s">
        <v>424</v>
      </c>
      <c r="D120" s="5" t="s">
        <v>832</v>
      </c>
      <c r="E120" s="5" t="s">
        <v>77</v>
      </c>
      <c r="F120" s="11" t="n">
        <v>1397.52</v>
      </c>
      <c r="G120" s="12" t="n">
        <v>84.0417</v>
      </c>
      <c r="H120" s="12" t="n">
        <v>82.3009</v>
      </c>
      <c r="J120" s="8" t="n">
        <v>-1.74907</v>
      </c>
      <c r="K120" s="13" t="str">
        <f aca="false">IF(J120&gt;0,"прибыль",IF(J120&lt;0,"убыток","ноль"))</f>
        <v>убыток</v>
      </c>
      <c r="L120" s="13" t="n">
        <f aca="false">IF(C120="",L119,IF(J120&lt;0,L119+1,0))</f>
        <v>5</v>
      </c>
      <c r="M120" s="14" t="n">
        <v>-174.91</v>
      </c>
      <c r="N120" s="9" t="n">
        <v>-2444.37</v>
      </c>
      <c r="O120" s="9" t="n">
        <v>-24213.05</v>
      </c>
    </row>
    <row r="121" customFormat="false" ht="15" hidden="false" customHeight="false" outlineLevel="0" collapsed="false">
      <c r="A121" s="6" t="n">
        <v>116</v>
      </c>
      <c r="B121" s="5" t="s">
        <v>288</v>
      </c>
      <c r="C121" s="5" t="s">
        <v>832</v>
      </c>
      <c r="D121" s="5" t="s">
        <v>833</v>
      </c>
      <c r="E121" s="5" t="s">
        <v>81</v>
      </c>
      <c r="F121" s="11" t="n">
        <v>1415.2</v>
      </c>
      <c r="G121" s="12" t="n">
        <v>82.3009</v>
      </c>
      <c r="H121" s="12" t="n">
        <v>90.311</v>
      </c>
      <c r="J121" s="8" t="n">
        <v>-8.01867</v>
      </c>
      <c r="K121" s="13" t="str">
        <f aca="false">IF(J121&gt;0,"прибыль",IF(J121&lt;0,"убыток","ноль"))</f>
        <v>убыток</v>
      </c>
      <c r="L121" s="13" t="n">
        <f aca="false">IF(C121="",L120,IF(J121&lt;0,L120+1,0))</f>
        <v>6</v>
      </c>
      <c r="M121" s="14" t="n">
        <v>-801.87</v>
      </c>
      <c r="N121" s="9" t="n">
        <v>-11348.01</v>
      </c>
      <c r="O121" s="9" t="n">
        <v>-35561.06</v>
      </c>
    </row>
    <row r="122" customFormat="false" ht="15" hidden="false" customHeight="false" outlineLevel="0" collapsed="false">
      <c r="A122" s="6" t="n">
        <v>117</v>
      </c>
      <c r="B122" s="5" t="s">
        <v>288</v>
      </c>
      <c r="C122" s="5" t="s">
        <v>833</v>
      </c>
      <c r="D122" s="5" t="s">
        <v>834</v>
      </c>
      <c r="E122" s="5" t="s">
        <v>77</v>
      </c>
      <c r="F122" s="11" t="n">
        <v>2172.07</v>
      </c>
      <c r="G122" s="12" t="n">
        <v>90.0756</v>
      </c>
      <c r="H122" s="12" t="n">
        <v>89.1851</v>
      </c>
      <c r="J122" s="8" t="n">
        <v>-0.90166</v>
      </c>
      <c r="K122" s="13" t="str">
        <f aca="false">IF(J122&gt;0,"прибыль",IF(J122&lt;0,"убыток","ноль"))</f>
        <v>убыток</v>
      </c>
      <c r="L122" s="13" t="n">
        <f aca="false">IF(C122="",L121,IF(J122&lt;0,L121+1,0))</f>
        <v>7</v>
      </c>
      <c r="M122" s="14" t="n">
        <v>-90.17</v>
      </c>
      <c r="N122" s="9" t="n">
        <v>-1958.46</v>
      </c>
      <c r="O122" s="9" t="n">
        <v>-37519.52</v>
      </c>
    </row>
    <row r="123" customFormat="false" ht="15" hidden="false" customHeight="false" outlineLevel="0" collapsed="false">
      <c r="A123" s="6" t="n">
        <v>118</v>
      </c>
      <c r="B123" s="5" t="s">
        <v>288</v>
      </c>
      <c r="C123" s="5" t="s">
        <v>834</v>
      </c>
      <c r="D123" s="5" t="s">
        <v>835</v>
      </c>
      <c r="E123" s="5" t="s">
        <v>81</v>
      </c>
      <c r="F123" s="11" t="n">
        <v>2321.68</v>
      </c>
      <c r="G123" s="12" t="n">
        <v>89.1851</v>
      </c>
      <c r="H123" s="12" t="n">
        <v>101.0953</v>
      </c>
      <c r="I123" s="5" t="s">
        <v>78</v>
      </c>
      <c r="J123" s="8" t="n">
        <v>-9.83349</v>
      </c>
      <c r="K123" s="13" t="str">
        <f aca="false">IF(J123&gt;0,"прибыль",IF(J123&lt;0,"убыток","ноль"))</f>
        <v>убыток</v>
      </c>
      <c r="L123" s="13" t="n">
        <f aca="false">IF(C123="",L122,IF(J123&lt;0,L122+1,0))</f>
        <v>8</v>
      </c>
      <c r="M123" s="14" t="n">
        <v>-983.35</v>
      </c>
      <c r="N123" s="9" t="n">
        <v>-22830.22</v>
      </c>
      <c r="O123" s="9" t="n">
        <v>-60349.74</v>
      </c>
    </row>
    <row r="124" customFormat="false" ht="15" hidden="false" customHeight="false" outlineLevel="0" collapsed="false">
      <c r="A124" s="6" t="n">
        <v>119</v>
      </c>
      <c r="B124" s="5" t="s">
        <v>288</v>
      </c>
      <c r="C124" s="5" t="s">
        <v>835</v>
      </c>
      <c r="D124" s="5" t="s">
        <v>427</v>
      </c>
      <c r="E124" s="5" t="s">
        <v>77</v>
      </c>
      <c r="F124" s="11" t="n">
        <v>676.81</v>
      </c>
      <c r="G124" s="12" t="n">
        <v>101.0953</v>
      </c>
      <c r="H124" s="12" t="n">
        <v>108.4954</v>
      </c>
      <c r="J124" s="8" t="n">
        <v>7.39465</v>
      </c>
      <c r="K124" s="13" t="str">
        <f aca="false">IF(J124&gt;0,"прибыль",IF(J124&lt;0,"убыток","ноль"))</f>
        <v>прибыль</v>
      </c>
      <c r="L124" s="13" t="n">
        <f aca="false">IF(C124="",L123,IF(J124&lt;0,L123+1,0))</f>
        <v>0</v>
      </c>
      <c r="M124" s="14" t="n">
        <v>739.47</v>
      </c>
      <c r="N124" s="9" t="n">
        <v>5004.76</v>
      </c>
      <c r="O124" s="9" t="n">
        <v>-55344.98</v>
      </c>
    </row>
    <row r="125" customFormat="false" ht="15" hidden="false" customHeight="false" outlineLevel="0" collapsed="false">
      <c r="A125" s="6" t="n">
        <v>120</v>
      </c>
      <c r="B125" s="5" t="s">
        <v>288</v>
      </c>
      <c r="D125" s="5" t="s">
        <v>428</v>
      </c>
      <c r="E125" s="5" t="s">
        <v>77</v>
      </c>
      <c r="F125" s="11" t="n">
        <v>1783</v>
      </c>
      <c r="H125" s="12" t="n">
        <v>102.44</v>
      </c>
      <c r="J125" s="8" t="n">
        <v>2.54578</v>
      </c>
      <c r="K125" s="13" t="str">
        <f aca="false">IF(J125&gt;0,"прибыль",IF(J125&lt;0,"убыток","ноль"))</f>
        <v>прибыль</v>
      </c>
      <c r="L125" s="13" t="n">
        <f aca="false">IF(C125="",L124,IF(J125&lt;0,L124+1,0))</f>
        <v>0</v>
      </c>
      <c r="M125" s="14" t="n">
        <v>254.58</v>
      </c>
      <c r="N125" s="9" t="n">
        <v>4539.12</v>
      </c>
      <c r="O125" s="9" t="n">
        <v>-50805.87</v>
      </c>
      <c r="P125" s="5" t="s">
        <v>429</v>
      </c>
    </row>
  </sheetData>
  <autoFilter ref="A5:P1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844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845</v>
      </c>
      <c r="D6" s="5" t="s">
        <v>83</v>
      </c>
      <c r="E6" s="5" t="s">
        <v>81</v>
      </c>
      <c r="F6" s="11" t="n">
        <v>7841.95</v>
      </c>
      <c r="G6" s="12" t="n">
        <v>124.6338</v>
      </c>
      <c r="H6" s="12" t="n">
        <v>118.8499</v>
      </c>
      <c r="I6" s="5" t="s">
        <v>78</v>
      </c>
      <c r="J6" s="8" t="n">
        <v>2.23561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223.56</v>
      </c>
      <c r="N6" s="9" t="n">
        <v>17531.52</v>
      </c>
      <c r="O6" s="9" t="n">
        <v>17531.52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83</v>
      </c>
      <c r="D7" s="5" t="s">
        <v>85</v>
      </c>
      <c r="E7" s="5" t="s">
        <v>77</v>
      </c>
      <c r="F7" s="11" t="n">
        <v>1948.43</v>
      </c>
      <c r="G7" s="12" t="n">
        <v>118.9601</v>
      </c>
      <c r="H7" s="12" t="n">
        <v>99.1056</v>
      </c>
      <c r="I7" s="5" t="s">
        <v>78</v>
      </c>
      <c r="J7" s="8" t="n">
        <v>-14.7021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1</v>
      </c>
      <c r="M7" s="14" t="n">
        <v>-1470.21</v>
      </c>
      <c r="N7" s="9" t="n">
        <v>-28646.08</v>
      </c>
      <c r="O7" s="9" t="n">
        <v>-11114.56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85</v>
      </c>
      <c r="D8" s="5" t="s">
        <v>846</v>
      </c>
      <c r="E8" s="5" t="s">
        <v>77</v>
      </c>
      <c r="F8" s="11" t="n">
        <v>7164.85</v>
      </c>
      <c r="G8" s="12" t="n">
        <v>113.7981</v>
      </c>
      <c r="H8" s="12" t="n">
        <v>95.7887</v>
      </c>
      <c r="I8" s="5" t="s">
        <v>78</v>
      </c>
      <c r="J8" s="8" t="n">
        <v>-18.97707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2</v>
      </c>
      <c r="M8" s="14" t="n">
        <v>-1897.71</v>
      </c>
      <c r="N8" s="9" t="n">
        <v>-135967.92</v>
      </c>
      <c r="O8" s="9" t="n">
        <v>-147082.49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847</v>
      </c>
      <c r="D9" s="5" t="s">
        <v>848</v>
      </c>
      <c r="E9" s="5" t="s">
        <v>77</v>
      </c>
      <c r="F9" s="11" t="n">
        <v>9917.35</v>
      </c>
      <c r="G9" s="12" t="n">
        <v>113.9036</v>
      </c>
      <c r="H9" s="12" t="n">
        <v>113.0651</v>
      </c>
      <c r="I9" s="5" t="s">
        <v>78</v>
      </c>
      <c r="J9" s="8" t="n">
        <v>-0.84006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3</v>
      </c>
      <c r="M9" s="14" t="n">
        <v>-84.01</v>
      </c>
      <c r="N9" s="9" t="n">
        <v>-8331.19</v>
      </c>
      <c r="O9" s="9" t="n">
        <v>-155413.68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849</v>
      </c>
      <c r="D10" s="5" t="s">
        <v>98</v>
      </c>
      <c r="E10" s="5" t="s">
        <v>77</v>
      </c>
      <c r="F10" s="11" t="n">
        <v>3025.61</v>
      </c>
      <c r="G10" s="12" t="n">
        <v>110.8547</v>
      </c>
      <c r="H10" s="12" t="n">
        <v>110.5808</v>
      </c>
      <c r="J10" s="8" t="n">
        <v>-0.29488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4</v>
      </c>
      <c r="M10" s="14" t="n">
        <v>-29.49</v>
      </c>
      <c r="N10" s="9" t="n">
        <v>-892.2</v>
      </c>
      <c r="O10" s="9" t="n">
        <v>-156305.88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98</v>
      </c>
      <c r="D11" s="5" t="s">
        <v>101</v>
      </c>
      <c r="E11" s="5" t="s">
        <v>77</v>
      </c>
      <c r="F11" s="11" t="n">
        <v>10112.56</v>
      </c>
      <c r="G11" s="12" t="n">
        <v>110.7972</v>
      </c>
      <c r="H11" s="12" t="n">
        <v>108.8244</v>
      </c>
      <c r="I11" s="5" t="s">
        <v>78</v>
      </c>
      <c r="J11" s="8" t="n">
        <v>0.89774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89.77</v>
      </c>
      <c r="N11" s="9" t="n">
        <v>9078.43</v>
      </c>
      <c r="O11" s="9" t="n">
        <v>-147227.44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850</v>
      </c>
      <c r="D12" s="5" t="s">
        <v>851</v>
      </c>
      <c r="E12" s="5" t="s">
        <v>81</v>
      </c>
      <c r="F12" s="11" t="n">
        <v>8106.26</v>
      </c>
      <c r="G12" s="12" t="n">
        <v>105.5706</v>
      </c>
      <c r="H12" s="12" t="n">
        <v>108.8159</v>
      </c>
      <c r="I12" s="5" t="s">
        <v>78</v>
      </c>
      <c r="J12" s="8" t="n">
        <v>-4.10527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1</v>
      </c>
      <c r="M12" s="14" t="n">
        <v>-410.53</v>
      </c>
      <c r="N12" s="9" t="n">
        <v>-33278.38</v>
      </c>
      <c r="O12" s="9" t="n">
        <v>-180505.82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112</v>
      </c>
      <c r="D13" s="5" t="s">
        <v>852</v>
      </c>
      <c r="E13" s="5" t="s">
        <v>77</v>
      </c>
      <c r="F13" s="11" t="n">
        <v>1970.81</v>
      </c>
      <c r="G13" s="12" t="n">
        <v>108.8558</v>
      </c>
      <c r="H13" s="12" t="n">
        <v>107.1842</v>
      </c>
      <c r="I13" s="5" t="s">
        <v>78</v>
      </c>
      <c r="J13" s="8" t="n">
        <v>0.22038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22.04</v>
      </c>
      <c r="N13" s="9" t="n">
        <v>434.33</v>
      </c>
      <c r="O13" s="9" t="n">
        <v>-180071.49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852</v>
      </c>
      <c r="D14" s="5" t="s">
        <v>117</v>
      </c>
      <c r="E14" s="5" t="s">
        <v>77</v>
      </c>
      <c r="F14" s="11" t="n">
        <v>7355.11</v>
      </c>
      <c r="G14" s="12" t="n">
        <v>106.9332</v>
      </c>
      <c r="H14" s="12" t="n">
        <v>108.2529</v>
      </c>
      <c r="I14" s="5" t="s">
        <v>78</v>
      </c>
      <c r="J14" s="8" t="n">
        <v>1.59011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159.01</v>
      </c>
      <c r="N14" s="9" t="n">
        <v>11695.47</v>
      </c>
      <c r="O14" s="9" t="n">
        <v>-168376.03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853</v>
      </c>
      <c r="D15" s="5" t="s">
        <v>854</v>
      </c>
      <c r="E15" s="5" t="s">
        <v>77</v>
      </c>
      <c r="F15" s="11" t="n">
        <v>8778.18</v>
      </c>
      <c r="G15" s="12" t="n">
        <v>109.6063</v>
      </c>
      <c r="H15" s="12" t="n">
        <v>106.3145</v>
      </c>
      <c r="I15" s="5" t="s">
        <v>78</v>
      </c>
      <c r="J15" s="8" t="n">
        <v>-2.61656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1</v>
      </c>
      <c r="M15" s="14" t="n">
        <v>-261.66</v>
      </c>
      <c r="N15" s="9" t="n">
        <v>-22968.62</v>
      </c>
      <c r="O15" s="9" t="n">
        <v>-191344.64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855</v>
      </c>
      <c r="D16" s="5" t="s">
        <v>856</v>
      </c>
      <c r="E16" s="5" t="s">
        <v>77</v>
      </c>
      <c r="F16" s="11" t="n">
        <v>9767.29</v>
      </c>
      <c r="G16" s="12" t="n">
        <v>106.7894</v>
      </c>
      <c r="H16" s="12" t="n">
        <v>109.709</v>
      </c>
      <c r="I16" s="5" t="s">
        <v>78</v>
      </c>
      <c r="J16" s="8" t="n">
        <v>2.15285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215.28</v>
      </c>
      <c r="N16" s="9" t="n">
        <v>21027.47</v>
      </c>
      <c r="O16" s="9" t="n">
        <v>-170317.17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857</v>
      </c>
      <c r="D17" s="5" t="s">
        <v>858</v>
      </c>
      <c r="E17" s="5" t="s">
        <v>81</v>
      </c>
      <c r="F17" s="11" t="n">
        <v>3113.79</v>
      </c>
      <c r="G17" s="12" t="n">
        <v>107.1963</v>
      </c>
      <c r="H17" s="12" t="n">
        <v>105.6015</v>
      </c>
      <c r="J17" s="8" t="n">
        <v>1.56401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156.4</v>
      </c>
      <c r="N17" s="9" t="n">
        <v>4869.99</v>
      </c>
      <c r="O17" s="9" t="n">
        <v>-165447.18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858</v>
      </c>
      <c r="D18" s="5" t="s">
        <v>859</v>
      </c>
      <c r="E18" s="5" t="s">
        <v>81</v>
      </c>
      <c r="F18" s="11" t="n">
        <v>11550.32</v>
      </c>
      <c r="G18" s="12" t="n">
        <v>107.1963</v>
      </c>
      <c r="H18" s="12" t="n">
        <v>101.9633</v>
      </c>
      <c r="I18" s="5" t="s">
        <v>78</v>
      </c>
      <c r="J18" s="8" t="n">
        <v>6.57393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657.39</v>
      </c>
      <c r="N18" s="9" t="n">
        <v>75931.04</v>
      </c>
      <c r="O18" s="9" t="n">
        <v>-89516.14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860</v>
      </c>
      <c r="D19" s="5" t="s">
        <v>861</v>
      </c>
      <c r="E19" s="5" t="s">
        <v>81</v>
      </c>
      <c r="F19" s="11" t="n">
        <v>3379.96</v>
      </c>
      <c r="G19" s="12" t="n">
        <v>98.61</v>
      </c>
      <c r="H19" s="12" t="n">
        <v>87.0148</v>
      </c>
      <c r="I19" s="5" t="s">
        <v>78</v>
      </c>
      <c r="J19" s="8" t="n">
        <v>13.60387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1360.39</v>
      </c>
      <c r="N19" s="9" t="n">
        <v>45980.53</v>
      </c>
      <c r="O19" s="9" t="n">
        <v>-43535.61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861</v>
      </c>
      <c r="D20" s="5" t="s">
        <v>138</v>
      </c>
      <c r="E20" s="5" t="s">
        <v>81</v>
      </c>
      <c r="F20" s="11" t="n">
        <v>2204.07</v>
      </c>
      <c r="G20" s="12" t="n">
        <v>95.9626</v>
      </c>
      <c r="H20" s="12" t="n">
        <v>72.5912</v>
      </c>
      <c r="I20" s="5" t="s">
        <v>78</v>
      </c>
      <c r="J20" s="8" t="n">
        <v>25.58539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2558.54</v>
      </c>
      <c r="N20" s="9" t="n">
        <v>56392.09</v>
      </c>
      <c r="O20" s="9" t="n">
        <v>12856.48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138</v>
      </c>
      <c r="D21" s="5" t="s">
        <v>139</v>
      </c>
      <c r="E21" s="5" t="s">
        <v>81</v>
      </c>
      <c r="F21" s="11" t="n">
        <v>1744.32</v>
      </c>
      <c r="G21" s="12" t="n">
        <v>98.1845</v>
      </c>
      <c r="H21" s="12" t="n">
        <v>61.657</v>
      </c>
      <c r="I21" s="5" t="s">
        <v>78</v>
      </c>
      <c r="J21" s="8" t="n">
        <v>38.49464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3849.46</v>
      </c>
      <c r="N21" s="9" t="n">
        <v>67146.84</v>
      </c>
      <c r="O21" s="9" t="n">
        <v>80003.32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139</v>
      </c>
      <c r="D22" s="5" t="s">
        <v>140</v>
      </c>
      <c r="E22" s="5" t="s">
        <v>81</v>
      </c>
      <c r="F22" s="11" t="n">
        <v>2114.7</v>
      </c>
      <c r="G22" s="12" t="n">
        <v>90.4696</v>
      </c>
      <c r="H22" s="12" t="n">
        <v>55.0057</v>
      </c>
      <c r="I22" s="5" t="s">
        <v>78</v>
      </c>
      <c r="J22" s="8" t="n">
        <v>39.76593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3976.59</v>
      </c>
      <c r="N22" s="9" t="n">
        <v>84093.21</v>
      </c>
      <c r="O22" s="9" t="n">
        <v>164096.53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140</v>
      </c>
      <c r="D23" s="5" t="s">
        <v>143</v>
      </c>
      <c r="E23" s="5" t="s">
        <v>81</v>
      </c>
      <c r="F23" s="11" t="n">
        <v>6015.15</v>
      </c>
      <c r="G23" s="12" t="n">
        <v>87.6819</v>
      </c>
      <c r="H23" s="12" t="n">
        <v>56.0395</v>
      </c>
      <c r="I23" s="5" t="s">
        <v>78</v>
      </c>
      <c r="J23" s="8" t="n">
        <v>37.58398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3758.4</v>
      </c>
      <c r="N23" s="9" t="n">
        <v>226073.34</v>
      </c>
      <c r="O23" s="9" t="n">
        <v>390169.88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145</v>
      </c>
      <c r="D24" s="5" t="s">
        <v>862</v>
      </c>
      <c r="E24" s="5" t="s">
        <v>81</v>
      </c>
      <c r="F24" s="11" t="n">
        <v>9219.43</v>
      </c>
      <c r="G24" s="12" t="n">
        <v>64.6012</v>
      </c>
      <c r="H24" s="12" t="n">
        <v>66.3498</v>
      </c>
      <c r="I24" s="5" t="s">
        <v>78</v>
      </c>
      <c r="J24" s="8" t="n">
        <v>-1.33777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-133.78</v>
      </c>
      <c r="N24" s="9" t="n">
        <v>-12333.49</v>
      </c>
      <c r="O24" s="9" t="n">
        <v>377836.38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153</v>
      </c>
      <c r="D25" s="5" t="s">
        <v>863</v>
      </c>
      <c r="E25" s="5" t="s">
        <v>81</v>
      </c>
      <c r="F25" s="11" t="n">
        <v>8615.71</v>
      </c>
      <c r="G25" s="12" t="n">
        <v>63.2356</v>
      </c>
      <c r="H25" s="12" t="n">
        <v>56.6094</v>
      </c>
      <c r="I25" s="5" t="s">
        <v>78</v>
      </c>
      <c r="J25" s="8" t="n">
        <v>6.08182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608.18</v>
      </c>
      <c r="N25" s="9" t="n">
        <v>52399.18</v>
      </c>
      <c r="O25" s="9" t="n">
        <v>430235.56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864</v>
      </c>
      <c r="D26" s="5" t="s">
        <v>865</v>
      </c>
      <c r="E26" s="5" t="s">
        <v>81</v>
      </c>
      <c r="F26" s="11" t="n">
        <v>11866.46</v>
      </c>
      <c r="G26" s="12" t="n">
        <v>46.2531</v>
      </c>
      <c r="H26" s="12" t="n">
        <v>36.7988</v>
      </c>
      <c r="I26" s="5" t="s">
        <v>78</v>
      </c>
      <c r="J26" s="8" t="n">
        <v>12.29516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1229.52</v>
      </c>
      <c r="N26" s="9" t="n">
        <v>145899.95</v>
      </c>
      <c r="O26" s="9" t="n">
        <v>576135.51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866</v>
      </c>
      <c r="D27" s="5" t="s">
        <v>164</v>
      </c>
      <c r="E27" s="5" t="s">
        <v>77</v>
      </c>
      <c r="F27" s="11" t="n">
        <v>3166.35</v>
      </c>
      <c r="G27" s="12" t="n">
        <v>28.9422</v>
      </c>
      <c r="H27" s="12" t="n">
        <v>32.0784</v>
      </c>
      <c r="J27" s="8" t="n">
        <v>3.12967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312.97</v>
      </c>
      <c r="N27" s="9" t="n">
        <v>9909.63</v>
      </c>
      <c r="O27" s="9" t="n">
        <v>586045.14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164</v>
      </c>
      <c r="D28" s="5" t="s">
        <v>165</v>
      </c>
      <c r="E28" s="5" t="s">
        <v>77</v>
      </c>
      <c r="F28" s="11" t="n">
        <v>2067.18</v>
      </c>
      <c r="G28" s="12" t="n">
        <v>28.9422</v>
      </c>
      <c r="H28" s="12" t="n">
        <v>35.3866</v>
      </c>
      <c r="I28" s="5" t="s">
        <v>78</v>
      </c>
      <c r="J28" s="8" t="n">
        <v>6.96838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696.84</v>
      </c>
      <c r="N28" s="9" t="n">
        <v>14404.91</v>
      </c>
      <c r="O28" s="9" t="n">
        <v>600450.05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165</v>
      </c>
      <c r="D29" s="5" t="s">
        <v>867</v>
      </c>
      <c r="E29" s="5" t="s">
        <v>77</v>
      </c>
      <c r="F29" s="11" t="n">
        <v>6823.3</v>
      </c>
      <c r="G29" s="12" t="n">
        <v>29.3372</v>
      </c>
      <c r="H29" s="12" t="n">
        <v>36.9781</v>
      </c>
      <c r="I29" s="5" t="s">
        <v>78</v>
      </c>
      <c r="J29" s="8" t="n">
        <v>6.90239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690.24</v>
      </c>
      <c r="N29" s="9" t="n">
        <v>47097.1</v>
      </c>
      <c r="O29" s="9" t="n">
        <v>647547.15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867</v>
      </c>
      <c r="D30" s="5" t="s">
        <v>868</v>
      </c>
      <c r="E30" s="5" t="s">
        <v>81</v>
      </c>
      <c r="F30" s="11" t="n">
        <v>10069.01</v>
      </c>
      <c r="G30" s="12" t="n">
        <v>37.9572</v>
      </c>
      <c r="H30" s="12" t="n">
        <v>37.6391</v>
      </c>
      <c r="I30" s="5" t="s">
        <v>78</v>
      </c>
      <c r="J30" s="8" t="n">
        <v>-0.64378</v>
      </c>
      <c r="K30" s="13" t="str">
        <f aca="false">IF(J30&gt;0,"прибыль",IF(J30&lt;0,"убыток","ноль"))</f>
        <v>убыток</v>
      </c>
      <c r="L30" s="13" t="n">
        <f aca="false">IF(C30="",L29,IF(J30&lt;0,L29+1,0))</f>
        <v>1</v>
      </c>
      <c r="M30" s="14" t="n">
        <v>-64.38</v>
      </c>
      <c r="N30" s="9" t="n">
        <v>-6482.27</v>
      </c>
      <c r="O30" s="9" t="n">
        <v>641064.88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868</v>
      </c>
      <c r="D31" s="5" t="s">
        <v>869</v>
      </c>
      <c r="E31" s="5" t="s">
        <v>77</v>
      </c>
      <c r="F31" s="11" t="n">
        <v>0</v>
      </c>
      <c r="G31" s="12" t="n">
        <v>37.6391</v>
      </c>
      <c r="H31" s="12" t="n">
        <v>38.3251</v>
      </c>
      <c r="J31" s="8" t="n">
        <v>0.68407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68.41</v>
      </c>
      <c r="N31" s="9" t="n">
        <v>0</v>
      </c>
      <c r="O31" s="9" t="n">
        <v>641064.88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869</v>
      </c>
      <c r="D32" s="5" t="s">
        <v>169</v>
      </c>
      <c r="E32" s="5" t="s">
        <v>77</v>
      </c>
      <c r="F32" s="11" t="n">
        <v>2552.12</v>
      </c>
      <c r="G32" s="12" t="n">
        <v>37.6391</v>
      </c>
      <c r="H32" s="12" t="n">
        <v>42.7196</v>
      </c>
      <c r="J32" s="8" t="n">
        <v>5.07835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507.84</v>
      </c>
      <c r="N32" s="9" t="n">
        <v>12960.57</v>
      </c>
      <c r="O32" s="9" t="n">
        <v>654025.45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169</v>
      </c>
      <c r="D33" s="5" t="s">
        <v>870</v>
      </c>
      <c r="E33" s="5" t="s">
        <v>77</v>
      </c>
      <c r="F33" s="11" t="n">
        <v>9894.3</v>
      </c>
      <c r="G33" s="12" t="n">
        <v>37.6391</v>
      </c>
      <c r="H33" s="12" t="n">
        <v>45.0204</v>
      </c>
      <c r="I33" s="5" t="s">
        <v>78</v>
      </c>
      <c r="J33" s="8" t="n">
        <v>7.73585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773.59</v>
      </c>
      <c r="N33" s="9" t="n">
        <v>76540.87</v>
      </c>
      <c r="O33" s="9" t="n">
        <v>730566.31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871</v>
      </c>
      <c r="D34" s="5" t="s">
        <v>872</v>
      </c>
      <c r="E34" s="5" t="s">
        <v>81</v>
      </c>
      <c r="F34" s="11" t="n">
        <v>9010.12</v>
      </c>
      <c r="G34" s="12" t="n">
        <v>49.0138</v>
      </c>
      <c r="H34" s="12" t="n">
        <v>42.0175</v>
      </c>
      <c r="I34" s="5" t="s">
        <v>78</v>
      </c>
      <c r="J34" s="8" t="n">
        <v>6.79551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679.55</v>
      </c>
      <c r="N34" s="9" t="n">
        <v>61228.4</v>
      </c>
      <c r="O34" s="9" t="n">
        <v>791794.71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873</v>
      </c>
      <c r="D35" s="5" t="s">
        <v>874</v>
      </c>
      <c r="E35" s="5" t="s">
        <v>77</v>
      </c>
      <c r="F35" s="11" t="n">
        <v>9217</v>
      </c>
      <c r="G35" s="12" t="n">
        <v>46.7829</v>
      </c>
      <c r="H35" s="12" t="n">
        <v>51.2187</v>
      </c>
      <c r="I35" s="5" t="s">
        <v>78</v>
      </c>
      <c r="J35" s="8" t="n">
        <v>2.83696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283.7</v>
      </c>
      <c r="N35" s="9" t="n">
        <v>26148.27</v>
      </c>
      <c r="O35" s="9" t="n">
        <v>817942.98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874</v>
      </c>
      <c r="D36" s="5" t="s">
        <v>875</v>
      </c>
      <c r="E36" s="5" t="s">
        <v>81</v>
      </c>
      <c r="F36" s="11" t="n">
        <v>0</v>
      </c>
      <c r="G36" s="12" t="n">
        <v>51.2187</v>
      </c>
      <c r="H36" s="12" t="n">
        <v>51.8204</v>
      </c>
      <c r="J36" s="8" t="n">
        <v>-0.60429</v>
      </c>
      <c r="K36" s="13" t="str">
        <f aca="false">IF(J36&gt;0,"прибыль",IF(J36&lt;0,"убыток","ноль"))</f>
        <v>убыток</v>
      </c>
      <c r="L36" s="13" t="n">
        <f aca="false">IF(C36="",L35,IF(J36&lt;0,L35+1,0))</f>
        <v>1</v>
      </c>
      <c r="M36" s="14" t="n">
        <v>-60.43</v>
      </c>
      <c r="N36" s="9" t="n">
        <v>0</v>
      </c>
      <c r="O36" s="9" t="n">
        <v>817942.98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875</v>
      </c>
      <c r="D37" s="5" t="s">
        <v>876</v>
      </c>
      <c r="E37" s="5" t="s">
        <v>81</v>
      </c>
      <c r="F37" s="11" t="n">
        <v>14222.47</v>
      </c>
      <c r="G37" s="12" t="n">
        <v>50.9387</v>
      </c>
      <c r="H37" s="12" t="n">
        <v>47.1691</v>
      </c>
      <c r="I37" s="5" t="s">
        <v>78</v>
      </c>
      <c r="J37" s="8" t="n">
        <v>3.37613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337.61</v>
      </c>
      <c r="N37" s="9" t="n">
        <v>48016.92</v>
      </c>
      <c r="O37" s="9" t="n">
        <v>865959.9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877</v>
      </c>
      <c r="D38" s="5" t="s">
        <v>189</v>
      </c>
      <c r="E38" s="5" t="s">
        <v>81</v>
      </c>
      <c r="F38" s="11" t="n">
        <v>3160.89</v>
      </c>
      <c r="G38" s="12" t="n">
        <v>55.7827</v>
      </c>
      <c r="H38" s="12" t="n">
        <v>55.2512</v>
      </c>
      <c r="J38" s="8" t="n">
        <v>0.51677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51.68</v>
      </c>
      <c r="N38" s="9" t="n">
        <v>1633.45</v>
      </c>
      <c r="O38" s="9" t="n">
        <v>867593.35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189</v>
      </c>
      <c r="D39" s="5" t="s">
        <v>878</v>
      </c>
      <c r="E39" s="5" t="s">
        <v>81</v>
      </c>
      <c r="F39" s="11" t="n">
        <v>10288.1</v>
      </c>
      <c r="G39" s="12" t="n">
        <v>55.7827</v>
      </c>
      <c r="H39" s="12" t="n">
        <v>56.7307</v>
      </c>
      <c r="I39" s="5" t="s">
        <v>78</v>
      </c>
      <c r="J39" s="8" t="n">
        <v>-0.07901</v>
      </c>
      <c r="K39" s="13" t="str">
        <f aca="false">IF(J39&gt;0,"прибыль",IF(J39&lt;0,"убыток","ноль"))</f>
        <v>убыток</v>
      </c>
      <c r="L39" s="13" t="n">
        <f aca="false">IF(C39="",L38,IF(J39&lt;0,L38+1,0))</f>
        <v>1</v>
      </c>
      <c r="M39" s="14" t="n">
        <v>-7.9</v>
      </c>
      <c r="N39" s="9" t="n">
        <v>-812.82</v>
      </c>
      <c r="O39" s="9" t="n">
        <v>866780.54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669</v>
      </c>
      <c r="D40" s="5" t="s">
        <v>194</v>
      </c>
      <c r="E40" s="5" t="s">
        <v>81</v>
      </c>
      <c r="F40" s="11" t="n">
        <v>4826.08</v>
      </c>
      <c r="G40" s="12" t="n">
        <v>55.1232</v>
      </c>
      <c r="H40" s="12" t="n">
        <v>52.6598</v>
      </c>
      <c r="J40" s="8" t="n">
        <v>2.45195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245.19</v>
      </c>
      <c r="N40" s="9" t="n">
        <v>11833.3</v>
      </c>
      <c r="O40" s="9" t="n">
        <v>878613.84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194</v>
      </c>
      <c r="D41" s="5" t="s">
        <v>879</v>
      </c>
      <c r="E41" s="5" t="s">
        <v>81</v>
      </c>
      <c r="F41" s="11" t="n">
        <v>10515.21</v>
      </c>
      <c r="G41" s="12" t="n">
        <v>55.1232</v>
      </c>
      <c r="H41" s="12" t="n">
        <v>54.3631</v>
      </c>
      <c r="I41" s="5" t="s">
        <v>78</v>
      </c>
      <c r="J41" s="8" t="n">
        <v>1.14416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114.42</v>
      </c>
      <c r="N41" s="9" t="n">
        <v>12031.07</v>
      </c>
      <c r="O41" s="9" t="n">
        <v>890644.9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880</v>
      </c>
      <c r="D42" s="5" t="s">
        <v>881</v>
      </c>
      <c r="E42" s="5" t="s">
        <v>77</v>
      </c>
      <c r="F42" s="11" t="n">
        <v>3475.89</v>
      </c>
      <c r="G42" s="12" t="n">
        <v>50.5827</v>
      </c>
      <c r="H42" s="12" t="n">
        <v>49.3505</v>
      </c>
      <c r="J42" s="8" t="n">
        <v>-1.24701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1</v>
      </c>
      <c r="M42" s="14" t="n">
        <v>-124.7</v>
      </c>
      <c r="N42" s="9" t="n">
        <v>-4334.48</v>
      </c>
      <c r="O42" s="9" t="n">
        <v>886310.43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881</v>
      </c>
      <c r="D43" s="5" t="s">
        <v>882</v>
      </c>
      <c r="E43" s="5" t="s">
        <v>77</v>
      </c>
      <c r="F43" s="11" t="n">
        <v>3591.54</v>
      </c>
      <c r="G43" s="12" t="n">
        <v>50.5827</v>
      </c>
      <c r="H43" s="12" t="n">
        <v>51.2072</v>
      </c>
      <c r="J43" s="8" t="n">
        <v>0.62189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62.19</v>
      </c>
      <c r="N43" s="9" t="n">
        <v>2233.54</v>
      </c>
      <c r="O43" s="9" t="n">
        <v>888543.96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882</v>
      </c>
      <c r="D44" s="5" t="s">
        <v>883</v>
      </c>
      <c r="E44" s="5" t="s">
        <v>77</v>
      </c>
      <c r="F44" s="11" t="n">
        <v>9853.99</v>
      </c>
      <c r="G44" s="12" t="n">
        <v>50.5827</v>
      </c>
      <c r="H44" s="12" t="n">
        <v>50.0836</v>
      </c>
      <c r="I44" s="5" t="s">
        <v>78</v>
      </c>
      <c r="J44" s="8" t="n">
        <v>-0.43129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1</v>
      </c>
      <c r="M44" s="14" t="n">
        <v>-43.13</v>
      </c>
      <c r="N44" s="9" t="n">
        <v>-4249.93</v>
      </c>
      <c r="O44" s="9" t="n">
        <v>884294.03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884</v>
      </c>
      <c r="D45" s="5" t="s">
        <v>200</v>
      </c>
      <c r="E45" s="5" t="s">
        <v>81</v>
      </c>
      <c r="F45" s="11" t="n">
        <v>3144.52</v>
      </c>
      <c r="G45" s="12" t="n">
        <v>49.7573</v>
      </c>
      <c r="H45" s="12" t="n">
        <v>50.8658</v>
      </c>
      <c r="J45" s="8" t="n">
        <v>-1.12083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2</v>
      </c>
      <c r="M45" s="14" t="n">
        <v>-112.08</v>
      </c>
      <c r="N45" s="9" t="n">
        <v>-3524.46</v>
      </c>
      <c r="O45" s="9" t="n">
        <v>880769.57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200</v>
      </c>
      <c r="D46" s="5" t="s">
        <v>885</v>
      </c>
      <c r="E46" s="5" t="s">
        <v>81</v>
      </c>
      <c r="F46" s="11" t="n">
        <v>9434.04</v>
      </c>
      <c r="G46" s="12" t="n">
        <v>49.7573</v>
      </c>
      <c r="H46" s="12" t="n">
        <v>52.3728</v>
      </c>
      <c r="I46" s="5" t="s">
        <v>78</v>
      </c>
      <c r="J46" s="8" t="n">
        <v>-3.83097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3</v>
      </c>
      <c r="M46" s="14" t="n">
        <v>-383.1</v>
      </c>
      <c r="N46" s="9" t="n">
        <v>-36141.54</v>
      </c>
      <c r="O46" s="9" t="n">
        <v>844628.03</v>
      </c>
    </row>
    <row r="47" customFormat="false" ht="15" hidden="false" customHeight="false" outlineLevel="0" collapsed="false">
      <c r="A47" s="6" t="n">
        <v>42</v>
      </c>
      <c r="B47" s="5" t="s">
        <v>74</v>
      </c>
      <c r="C47" s="5" t="s">
        <v>885</v>
      </c>
      <c r="D47" s="5" t="s">
        <v>886</v>
      </c>
      <c r="E47" s="5" t="s">
        <v>77</v>
      </c>
      <c r="F47" s="11" t="n">
        <v>9832.18</v>
      </c>
      <c r="G47" s="12" t="n">
        <v>52.3728</v>
      </c>
      <c r="H47" s="12" t="n">
        <v>52.249</v>
      </c>
      <c r="I47" s="5" t="s">
        <v>78</v>
      </c>
      <c r="J47" s="8" t="n">
        <v>-0.50668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4</v>
      </c>
      <c r="M47" s="14" t="n">
        <v>-50.67</v>
      </c>
      <c r="N47" s="9" t="n">
        <v>-4981.78</v>
      </c>
      <c r="O47" s="9" t="n">
        <v>839646.25</v>
      </c>
    </row>
    <row r="48" customFormat="false" ht="15" hidden="false" customHeight="false" outlineLevel="0" collapsed="false">
      <c r="A48" s="6" t="n">
        <v>43</v>
      </c>
      <c r="B48" s="5" t="s">
        <v>74</v>
      </c>
      <c r="C48" s="5" t="s">
        <v>887</v>
      </c>
      <c r="D48" s="5" t="s">
        <v>888</v>
      </c>
      <c r="E48" s="5" t="s">
        <v>77</v>
      </c>
      <c r="F48" s="11" t="n">
        <v>13446.98</v>
      </c>
      <c r="G48" s="12" t="n">
        <v>55.802</v>
      </c>
      <c r="H48" s="12" t="n">
        <v>62.0773</v>
      </c>
      <c r="I48" s="5" t="s">
        <v>78</v>
      </c>
      <c r="J48" s="8" t="n">
        <v>7.18865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718.87</v>
      </c>
      <c r="N48" s="9" t="n">
        <v>96665.64</v>
      </c>
      <c r="O48" s="9" t="n">
        <v>936311.89</v>
      </c>
    </row>
    <row r="49" customFormat="false" ht="15" hidden="false" customHeight="false" outlineLevel="0" collapsed="false">
      <c r="A49" s="6" t="n">
        <v>44</v>
      </c>
      <c r="B49" s="5" t="s">
        <v>74</v>
      </c>
      <c r="C49" s="5" t="s">
        <v>889</v>
      </c>
      <c r="D49" s="5" t="s">
        <v>213</v>
      </c>
      <c r="E49" s="5" t="s">
        <v>77</v>
      </c>
      <c r="F49" s="11" t="n">
        <v>2563.99</v>
      </c>
      <c r="G49" s="12" t="n">
        <v>64.8844</v>
      </c>
      <c r="H49" s="12" t="n">
        <v>69.6412</v>
      </c>
      <c r="J49" s="8" t="n">
        <v>4.73778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473.78</v>
      </c>
      <c r="N49" s="9" t="n">
        <v>12147.62</v>
      </c>
      <c r="O49" s="9" t="n">
        <v>948459.51</v>
      </c>
    </row>
    <row r="50" customFormat="false" ht="15" hidden="false" customHeight="false" outlineLevel="0" collapsed="false">
      <c r="A50" s="6" t="n">
        <v>45</v>
      </c>
      <c r="B50" s="5" t="s">
        <v>74</v>
      </c>
      <c r="C50" s="5" t="s">
        <v>213</v>
      </c>
      <c r="D50" s="5" t="s">
        <v>890</v>
      </c>
      <c r="E50" s="5" t="s">
        <v>77</v>
      </c>
      <c r="F50" s="11" t="n">
        <v>2142.66</v>
      </c>
      <c r="G50" s="12" t="n">
        <v>64.8844</v>
      </c>
      <c r="H50" s="12" t="n">
        <v>79.3501</v>
      </c>
      <c r="I50" s="5" t="s">
        <v>78</v>
      </c>
      <c r="J50" s="8" t="n">
        <v>18.42666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1842.67</v>
      </c>
      <c r="N50" s="9" t="n">
        <v>39482.03</v>
      </c>
      <c r="O50" s="9" t="n">
        <v>987941.55</v>
      </c>
    </row>
    <row r="51" customFormat="false" ht="15" hidden="false" customHeight="false" outlineLevel="0" collapsed="false">
      <c r="A51" s="6" t="n">
        <v>46</v>
      </c>
      <c r="B51" s="5" t="s">
        <v>74</v>
      </c>
      <c r="C51" s="5" t="s">
        <v>890</v>
      </c>
      <c r="D51" s="5" t="s">
        <v>891</v>
      </c>
      <c r="E51" s="5" t="s">
        <v>77</v>
      </c>
      <c r="F51" s="11" t="n">
        <v>8321.43</v>
      </c>
      <c r="G51" s="12" t="n">
        <v>60.9195</v>
      </c>
      <c r="H51" s="12" t="n">
        <v>75.2802</v>
      </c>
      <c r="I51" s="5" t="s">
        <v>78</v>
      </c>
      <c r="J51" s="8" t="n">
        <v>15.10274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1510.27</v>
      </c>
      <c r="N51" s="9" t="n">
        <v>125676.33</v>
      </c>
      <c r="O51" s="9" t="n">
        <v>1113617.87</v>
      </c>
    </row>
    <row r="52" customFormat="false" ht="15" hidden="false" customHeight="false" outlineLevel="0" collapsed="false">
      <c r="A52" s="6" t="n">
        <v>47</v>
      </c>
      <c r="B52" s="5" t="s">
        <v>74</v>
      </c>
      <c r="C52" s="5" t="s">
        <v>675</v>
      </c>
      <c r="D52" s="5" t="s">
        <v>221</v>
      </c>
      <c r="E52" s="5" t="s">
        <v>77</v>
      </c>
      <c r="F52" s="11" t="n">
        <v>1440.23</v>
      </c>
      <c r="G52" s="12" t="n">
        <v>77.9389</v>
      </c>
      <c r="H52" s="12" t="n">
        <v>73.9556</v>
      </c>
      <c r="J52" s="8" t="n">
        <v>-4.00622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1</v>
      </c>
      <c r="M52" s="14" t="n">
        <v>-400.62</v>
      </c>
      <c r="N52" s="9" t="n">
        <v>-5769.86</v>
      </c>
      <c r="O52" s="9" t="n">
        <v>1107848.01</v>
      </c>
    </row>
    <row r="53" customFormat="false" ht="15" hidden="false" customHeight="false" outlineLevel="0" collapsed="false">
      <c r="A53" s="6" t="n">
        <v>48</v>
      </c>
      <c r="B53" s="5" t="s">
        <v>74</v>
      </c>
      <c r="C53" s="5" t="s">
        <v>221</v>
      </c>
      <c r="D53" s="5" t="s">
        <v>676</v>
      </c>
      <c r="E53" s="5" t="s">
        <v>77</v>
      </c>
      <c r="F53" s="11" t="n">
        <v>2389.34</v>
      </c>
      <c r="G53" s="12" t="n">
        <v>76.0934</v>
      </c>
      <c r="H53" s="12" t="n">
        <v>76.2281</v>
      </c>
      <c r="I53" s="5" t="s">
        <v>78</v>
      </c>
      <c r="J53" s="8" t="n">
        <v>1.93561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193.56</v>
      </c>
      <c r="N53" s="9" t="n">
        <v>4624.84</v>
      </c>
      <c r="O53" s="9" t="n">
        <v>1112472.85</v>
      </c>
    </row>
    <row r="54" customFormat="false" ht="15" hidden="false" customHeight="false" outlineLevel="0" collapsed="false">
      <c r="A54" s="6" t="n">
        <v>49</v>
      </c>
      <c r="B54" s="5" t="s">
        <v>74</v>
      </c>
      <c r="C54" s="5" t="s">
        <v>676</v>
      </c>
      <c r="D54" s="5" t="s">
        <v>231</v>
      </c>
      <c r="E54" s="5" t="s">
        <v>77</v>
      </c>
      <c r="F54" s="11" t="n">
        <v>9429.78</v>
      </c>
      <c r="G54" s="12" t="n">
        <v>74.2794</v>
      </c>
      <c r="H54" s="12" t="n">
        <v>77.6266</v>
      </c>
      <c r="I54" s="5" t="s">
        <v>78</v>
      </c>
      <c r="J54" s="8" t="n">
        <v>2.71987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271.99</v>
      </c>
      <c r="N54" s="9" t="n">
        <v>25647.82</v>
      </c>
      <c r="O54" s="9" t="n">
        <v>1138120.67</v>
      </c>
    </row>
    <row r="55" customFormat="false" ht="15" hidden="false" customHeight="false" outlineLevel="0" collapsed="false">
      <c r="A55" s="6" t="n">
        <v>50</v>
      </c>
      <c r="B55" s="5" t="s">
        <v>74</v>
      </c>
      <c r="C55" s="5" t="s">
        <v>892</v>
      </c>
      <c r="D55" s="5" t="s">
        <v>234</v>
      </c>
      <c r="E55" s="5" t="s">
        <v>81</v>
      </c>
      <c r="F55" s="11" t="n">
        <v>1878.22</v>
      </c>
      <c r="G55" s="12" t="n">
        <v>84.6245</v>
      </c>
      <c r="H55" s="12" t="n">
        <v>76.2757</v>
      </c>
      <c r="J55" s="8" t="n">
        <v>8.32397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832.4</v>
      </c>
      <c r="N55" s="9" t="n">
        <v>15634.29</v>
      </c>
      <c r="O55" s="9" t="n">
        <v>1153754.95</v>
      </c>
    </row>
    <row r="56" customFormat="false" ht="15" hidden="false" customHeight="false" outlineLevel="0" collapsed="false">
      <c r="A56" s="6" t="n">
        <v>51</v>
      </c>
      <c r="B56" s="5" t="s">
        <v>74</v>
      </c>
      <c r="C56" s="5" t="s">
        <v>234</v>
      </c>
      <c r="D56" s="5" t="s">
        <v>893</v>
      </c>
      <c r="E56" s="5" t="s">
        <v>81</v>
      </c>
      <c r="F56" s="11" t="n">
        <v>7697.91</v>
      </c>
      <c r="G56" s="12" t="n">
        <v>84.6245</v>
      </c>
      <c r="H56" s="12" t="n">
        <v>72.7214</v>
      </c>
      <c r="I56" s="5" t="s">
        <v>78</v>
      </c>
      <c r="J56" s="8" t="n">
        <v>8.92546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892.55</v>
      </c>
      <c r="N56" s="9" t="n">
        <v>68707.37</v>
      </c>
      <c r="O56" s="9" t="n">
        <v>1222462.32</v>
      </c>
    </row>
    <row r="57" customFormat="false" ht="15" hidden="false" customHeight="false" outlineLevel="0" collapsed="false">
      <c r="A57" s="6" t="n">
        <v>52</v>
      </c>
      <c r="B57" s="5" t="s">
        <v>74</v>
      </c>
      <c r="C57" s="5" t="s">
        <v>893</v>
      </c>
      <c r="D57" s="5" t="s">
        <v>894</v>
      </c>
      <c r="E57" s="5" t="s">
        <v>77</v>
      </c>
      <c r="F57" s="11" t="n">
        <v>1686.84</v>
      </c>
      <c r="G57" s="12" t="n">
        <v>72.7214</v>
      </c>
      <c r="H57" s="12" t="n">
        <v>60.426</v>
      </c>
      <c r="J57" s="8" t="n">
        <v>-12.29848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1</v>
      </c>
      <c r="M57" s="14" t="n">
        <v>-1229.85</v>
      </c>
      <c r="N57" s="9" t="n">
        <v>-20745.61</v>
      </c>
      <c r="O57" s="9" t="n">
        <v>1201716.72</v>
      </c>
    </row>
    <row r="58" customFormat="false" ht="15" hidden="false" customHeight="false" outlineLevel="0" collapsed="false">
      <c r="A58" s="6" t="n">
        <v>53</v>
      </c>
      <c r="B58" s="5" t="s">
        <v>74</v>
      </c>
      <c r="C58" s="5" t="s">
        <v>894</v>
      </c>
      <c r="D58" s="5" t="s">
        <v>895</v>
      </c>
      <c r="E58" s="5" t="s">
        <v>77</v>
      </c>
      <c r="F58" s="11" t="n">
        <v>5809.62</v>
      </c>
      <c r="G58" s="12" t="n">
        <v>72.7214</v>
      </c>
      <c r="H58" s="12" t="n">
        <v>61.5623</v>
      </c>
      <c r="I58" s="5" t="s">
        <v>78</v>
      </c>
      <c r="J58" s="8" t="n">
        <v>-15.30457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2</v>
      </c>
      <c r="M58" s="14" t="n">
        <v>-1530.46</v>
      </c>
      <c r="N58" s="9" t="n">
        <v>-88913.82</v>
      </c>
      <c r="O58" s="9" t="n">
        <v>1112802.89</v>
      </c>
    </row>
    <row r="59" customFormat="false" ht="15" hidden="false" customHeight="false" outlineLevel="0" collapsed="false">
      <c r="A59" s="6" t="n">
        <v>54</v>
      </c>
      <c r="B59" s="5" t="s">
        <v>74</v>
      </c>
      <c r="C59" s="5" t="s">
        <v>895</v>
      </c>
      <c r="D59" s="5" t="s">
        <v>236</v>
      </c>
      <c r="E59" s="5" t="s">
        <v>81</v>
      </c>
      <c r="F59" s="11" t="n">
        <v>2741.28</v>
      </c>
      <c r="G59" s="12" t="n">
        <v>60.3425</v>
      </c>
      <c r="H59" s="12" t="n">
        <v>55.0112</v>
      </c>
      <c r="J59" s="8" t="n">
        <v>5.32669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532.67</v>
      </c>
      <c r="N59" s="9" t="n">
        <v>14601.94</v>
      </c>
      <c r="O59" s="9" t="n">
        <v>1127404.84</v>
      </c>
    </row>
    <row r="60" customFormat="false" ht="15" hidden="false" customHeight="false" outlineLevel="0" collapsed="false">
      <c r="A60" s="6" t="n">
        <v>55</v>
      </c>
      <c r="B60" s="5" t="s">
        <v>74</v>
      </c>
      <c r="C60" s="5" t="s">
        <v>236</v>
      </c>
      <c r="D60" s="5" t="s">
        <v>896</v>
      </c>
      <c r="E60" s="5" t="s">
        <v>81</v>
      </c>
      <c r="F60" s="11" t="n">
        <v>10266.97</v>
      </c>
      <c r="G60" s="12" t="n">
        <v>58.3679</v>
      </c>
      <c r="H60" s="12" t="n">
        <v>65.6857</v>
      </c>
      <c r="I60" s="5" t="s">
        <v>78</v>
      </c>
      <c r="J60" s="8" t="n">
        <v>-3.12548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1</v>
      </c>
      <c r="M60" s="14" t="n">
        <v>-312.55</v>
      </c>
      <c r="N60" s="9" t="n">
        <v>-32089.2</v>
      </c>
      <c r="O60" s="9" t="n">
        <v>1095315.64</v>
      </c>
    </row>
    <row r="61" customFormat="false" ht="15" hidden="false" customHeight="false" outlineLevel="0" collapsed="false">
      <c r="A61" s="6" t="n">
        <v>56</v>
      </c>
      <c r="B61" s="5" t="s">
        <v>74</v>
      </c>
      <c r="C61" s="5" t="s">
        <v>896</v>
      </c>
      <c r="D61" s="5" t="s">
        <v>897</v>
      </c>
      <c r="E61" s="5" t="s">
        <v>77</v>
      </c>
      <c r="F61" s="11" t="n">
        <v>18093.98</v>
      </c>
      <c r="G61" s="12" t="n">
        <v>66.3887</v>
      </c>
      <c r="H61" s="12" t="n">
        <v>69.386</v>
      </c>
      <c r="I61" s="5" t="s">
        <v>78</v>
      </c>
      <c r="J61" s="8" t="n">
        <v>2.20555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220.56</v>
      </c>
      <c r="N61" s="9" t="n">
        <v>39907.24</v>
      </c>
      <c r="O61" s="9" t="n">
        <v>1135222.88</v>
      </c>
    </row>
    <row r="62" customFormat="false" ht="15" hidden="false" customHeight="false" outlineLevel="0" collapsed="false">
      <c r="A62" s="6" t="n">
        <v>57</v>
      </c>
      <c r="B62" s="5" t="s">
        <v>74</v>
      </c>
      <c r="C62" s="5" t="s">
        <v>898</v>
      </c>
      <c r="D62" s="5" t="s">
        <v>240</v>
      </c>
      <c r="E62" s="5" t="s">
        <v>77</v>
      </c>
      <c r="F62" s="11" t="n">
        <v>2106.83</v>
      </c>
      <c r="G62" s="12" t="n">
        <v>70.9259</v>
      </c>
      <c r="H62" s="12" t="n">
        <v>67.8937</v>
      </c>
      <c r="J62" s="8" t="n">
        <v>-3.05317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1</v>
      </c>
      <c r="M62" s="14" t="n">
        <v>-305.32</v>
      </c>
      <c r="N62" s="9" t="n">
        <v>-6432.5</v>
      </c>
      <c r="O62" s="9" t="n">
        <v>1128790.38</v>
      </c>
    </row>
    <row r="63" customFormat="false" ht="15" hidden="false" customHeight="false" outlineLevel="0" collapsed="false">
      <c r="A63" s="6" t="n">
        <v>58</v>
      </c>
      <c r="B63" s="5" t="s">
        <v>74</v>
      </c>
      <c r="C63" s="5" t="s">
        <v>240</v>
      </c>
      <c r="D63" s="5" t="s">
        <v>899</v>
      </c>
      <c r="E63" s="5" t="s">
        <v>77</v>
      </c>
      <c r="F63" s="11" t="n">
        <v>2328.68</v>
      </c>
      <c r="G63" s="12" t="n">
        <v>70.9259</v>
      </c>
      <c r="H63" s="12" t="n">
        <v>64.4591</v>
      </c>
      <c r="I63" s="5" t="s">
        <v>78</v>
      </c>
      <c r="J63" s="8" t="n">
        <v>-2.49669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2</v>
      </c>
      <c r="M63" s="14" t="n">
        <v>-249.67</v>
      </c>
      <c r="N63" s="9" t="n">
        <v>-5813.98</v>
      </c>
      <c r="O63" s="9" t="n">
        <v>1122976.4</v>
      </c>
    </row>
    <row r="64" customFormat="false" ht="15" hidden="false" customHeight="false" outlineLevel="0" collapsed="false">
      <c r="A64" s="6" t="n">
        <v>59</v>
      </c>
      <c r="B64" s="5" t="s">
        <v>74</v>
      </c>
      <c r="C64" s="5" t="s">
        <v>899</v>
      </c>
      <c r="D64" s="5" t="s">
        <v>900</v>
      </c>
      <c r="E64" s="5" t="s">
        <v>77</v>
      </c>
      <c r="F64" s="11" t="n">
        <v>2222.76</v>
      </c>
      <c r="G64" s="12" t="n">
        <v>66.822</v>
      </c>
      <c r="H64" s="12" t="n">
        <v>60.8792</v>
      </c>
      <c r="I64" s="5" t="s">
        <v>78</v>
      </c>
      <c r="J64" s="8" t="n">
        <v>-0.51012</v>
      </c>
      <c r="K64" s="13" t="str">
        <f aca="false">IF(J64&gt;0,"прибыль",IF(J64&lt;0,"убыток","ноль"))</f>
        <v>убыток</v>
      </c>
      <c r="L64" s="13" t="n">
        <f aca="false">IF(C64="",L63,IF(J64&lt;0,L63+1,0))</f>
        <v>3</v>
      </c>
      <c r="M64" s="14" t="n">
        <v>-51.01</v>
      </c>
      <c r="N64" s="9" t="n">
        <v>-1133.88</v>
      </c>
      <c r="O64" s="9" t="n">
        <v>1121842.52</v>
      </c>
    </row>
    <row r="65" customFormat="false" ht="15" hidden="false" customHeight="false" outlineLevel="0" collapsed="false">
      <c r="A65" s="6" t="n">
        <v>60</v>
      </c>
      <c r="B65" s="5" t="s">
        <v>74</v>
      </c>
      <c r="C65" s="5" t="s">
        <v>900</v>
      </c>
      <c r="D65" s="5" t="s">
        <v>261</v>
      </c>
      <c r="E65" s="5" t="s">
        <v>77</v>
      </c>
      <c r="F65" s="11" t="n">
        <v>4780.05</v>
      </c>
      <c r="G65" s="12" t="n">
        <v>61.3807</v>
      </c>
      <c r="H65" s="12" t="n">
        <v>67.8224</v>
      </c>
      <c r="I65" s="5" t="s">
        <v>78</v>
      </c>
      <c r="J65" s="8" t="n">
        <v>8.22685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822.69</v>
      </c>
      <c r="N65" s="9" t="n">
        <v>39324.82</v>
      </c>
      <c r="O65" s="9" t="n">
        <v>1161167.34</v>
      </c>
    </row>
    <row r="66" customFormat="false" ht="15" hidden="false" customHeight="false" outlineLevel="0" collapsed="false">
      <c r="A66" s="6" t="n">
        <v>61</v>
      </c>
      <c r="B66" s="5" t="s">
        <v>74</v>
      </c>
      <c r="C66" s="5" t="s">
        <v>261</v>
      </c>
      <c r="D66" s="5" t="s">
        <v>901</v>
      </c>
      <c r="E66" s="5" t="s">
        <v>77</v>
      </c>
      <c r="F66" s="11" t="n">
        <v>10360.62</v>
      </c>
      <c r="G66" s="12" t="n">
        <v>60.1819</v>
      </c>
      <c r="H66" s="12" t="n">
        <v>62.8505</v>
      </c>
      <c r="I66" s="5" t="s">
        <v>78</v>
      </c>
      <c r="J66" s="8" t="n">
        <v>2.68248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268.25</v>
      </c>
      <c r="N66" s="9" t="n">
        <v>27792.14</v>
      </c>
      <c r="O66" s="9" t="n">
        <v>1188959.48</v>
      </c>
    </row>
    <row r="67" customFormat="false" ht="15" hidden="false" customHeight="false" outlineLevel="0" collapsed="false">
      <c r="A67" s="6" t="n">
        <v>62</v>
      </c>
      <c r="B67" s="5" t="s">
        <v>74</v>
      </c>
      <c r="C67" s="5" t="s">
        <v>901</v>
      </c>
      <c r="D67" s="5" t="s">
        <v>262</v>
      </c>
      <c r="E67" s="5" t="s">
        <v>81</v>
      </c>
      <c r="F67" s="11" t="n">
        <v>0</v>
      </c>
      <c r="G67" s="12" t="n">
        <v>62.8505</v>
      </c>
      <c r="H67" s="12" t="n">
        <v>62.0002</v>
      </c>
      <c r="J67" s="8" t="n">
        <v>0.84726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84.73</v>
      </c>
      <c r="N67" s="9" t="n">
        <v>0</v>
      </c>
      <c r="O67" s="9" t="n">
        <v>1188959.48</v>
      </c>
    </row>
    <row r="68" customFormat="false" ht="15" hidden="false" customHeight="false" outlineLevel="0" collapsed="false">
      <c r="A68" s="6" t="n">
        <v>63</v>
      </c>
      <c r="B68" s="5" t="s">
        <v>74</v>
      </c>
      <c r="C68" s="5" t="s">
        <v>262</v>
      </c>
      <c r="D68" s="5" t="s">
        <v>265</v>
      </c>
      <c r="E68" s="5" t="s">
        <v>81</v>
      </c>
      <c r="F68" s="11" t="n">
        <v>2791.79</v>
      </c>
      <c r="G68" s="12" t="n">
        <v>62.7069</v>
      </c>
      <c r="H68" s="12" t="n">
        <v>62.511</v>
      </c>
      <c r="J68" s="8" t="n">
        <v>0.19016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19.02</v>
      </c>
      <c r="N68" s="9" t="n">
        <v>530.87</v>
      </c>
      <c r="O68" s="9" t="n">
        <v>1189490.35</v>
      </c>
    </row>
    <row r="69" customFormat="false" ht="15" hidden="false" customHeight="false" outlineLevel="0" collapsed="false">
      <c r="A69" s="6" t="n">
        <v>64</v>
      </c>
      <c r="B69" s="5" t="s">
        <v>74</v>
      </c>
      <c r="C69" s="5" t="s">
        <v>265</v>
      </c>
      <c r="D69" s="5" t="s">
        <v>902</v>
      </c>
      <c r="E69" s="5" t="s">
        <v>81</v>
      </c>
      <c r="F69" s="11" t="n">
        <v>11276.42</v>
      </c>
      <c r="G69" s="12" t="n">
        <v>62.7069</v>
      </c>
      <c r="H69" s="12" t="n">
        <v>61.0774</v>
      </c>
      <c r="I69" s="5" t="s">
        <v>78</v>
      </c>
      <c r="J69" s="8" t="n">
        <v>0.19648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19.65</v>
      </c>
      <c r="N69" s="9" t="n">
        <v>2215.57</v>
      </c>
      <c r="O69" s="9" t="n">
        <v>1191705.92</v>
      </c>
    </row>
    <row r="70" customFormat="false" ht="15" hidden="false" customHeight="false" outlineLevel="0" collapsed="false">
      <c r="A70" s="6" t="n">
        <v>65</v>
      </c>
      <c r="B70" s="5" t="s">
        <v>74</v>
      </c>
      <c r="C70" s="5" t="s">
        <v>902</v>
      </c>
      <c r="D70" s="5" t="s">
        <v>903</v>
      </c>
      <c r="E70" s="5" t="s">
        <v>77</v>
      </c>
      <c r="F70" s="11" t="n">
        <v>0</v>
      </c>
      <c r="G70" s="12" t="n">
        <v>61.0774</v>
      </c>
      <c r="H70" s="12" t="n">
        <v>62.956</v>
      </c>
      <c r="J70" s="8" t="n">
        <v>1.87548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187.55</v>
      </c>
      <c r="N70" s="9" t="n">
        <v>0</v>
      </c>
      <c r="O70" s="9" t="n">
        <v>1191705.92</v>
      </c>
    </row>
    <row r="71" customFormat="false" ht="15" hidden="false" customHeight="false" outlineLevel="0" collapsed="false">
      <c r="A71" s="6" t="n">
        <v>66</v>
      </c>
      <c r="B71" s="5" t="s">
        <v>74</v>
      </c>
      <c r="C71" s="5" t="s">
        <v>903</v>
      </c>
      <c r="D71" s="5" t="s">
        <v>266</v>
      </c>
      <c r="E71" s="5" t="s">
        <v>77</v>
      </c>
      <c r="F71" s="11" t="n">
        <v>4118.55</v>
      </c>
      <c r="G71" s="12" t="n">
        <v>62.7052</v>
      </c>
      <c r="H71" s="12" t="n">
        <v>66.0107</v>
      </c>
      <c r="I71" s="5" t="s">
        <v>78</v>
      </c>
      <c r="J71" s="8" t="n">
        <v>4.91227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491.23</v>
      </c>
      <c r="N71" s="9" t="n">
        <v>20231.43</v>
      </c>
      <c r="O71" s="9" t="n">
        <v>1211937.35</v>
      </c>
    </row>
    <row r="72" customFormat="false" ht="15" hidden="false" customHeight="false" outlineLevel="0" collapsed="false">
      <c r="A72" s="6" t="n">
        <v>67</v>
      </c>
      <c r="B72" s="5" t="s">
        <v>74</v>
      </c>
      <c r="C72" s="5" t="s">
        <v>266</v>
      </c>
      <c r="D72" s="5" t="s">
        <v>268</v>
      </c>
      <c r="E72" s="5" t="s">
        <v>77</v>
      </c>
      <c r="F72" s="11" t="n">
        <v>2905.65</v>
      </c>
      <c r="G72" s="12" t="n">
        <v>61.0922</v>
      </c>
      <c r="H72" s="12" t="n">
        <v>56.0554</v>
      </c>
      <c r="I72" s="5" t="s">
        <v>78</v>
      </c>
      <c r="J72" s="8" t="n">
        <v>-0.90307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1</v>
      </c>
      <c r="M72" s="14" t="n">
        <v>-90.31</v>
      </c>
      <c r="N72" s="9" t="n">
        <v>-2623.99</v>
      </c>
      <c r="O72" s="9" t="n">
        <v>1209313.35</v>
      </c>
    </row>
    <row r="73" customFormat="false" ht="15" hidden="false" customHeight="false" outlineLevel="0" collapsed="false">
      <c r="A73" s="6" t="n">
        <v>68</v>
      </c>
      <c r="B73" s="5" t="s">
        <v>74</v>
      </c>
      <c r="C73" s="5" t="s">
        <v>268</v>
      </c>
      <c r="D73" s="5" t="s">
        <v>904</v>
      </c>
      <c r="E73" s="5" t="s">
        <v>77</v>
      </c>
      <c r="F73" s="11" t="n">
        <v>9372.49</v>
      </c>
      <c r="G73" s="12" t="n">
        <v>56.9557</v>
      </c>
      <c r="H73" s="12" t="n">
        <v>51.9541</v>
      </c>
      <c r="I73" s="5" t="s">
        <v>78</v>
      </c>
      <c r="J73" s="8" t="n">
        <v>-7.34228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2</v>
      </c>
      <c r="M73" s="14" t="n">
        <v>-734.23</v>
      </c>
      <c r="N73" s="9" t="n">
        <v>-68815.42</v>
      </c>
      <c r="O73" s="9" t="n">
        <v>1140497.94</v>
      </c>
    </row>
    <row r="74" customFormat="false" ht="15" hidden="false" customHeight="false" outlineLevel="0" collapsed="false">
      <c r="A74" s="6" t="n">
        <v>69</v>
      </c>
      <c r="B74" s="5" t="s">
        <v>74</v>
      </c>
      <c r="C74" s="5" t="s">
        <v>904</v>
      </c>
      <c r="D74" s="5" t="s">
        <v>270</v>
      </c>
      <c r="E74" s="5" t="s">
        <v>81</v>
      </c>
      <c r="F74" s="11" t="n">
        <v>2320.09</v>
      </c>
      <c r="G74" s="12" t="n">
        <v>51.9541</v>
      </c>
      <c r="H74" s="12" t="n">
        <v>37.8975</v>
      </c>
      <c r="J74" s="8" t="n">
        <v>14.05479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1405.48</v>
      </c>
      <c r="N74" s="9" t="n">
        <v>32608.37</v>
      </c>
      <c r="O74" s="9" t="n">
        <v>1173106.31</v>
      </c>
    </row>
    <row r="75" customFormat="false" ht="15" hidden="false" customHeight="false" outlineLevel="0" collapsed="false">
      <c r="A75" s="6" t="n">
        <v>70</v>
      </c>
      <c r="B75" s="5" t="s">
        <v>74</v>
      </c>
      <c r="C75" s="5" t="s">
        <v>270</v>
      </c>
      <c r="D75" s="5" t="s">
        <v>271</v>
      </c>
      <c r="E75" s="5" t="s">
        <v>81</v>
      </c>
      <c r="F75" s="11" t="n">
        <v>1680.47</v>
      </c>
      <c r="G75" s="12" t="n">
        <v>46.3375</v>
      </c>
      <c r="H75" s="12" t="n">
        <v>29.8391</v>
      </c>
      <c r="I75" s="5" t="s">
        <v>78</v>
      </c>
      <c r="J75" s="8" t="n">
        <v>22.70829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2270.83</v>
      </c>
      <c r="N75" s="9" t="n">
        <v>38160.61</v>
      </c>
      <c r="O75" s="9" t="n">
        <v>1211266.92</v>
      </c>
    </row>
    <row r="76" customFormat="false" ht="15" hidden="false" customHeight="false" outlineLevel="0" collapsed="false">
      <c r="A76" s="6" t="n">
        <v>71</v>
      </c>
      <c r="B76" s="5" t="s">
        <v>74</v>
      </c>
      <c r="C76" s="5" t="s">
        <v>271</v>
      </c>
      <c r="D76" s="5" t="s">
        <v>272</v>
      </c>
      <c r="E76" s="5" t="s">
        <v>81</v>
      </c>
      <c r="F76" s="11" t="n">
        <v>1289.19</v>
      </c>
      <c r="G76" s="12" t="n">
        <v>52.5498</v>
      </c>
      <c r="H76" s="12" t="n">
        <v>35.2874</v>
      </c>
      <c r="J76" s="8" t="n">
        <v>17.26056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1726.06</v>
      </c>
      <c r="N76" s="9" t="n">
        <v>22252.13</v>
      </c>
      <c r="O76" s="9" t="n">
        <v>1233519.05</v>
      </c>
    </row>
    <row r="77" customFormat="false" ht="15" hidden="false" customHeight="false" outlineLevel="0" collapsed="false">
      <c r="A77" s="6" t="n">
        <v>72</v>
      </c>
      <c r="B77" s="5" t="s">
        <v>74</v>
      </c>
      <c r="C77" s="5" t="s">
        <v>272</v>
      </c>
      <c r="D77" s="5" t="s">
        <v>273</v>
      </c>
      <c r="E77" s="5" t="s">
        <v>81</v>
      </c>
      <c r="F77" s="11" t="n">
        <v>1101.06</v>
      </c>
      <c r="G77" s="12" t="n">
        <v>43.9966</v>
      </c>
      <c r="H77" s="12" t="n">
        <v>35.61</v>
      </c>
      <c r="I77" s="5" t="s">
        <v>78</v>
      </c>
      <c r="J77" s="8" t="n">
        <v>13.27297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1327.3</v>
      </c>
      <c r="N77" s="9" t="n">
        <v>14614.4</v>
      </c>
      <c r="O77" s="9" t="n">
        <v>1248133.45</v>
      </c>
    </row>
    <row r="78" customFormat="false" ht="15" hidden="false" customHeight="false" outlineLevel="0" collapsed="false">
      <c r="A78" s="6" t="n">
        <v>73</v>
      </c>
      <c r="B78" s="5" t="s">
        <v>74</v>
      </c>
      <c r="C78" s="5" t="s">
        <v>273</v>
      </c>
      <c r="D78" s="5" t="s">
        <v>905</v>
      </c>
      <c r="E78" s="5" t="s">
        <v>81</v>
      </c>
      <c r="F78" s="11" t="n">
        <v>19614.89</v>
      </c>
      <c r="G78" s="12" t="n">
        <v>39.994</v>
      </c>
      <c r="H78" s="12" t="n">
        <v>45.9586</v>
      </c>
      <c r="I78" s="5" t="s">
        <v>78</v>
      </c>
      <c r="J78" s="8" t="n">
        <v>-0.46996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1</v>
      </c>
      <c r="M78" s="14" t="n">
        <v>-47</v>
      </c>
      <c r="N78" s="9" t="n">
        <v>-9218.27</v>
      </c>
      <c r="O78" s="9" t="n">
        <v>1238915.18</v>
      </c>
    </row>
    <row r="79" customFormat="false" ht="15" hidden="false" customHeight="false" outlineLevel="0" collapsed="false">
      <c r="A79" s="6" t="n">
        <v>74</v>
      </c>
      <c r="B79" s="5" t="s">
        <v>74</v>
      </c>
      <c r="C79" s="5" t="s">
        <v>716</v>
      </c>
      <c r="D79" s="5" t="s">
        <v>283</v>
      </c>
      <c r="E79" s="5" t="s">
        <v>81</v>
      </c>
      <c r="F79" s="11" t="n">
        <v>2603.26</v>
      </c>
      <c r="G79" s="12" t="n">
        <v>39.9966</v>
      </c>
      <c r="H79" s="12" t="n">
        <v>42.3565</v>
      </c>
      <c r="J79" s="8" t="n">
        <v>-2.37066</v>
      </c>
      <c r="K79" s="13" t="str">
        <f aca="false">IF(J79&gt;0,"прибыль",IF(J79&lt;0,"убыток","ноль"))</f>
        <v>убыток</v>
      </c>
      <c r="L79" s="13" t="n">
        <f aca="false">IF(C79="",L78,IF(J79&lt;0,L78+1,0))</f>
        <v>2</v>
      </c>
      <c r="M79" s="14" t="n">
        <v>-237.07</v>
      </c>
      <c r="N79" s="9" t="n">
        <v>-6171.45</v>
      </c>
      <c r="O79" s="9" t="n">
        <v>1232743.72</v>
      </c>
    </row>
    <row r="80" customFormat="false" ht="15" hidden="false" customHeight="false" outlineLevel="0" collapsed="false">
      <c r="A80" s="6" t="n">
        <v>75</v>
      </c>
      <c r="B80" s="5" t="s">
        <v>74</v>
      </c>
      <c r="C80" s="5" t="s">
        <v>283</v>
      </c>
      <c r="D80" s="5" t="s">
        <v>906</v>
      </c>
      <c r="E80" s="5" t="s">
        <v>81</v>
      </c>
      <c r="F80" s="11" t="n">
        <v>8703.06</v>
      </c>
      <c r="G80" s="12" t="n">
        <v>39.9966</v>
      </c>
      <c r="H80" s="12" t="n">
        <v>48.2903</v>
      </c>
      <c r="I80" s="5" t="s">
        <v>78</v>
      </c>
      <c r="J80" s="8" t="n">
        <v>-8.48925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3</v>
      </c>
      <c r="M80" s="14" t="n">
        <v>-848.93</v>
      </c>
      <c r="N80" s="9" t="n">
        <v>-73882.48</v>
      </c>
      <c r="O80" s="9" t="n">
        <v>1158861.24</v>
      </c>
    </row>
    <row r="81" customFormat="false" ht="15" hidden="false" customHeight="false" outlineLevel="0" collapsed="false">
      <c r="A81" s="6" t="n">
        <v>76</v>
      </c>
      <c r="B81" s="5" t="s">
        <v>288</v>
      </c>
      <c r="C81" s="5" t="s">
        <v>907</v>
      </c>
      <c r="D81" s="5" t="s">
        <v>290</v>
      </c>
      <c r="E81" s="5" t="s">
        <v>77</v>
      </c>
      <c r="F81" s="11" t="n">
        <v>2062</v>
      </c>
      <c r="G81" s="12" t="n">
        <v>62.6873</v>
      </c>
      <c r="H81" s="12" t="n">
        <v>67.1081</v>
      </c>
      <c r="J81" s="8" t="n">
        <v>4.40288</v>
      </c>
      <c r="K81" s="13" t="str">
        <f aca="false">IF(J81&gt;0,"прибыль",IF(J81&lt;0,"убыток","ноль"))</f>
        <v>прибыль</v>
      </c>
      <c r="L81" s="13" t="n">
        <f aca="false">IF(C81="",L80,IF(J81&lt;0,L80+1,0))</f>
        <v>0</v>
      </c>
      <c r="M81" s="14" t="n">
        <v>440.29</v>
      </c>
      <c r="N81" s="9" t="n">
        <v>9078.74</v>
      </c>
      <c r="O81" s="9" t="n">
        <v>1167939.98</v>
      </c>
    </row>
    <row r="82" customFormat="false" ht="15" hidden="false" customHeight="false" outlineLevel="0" collapsed="false">
      <c r="A82" s="6" t="n">
        <v>77</v>
      </c>
      <c r="B82" s="5" t="s">
        <v>288</v>
      </c>
      <c r="C82" s="5" t="s">
        <v>290</v>
      </c>
      <c r="D82" s="5" t="s">
        <v>291</v>
      </c>
      <c r="E82" s="5" t="s">
        <v>77</v>
      </c>
      <c r="F82" s="11" t="n">
        <v>2266.31</v>
      </c>
      <c r="G82" s="12" t="n">
        <v>62.6873</v>
      </c>
      <c r="H82" s="12" t="n">
        <v>62.7629</v>
      </c>
      <c r="J82" s="8" t="n">
        <v>0.07249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7.25</v>
      </c>
      <c r="N82" s="9" t="n">
        <v>164.28</v>
      </c>
      <c r="O82" s="9" t="n">
        <v>1168104.26</v>
      </c>
    </row>
    <row r="83" customFormat="false" ht="15" hidden="false" customHeight="false" outlineLevel="0" collapsed="false">
      <c r="A83" s="6" t="n">
        <v>78</v>
      </c>
      <c r="B83" s="5" t="s">
        <v>288</v>
      </c>
      <c r="C83" s="5" t="s">
        <v>291</v>
      </c>
      <c r="D83" s="5" t="s">
        <v>292</v>
      </c>
      <c r="E83" s="5" t="s">
        <v>77</v>
      </c>
      <c r="F83" s="11" t="n">
        <v>1239.21</v>
      </c>
      <c r="G83" s="12" t="n">
        <v>62.6873</v>
      </c>
      <c r="H83" s="12" t="n">
        <v>64.2656</v>
      </c>
      <c r="J83" s="8" t="n">
        <v>1.57509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157.51</v>
      </c>
      <c r="N83" s="9" t="n">
        <v>1951.88</v>
      </c>
      <c r="O83" s="9" t="n">
        <v>1170056.14</v>
      </c>
    </row>
    <row r="84" customFormat="false" ht="15" hidden="false" customHeight="false" outlineLevel="0" collapsed="false">
      <c r="A84" s="6" t="n">
        <v>79</v>
      </c>
      <c r="B84" s="5" t="s">
        <v>288</v>
      </c>
      <c r="C84" s="5" t="s">
        <v>292</v>
      </c>
      <c r="D84" s="5" t="s">
        <v>908</v>
      </c>
      <c r="E84" s="5" t="s">
        <v>77</v>
      </c>
      <c r="F84" s="11" t="n">
        <v>3979.41</v>
      </c>
      <c r="G84" s="12" t="n">
        <v>62.6873</v>
      </c>
      <c r="H84" s="12" t="n">
        <v>64.6819</v>
      </c>
      <c r="I84" s="5" t="s">
        <v>78</v>
      </c>
      <c r="J84" s="8" t="n">
        <v>0.89401</v>
      </c>
      <c r="K84" s="13" t="str">
        <f aca="false">IF(J84&gt;0,"прибыль",IF(J84&lt;0,"убыток","ноль"))</f>
        <v>прибыль</v>
      </c>
      <c r="L84" s="13" t="n">
        <f aca="false">IF(C84="",L83,IF(J84&lt;0,L83+1,0))</f>
        <v>0</v>
      </c>
      <c r="M84" s="14" t="n">
        <v>89.4</v>
      </c>
      <c r="N84" s="9" t="n">
        <v>3557.62</v>
      </c>
      <c r="O84" s="9" t="n">
        <v>1173613.76</v>
      </c>
    </row>
    <row r="85" customFormat="false" ht="15" hidden="false" customHeight="false" outlineLevel="0" collapsed="false">
      <c r="A85" s="6" t="n">
        <v>80</v>
      </c>
      <c r="B85" s="5" t="s">
        <v>288</v>
      </c>
      <c r="C85" s="5" t="s">
        <v>908</v>
      </c>
      <c r="D85" s="5" t="s">
        <v>909</v>
      </c>
      <c r="E85" s="5" t="s">
        <v>81</v>
      </c>
      <c r="F85" s="11" t="n">
        <v>9476.4</v>
      </c>
      <c r="G85" s="12" t="n">
        <v>65.2572</v>
      </c>
      <c r="H85" s="12" t="n">
        <v>69.4736</v>
      </c>
      <c r="I85" s="5" t="s">
        <v>78</v>
      </c>
      <c r="J85" s="8" t="n">
        <v>-4.79387</v>
      </c>
      <c r="K85" s="13" t="str">
        <f aca="false">IF(J85&gt;0,"прибыль",IF(J85&lt;0,"убыток","ноль"))</f>
        <v>убыток</v>
      </c>
      <c r="L85" s="13" t="n">
        <f aca="false">IF(C85="",L84,IF(J85&lt;0,L84+1,0))</f>
        <v>1</v>
      </c>
      <c r="M85" s="14" t="n">
        <v>-479.39</v>
      </c>
      <c r="N85" s="9" t="n">
        <v>-45428.69</v>
      </c>
      <c r="O85" s="9" t="n">
        <v>1128185.07</v>
      </c>
    </row>
    <row r="86" customFormat="false" ht="15" hidden="false" customHeight="false" outlineLevel="0" collapsed="false">
      <c r="A86" s="6" t="n">
        <v>81</v>
      </c>
      <c r="B86" s="5" t="s">
        <v>288</v>
      </c>
      <c r="C86" s="5" t="s">
        <v>785</v>
      </c>
      <c r="D86" s="5" t="s">
        <v>303</v>
      </c>
      <c r="E86" s="5" t="s">
        <v>77</v>
      </c>
      <c r="F86" s="11" t="n">
        <v>2611.59</v>
      </c>
      <c r="G86" s="12" t="n">
        <v>71.0623</v>
      </c>
      <c r="H86" s="12" t="n">
        <v>68.6924</v>
      </c>
      <c r="J86" s="8" t="n">
        <v>-2.38639</v>
      </c>
      <c r="K86" s="13" t="str">
        <f aca="false">IF(J86&gt;0,"прибыль",IF(J86&lt;0,"убыток","ноль"))</f>
        <v>убыток</v>
      </c>
      <c r="L86" s="13" t="n">
        <f aca="false">IF(C86="",L85,IF(J86&lt;0,L85+1,0))</f>
        <v>2</v>
      </c>
      <c r="M86" s="14" t="n">
        <v>-238.64</v>
      </c>
      <c r="N86" s="9" t="n">
        <v>-6232.28</v>
      </c>
      <c r="O86" s="9" t="n">
        <v>1121952.79</v>
      </c>
    </row>
    <row r="87" customFormat="false" ht="15" hidden="false" customHeight="false" outlineLevel="0" collapsed="false">
      <c r="A87" s="6" t="n">
        <v>82</v>
      </c>
      <c r="B87" s="5" t="s">
        <v>288</v>
      </c>
      <c r="C87" s="5" t="s">
        <v>303</v>
      </c>
      <c r="D87" s="5" t="s">
        <v>454</v>
      </c>
      <c r="E87" s="5" t="s">
        <v>77</v>
      </c>
      <c r="F87" s="11" t="n">
        <v>8554.61</v>
      </c>
      <c r="G87" s="12" t="n">
        <v>71.9408</v>
      </c>
      <c r="H87" s="12" t="n">
        <v>81.2695</v>
      </c>
      <c r="I87" s="5" t="s">
        <v>78</v>
      </c>
      <c r="J87" s="8" t="n">
        <v>10.2883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1028.83</v>
      </c>
      <c r="N87" s="9" t="n">
        <v>88012.33</v>
      </c>
      <c r="O87" s="9" t="n">
        <v>1209965.13</v>
      </c>
    </row>
    <row r="88" customFormat="false" ht="15" hidden="false" customHeight="false" outlineLevel="0" collapsed="false">
      <c r="A88" s="6" t="n">
        <v>83</v>
      </c>
      <c r="B88" s="5" t="s">
        <v>288</v>
      </c>
      <c r="C88" s="5" t="s">
        <v>910</v>
      </c>
      <c r="D88" s="5" t="s">
        <v>911</v>
      </c>
      <c r="E88" s="5" t="s">
        <v>77</v>
      </c>
      <c r="F88" s="11" t="n">
        <v>5669.43</v>
      </c>
      <c r="G88" s="12" t="n">
        <v>72.0423</v>
      </c>
      <c r="H88" s="12" t="n">
        <v>79.9063</v>
      </c>
      <c r="I88" s="5" t="s">
        <v>78</v>
      </c>
      <c r="J88" s="8" t="n">
        <v>8.04737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804.74</v>
      </c>
      <c r="N88" s="9" t="n">
        <v>45623.96</v>
      </c>
      <c r="O88" s="9" t="n">
        <v>1255589.09</v>
      </c>
    </row>
    <row r="89" customFormat="false" ht="15" hidden="false" customHeight="false" outlineLevel="0" collapsed="false">
      <c r="A89" s="6" t="n">
        <v>84</v>
      </c>
      <c r="B89" s="5" t="s">
        <v>288</v>
      </c>
      <c r="C89" s="5" t="s">
        <v>458</v>
      </c>
      <c r="D89" s="5" t="s">
        <v>312</v>
      </c>
      <c r="E89" s="5" t="s">
        <v>77</v>
      </c>
      <c r="F89" s="11" t="n">
        <v>1765.18</v>
      </c>
      <c r="G89" s="12" t="n">
        <v>89.6434</v>
      </c>
      <c r="H89" s="12" t="n">
        <v>93.0201</v>
      </c>
      <c r="J89" s="8" t="n">
        <v>3.35108</v>
      </c>
      <c r="K89" s="13" t="str">
        <f aca="false">IF(J89&gt;0,"прибыль",IF(J89&lt;0,"убыток","ноль"))</f>
        <v>прибыль</v>
      </c>
      <c r="L89" s="13" t="n">
        <f aca="false">IF(C89="",L88,IF(J89&lt;0,L88+1,0))</f>
        <v>0</v>
      </c>
      <c r="M89" s="14" t="n">
        <v>335.11</v>
      </c>
      <c r="N89" s="9" t="n">
        <v>5915.26</v>
      </c>
      <c r="O89" s="9" t="n">
        <v>1261504.35</v>
      </c>
    </row>
    <row r="90" customFormat="false" ht="15" hidden="false" customHeight="false" outlineLevel="0" collapsed="false">
      <c r="A90" s="6" t="n">
        <v>85</v>
      </c>
      <c r="B90" s="5" t="s">
        <v>288</v>
      </c>
      <c r="C90" s="5" t="s">
        <v>312</v>
      </c>
      <c r="D90" s="5" t="s">
        <v>313</v>
      </c>
      <c r="E90" s="5" t="s">
        <v>77</v>
      </c>
      <c r="F90" s="11" t="n">
        <v>4450.23</v>
      </c>
      <c r="G90" s="12" t="n">
        <v>89.6434</v>
      </c>
      <c r="H90" s="12" t="n">
        <v>114.2133</v>
      </c>
      <c r="I90" s="5" t="s">
        <v>78</v>
      </c>
      <c r="J90" s="8" t="n">
        <v>28.58898</v>
      </c>
      <c r="K90" s="13" t="str">
        <f aca="false">IF(J90&gt;0,"прибыль",IF(J90&lt;0,"убыток","ноль"))</f>
        <v>прибыль</v>
      </c>
      <c r="L90" s="13" t="n">
        <f aca="false">IF(C90="",L89,IF(J90&lt;0,L89+1,0))</f>
        <v>0</v>
      </c>
      <c r="M90" s="14" t="n">
        <v>2858.9</v>
      </c>
      <c r="N90" s="9" t="n">
        <v>127227.48</v>
      </c>
      <c r="O90" s="9" t="n">
        <v>1388731.83</v>
      </c>
    </row>
    <row r="91" customFormat="false" ht="15" hidden="false" customHeight="false" outlineLevel="0" collapsed="false">
      <c r="A91" s="6" t="n">
        <v>86</v>
      </c>
      <c r="B91" s="5" t="s">
        <v>288</v>
      </c>
      <c r="C91" s="5" t="s">
        <v>313</v>
      </c>
      <c r="D91" s="5" t="s">
        <v>314</v>
      </c>
      <c r="E91" s="5" t="s">
        <v>77</v>
      </c>
      <c r="F91" s="11" t="n">
        <v>531.45</v>
      </c>
      <c r="G91" s="12" t="n">
        <v>85.6186</v>
      </c>
      <c r="H91" s="12" t="n">
        <v>119.7061</v>
      </c>
      <c r="J91" s="8" t="n">
        <v>34.08148</v>
      </c>
      <c r="K91" s="13" t="str">
        <f aca="false">IF(J91&gt;0,"прибыль",IF(J91&lt;0,"убыток","ноль"))</f>
        <v>прибыль</v>
      </c>
      <c r="L91" s="13" t="n">
        <f aca="false">IF(C91="",L90,IF(J91&lt;0,L90+1,0))</f>
        <v>0</v>
      </c>
      <c r="M91" s="14" t="n">
        <v>3408.15</v>
      </c>
      <c r="N91" s="9" t="n">
        <v>18112.54</v>
      </c>
      <c r="O91" s="9" t="n">
        <v>1406844.37</v>
      </c>
    </row>
    <row r="92" customFormat="false" ht="15" hidden="false" customHeight="false" outlineLevel="0" collapsed="false">
      <c r="A92" s="6" t="n">
        <v>87</v>
      </c>
      <c r="B92" s="5" t="s">
        <v>288</v>
      </c>
      <c r="C92" s="5" t="s">
        <v>314</v>
      </c>
      <c r="D92" s="5" t="s">
        <v>315</v>
      </c>
      <c r="E92" s="5" t="s">
        <v>77</v>
      </c>
      <c r="F92" s="11" t="n">
        <v>397.34</v>
      </c>
      <c r="G92" s="12" t="n">
        <v>85.6186</v>
      </c>
      <c r="H92" s="12" t="n">
        <v>121.0817</v>
      </c>
      <c r="J92" s="8" t="n">
        <v>35.45696</v>
      </c>
      <c r="K92" s="13" t="str">
        <f aca="false">IF(J92&gt;0,"прибыль",IF(J92&lt;0,"убыток","ноль"))</f>
        <v>прибыль</v>
      </c>
      <c r="L92" s="13" t="n">
        <f aca="false">IF(C92="",L91,IF(J92&lt;0,L91+1,0))</f>
        <v>0</v>
      </c>
      <c r="M92" s="14" t="n">
        <v>3545.7</v>
      </c>
      <c r="N92" s="9" t="n">
        <v>14088.56</v>
      </c>
      <c r="O92" s="9" t="n">
        <v>1420932.93</v>
      </c>
    </row>
    <row r="93" customFormat="false" ht="15" hidden="false" customHeight="false" outlineLevel="0" collapsed="false">
      <c r="A93" s="6" t="n">
        <v>88</v>
      </c>
      <c r="B93" s="5" t="s">
        <v>288</v>
      </c>
      <c r="C93" s="5" t="s">
        <v>315</v>
      </c>
      <c r="D93" s="5" t="s">
        <v>789</v>
      </c>
      <c r="E93" s="5" t="s">
        <v>77</v>
      </c>
      <c r="F93" s="11" t="n">
        <v>2738.51</v>
      </c>
      <c r="G93" s="12" t="n">
        <v>94.3658</v>
      </c>
      <c r="H93" s="12" t="n">
        <v>111.7979</v>
      </c>
      <c r="I93" s="5" t="s">
        <v>78</v>
      </c>
      <c r="J93" s="8" t="n">
        <v>21.21532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2121.53</v>
      </c>
      <c r="N93" s="9" t="n">
        <v>58098.27</v>
      </c>
      <c r="O93" s="9" t="n">
        <v>1479031.2</v>
      </c>
    </row>
    <row r="94" customFormat="false" ht="15" hidden="false" customHeight="false" outlineLevel="0" collapsed="false">
      <c r="A94" s="6" t="n">
        <v>89</v>
      </c>
      <c r="B94" s="5" t="s">
        <v>288</v>
      </c>
      <c r="C94" s="5" t="s">
        <v>912</v>
      </c>
      <c r="D94" s="5" t="s">
        <v>320</v>
      </c>
      <c r="E94" s="5" t="s">
        <v>77</v>
      </c>
      <c r="F94" s="11" t="n">
        <v>1562.44</v>
      </c>
      <c r="G94" s="12" t="n">
        <v>119.2423</v>
      </c>
      <c r="H94" s="12" t="n">
        <v>105.6688</v>
      </c>
      <c r="I94" s="5" t="s">
        <v>78</v>
      </c>
      <c r="J94" s="8" t="n">
        <v>-11.00139</v>
      </c>
      <c r="K94" s="13" t="str">
        <f aca="false">IF(J94&gt;0,"прибыль",IF(J94&lt;0,"убыток","ноль"))</f>
        <v>убыток</v>
      </c>
      <c r="L94" s="13" t="n">
        <f aca="false">IF(C94="",L93,IF(J94&lt;0,L93+1,0))</f>
        <v>1</v>
      </c>
      <c r="M94" s="14" t="n">
        <v>-1100.14</v>
      </c>
      <c r="N94" s="9" t="n">
        <v>-17189</v>
      </c>
      <c r="O94" s="9" t="n">
        <v>1461842.19</v>
      </c>
    </row>
    <row r="95" customFormat="false" ht="15" hidden="false" customHeight="false" outlineLevel="0" collapsed="false">
      <c r="A95" s="6" t="n">
        <v>90</v>
      </c>
      <c r="B95" s="5" t="s">
        <v>288</v>
      </c>
      <c r="C95" s="5" t="s">
        <v>320</v>
      </c>
      <c r="D95" s="5" t="s">
        <v>599</v>
      </c>
      <c r="E95" s="5" t="s">
        <v>77</v>
      </c>
      <c r="F95" s="11" t="n">
        <v>765.15</v>
      </c>
      <c r="G95" s="12" t="n">
        <v>116.6456</v>
      </c>
      <c r="H95" s="12" t="n">
        <v>105.8539</v>
      </c>
      <c r="J95" s="8" t="n">
        <v>-10.79698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2</v>
      </c>
      <c r="M95" s="14" t="n">
        <v>-1079.7</v>
      </c>
      <c r="N95" s="9" t="n">
        <v>-8261.34</v>
      </c>
      <c r="O95" s="9" t="n">
        <v>1453580.85</v>
      </c>
    </row>
    <row r="96" customFormat="false" ht="15" hidden="false" customHeight="false" outlineLevel="0" collapsed="false">
      <c r="A96" s="6" t="n">
        <v>91</v>
      </c>
      <c r="B96" s="5" t="s">
        <v>288</v>
      </c>
      <c r="C96" s="5" t="s">
        <v>599</v>
      </c>
      <c r="D96" s="5" t="s">
        <v>326</v>
      </c>
      <c r="E96" s="5" t="s">
        <v>77</v>
      </c>
      <c r="F96" s="11" t="n">
        <v>1115.06</v>
      </c>
      <c r="G96" s="12" t="n">
        <v>111.9241</v>
      </c>
      <c r="H96" s="12" t="n">
        <v>104.6337</v>
      </c>
      <c r="I96" s="5" t="s">
        <v>78</v>
      </c>
      <c r="J96" s="8" t="n">
        <v>1.61405</v>
      </c>
      <c r="K96" s="13" t="str">
        <f aca="false">IF(J96&gt;0,"прибыль",IF(J96&lt;0,"убыток","ноль"))</f>
        <v>прибыль</v>
      </c>
      <c r="L96" s="13" t="n">
        <f aca="false">IF(C96="",L95,IF(J96&lt;0,L95+1,0))</f>
        <v>0</v>
      </c>
      <c r="M96" s="14" t="n">
        <v>161.4</v>
      </c>
      <c r="N96" s="9" t="n">
        <v>1799.76</v>
      </c>
      <c r="O96" s="9" t="n">
        <v>1455380.61</v>
      </c>
    </row>
    <row r="97" customFormat="false" ht="15" hidden="false" customHeight="false" outlineLevel="0" collapsed="false">
      <c r="A97" s="6" t="n">
        <v>92</v>
      </c>
      <c r="B97" s="5" t="s">
        <v>288</v>
      </c>
      <c r="C97" s="5" t="s">
        <v>326</v>
      </c>
      <c r="D97" s="5" t="s">
        <v>913</v>
      </c>
      <c r="E97" s="5" t="s">
        <v>77</v>
      </c>
      <c r="F97" s="11" t="n">
        <v>4468.68</v>
      </c>
      <c r="G97" s="12" t="n">
        <v>103.0036</v>
      </c>
      <c r="H97" s="12" t="n">
        <v>96.0922</v>
      </c>
      <c r="I97" s="5" t="s">
        <v>78</v>
      </c>
      <c r="J97" s="8" t="n">
        <v>-6.18031</v>
      </c>
      <c r="K97" s="13" t="str">
        <f aca="false">IF(J97&gt;0,"прибыль",IF(J97&lt;0,"убыток","ноль"))</f>
        <v>убыток</v>
      </c>
      <c r="L97" s="13" t="n">
        <f aca="false">IF(C97="",L96,IF(J97&lt;0,L96+1,0))</f>
        <v>1</v>
      </c>
      <c r="M97" s="14" t="n">
        <v>-618.03</v>
      </c>
      <c r="N97" s="9" t="n">
        <v>-27617.81</v>
      </c>
      <c r="O97" s="9" t="n">
        <v>1427762.8</v>
      </c>
    </row>
    <row r="98" customFormat="false" ht="15" hidden="false" customHeight="false" outlineLevel="0" collapsed="false">
      <c r="A98" s="6" t="n">
        <v>93</v>
      </c>
      <c r="B98" s="5" t="s">
        <v>288</v>
      </c>
      <c r="C98" s="5" t="s">
        <v>914</v>
      </c>
      <c r="D98" s="5" t="s">
        <v>333</v>
      </c>
      <c r="E98" s="5" t="s">
        <v>81</v>
      </c>
      <c r="F98" s="11" t="n">
        <v>5594.26</v>
      </c>
      <c r="G98" s="12" t="n">
        <v>93.1177</v>
      </c>
      <c r="H98" s="12" t="n">
        <v>96.6754</v>
      </c>
      <c r="I98" s="5" t="s">
        <v>78</v>
      </c>
      <c r="J98" s="8" t="n">
        <v>-2.69313</v>
      </c>
      <c r="K98" s="13" t="str">
        <f aca="false">IF(J98&gt;0,"прибыль",IF(J98&lt;0,"убыток","ноль"))</f>
        <v>убыток</v>
      </c>
      <c r="L98" s="13" t="n">
        <f aca="false">IF(C98="",L97,IF(J98&lt;0,L97+1,0))</f>
        <v>2</v>
      </c>
      <c r="M98" s="14" t="n">
        <v>-269.31</v>
      </c>
      <c r="N98" s="9" t="n">
        <v>-15066.06</v>
      </c>
      <c r="O98" s="9" t="n">
        <v>1412696.74</v>
      </c>
    </row>
    <row r="99" customFormat="false" ht="15" hidden="false" customHeight="false" outlineLevel="0" collapsed="false">
      <c r="A99" s="6" t="n">
        <v>94</v>
      </c>
      <c r="B99" s="5" t="s">
        <v>288</v>
      </c>
      <c r="C99" s="5" t="s">
        <v>915</v>
      </c>
      <c r="D99" s="5" t="s">
        <v>600</v>
      </c>
      <c r="E99" s="5" t="s">
        <v>81</v>
      </c>
      <c r="F99" s="11" t="n">
        <v>1854.73</v>
      </c>
      <c r="G99" s="12" t="n">
        <v>85.0019</v>
      </c>
      <c r="H99" s="12" t="n">
        <v>78.0303</v>
      </c>
      <c r="I99" s="5" t="s">
        <v>78</v>
      </c>
      <c r="J99" s="8" t="n">
        <v>18.17742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1817.74</v>
      </c>
      <c r="N99" s="9" t="n">
        <v>33714.19</v>
      </c>
      <c r="O99" s="9" t="n">
        <v>1446410.92</v>
      </c>
    </row>
    <row r="100" customFormat="false" ht="15" hidden="false" customHeight="false" outlineLevel="0" collapsed="false">
      <c r="A100" s="6" t="n">
        <v>95</v>
      </c>
      <c r="B100" s="5" t="s">
        <v>288</v>
      </c>
      <c r="C100" s="5" t="s">
        <v>600</v>
      </c>
      <c r="D100" s="5" t="s">
        <v>689</v>
      </c>
      <c r="E100" s="5" t="s">
        <v>81</v>
      </c>
      <c r="F100" s="11" t="n">
        <v>9769.4</v>
      </c>
      <c r="G100" s="12" t="n">
        <v>89.0628</v>
      </c>
      <c r="H100" s="12" t="n">
        <v>75.5516</v>
      </c>
      <c r="I100" s="5" t="s">
        <v>78</v>
      </c>
      <c r="J100" s="8" t="n">
        <v>19.15168</v>
      </c>
      <c r="K100" s="13" t="str">
        <f aca="false">IF(J100&gt;0,"прибыль",IF(J100&lt;0,"убыток","ноль"))</f>
        <v>прибыль</v>
      </c>
      <c r="L100" s="13" t="n">
        <f aca="false">IF(C100="",L99,IF(J100&lt;0,L99+1,0))</f>
        <v>0</v>
      </c>
      <c r="M100" s="14" t="n">
        <v>1915.17</v>
      </c>
      <c r="N100" s="9" t="n">
        <v>187100.4</v>
      </c>
      <c r="O100" s="9" t="n">
        <v>1633511.32</v>
      </c>
    </row>
    <row r="101" customFormat="false" ht="15" hidden="false" customHeight="false" outlineLevel="0" collapsed="false">
      <c r="A101" s="6" t="n">
        <v>96</v>
      </c>
      <c r="B101" s="5" t="s">
        <v>288</v>
      </c>
      <c r="C101" s="5" t="s">
        <v>689</v>
      </c>
      <c r="D101" s="5" t="s">
        <v>916</v>
      </c>
      <c r="E101" s="5" t="s">
        <v>77</v>
      </c>
      <c r="F101" s="11" t="n">
        <v>0</v>
      </c>
      <c r="G101" s="12" t="n">
        <v>75.5516</v>
      </c>
      <c r="H101" s="12" t="n">
        <v>75.1386</v>
      </c>
      <c r="J101" s="8" t="n">
        <v>-0.41675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1</v>
      </c>
      <c r="M101" s="14" t="n">
        <v>-41.68</v>
      </c>
      <c r="N101" s="9" t="n">
        <v>0</v>
      </c>
      <c r="O101" s="9" t="n">
        <v>1633511.32</v>
      </c>
    </row>
    <row r="102" customFormat="false" ht="15" hidden="false" customHeight="false" outlineLevel="0" collapsed="false">
      <c r="A102" s="6" t="n">
        <v>97</v>
      </c>
      <c r="B102" s="5" t="s">
        <v>288</v>
      </c>
      <c r="C102" s="5" t="s">
        <v>916</v>
      </c>
      <c r="D102" s="5" t="s">
        <v>917</v>
      </c>
      <c r="E102" s="5" t="s">
        <v>77</v>
      </c>
      <c r="F102" s="11" t="n">
        <v>7581.35</v>
      </c>
      <c r="G102" s="12" t="n">
        <v>75.5516</v>
      </c>
      <c r="H102" s="12" t="n">
        <v>77.5753</v>
      </c>
      <c r="I102" s="5" t="s">
        <v>78</v>
      </c>
      <c r="J102" s="8" t="n">
        <v>-1.24765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2</v>
      </c>
      <c r="M102" s="14" t="n">
        <v>-124.76</v>
      </c>
      <c r="N102" s="9" t="n">
        <v>-9458.85</v>
      </c>
      <c r="O102" s="9" t="n">
        <v>1624052.47</v>
      </c>
    </row>
    <row r="103" customFormat="false" ht="15" hidden="false" customHeight="false" outlineLevel="0" collapsed="false">
      <c r="A103" s="6" t="n">
        <v>98</v>
      </c>
      <c r="B103" s="5" t="s">
        <v>288</v>
      </c>
      <c r="C103" s="5" t="s">
        <v>917</v>
      </c>
      <c r="D103" s="5" t="s">
        <v>918</v>
      </c>
      <c r="E103" s="5" t="s">
        <v>81</v>
      </c>
      <c r="F103" s="11" t="n">
        <v>0</v>
      </c>
      <c r="G103" s="12" t="n">
        <v>77.5753</v>
      </c>
      <c r="H103" s="12" t="n">
        <v>77.6319</v>
      </c>
      <c r="J103" s="8" t="n">
        <v>-0.06051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3</v>
      </c>
      <c r="M103" s="14" t="n">
        <v>-6.05</v>
      </c>
      <c r="N103" s="9" t="n">
        <v>0</v>
      </c>
      <c r="O103" s="9" t="n">
        <v>1624052.47</v>
      </c>
    </row>
    <row r="104" customFormat="false" ht="15" hidden="false" customHeight="false" outlineLevel="0" collapsed="false">
      <c r="A104" s="6" t="n">
        <v>99</v>
      </c>
      <c r="B104" s="5" t="s">
        <v>288</v>
      </c>
      <c r="C104" s="5" t="s">
        <v>918</v>
      </c>
      <c r="D104" s="5" t="s">
        <v>919</v>
      </c>
      <c r="E104" s="5" t="s">
        <v>81</v>
      </c>
      <c r="F104" s="11" t="n">
        <v>8131.11</v>
      </c>
      <c r="G104" s="12" t="n">
        <v>76.7913</v>
      </c>
      <c r="H104" s="12" t="n">
        <v>76.6284</v>
      </c>
      <c r="I104" s="5" t="s">
        <v>78</v>
      </c>
      <c r="J104" s="8" t="n">
        <v>0.74254</v>
      </c>
      <c r="K104" s="13" t="str">
        <f aca="false">IF(J104&gt;0,"прибыль",IF(J104&lt;0,"убыток","ноль"))</f>
        <v>прибыль</v>
      </c>
      <c r="L104" s="13" t="n">
        <f aca="false">IF(C104="",L103,IF(J104&lt;0,L103+1,0))</f>
        <v>0</v>
      </c>
      <c r="M104" s="14" t="n">
        <v>74.25</v>
      </c>
      <c r="N104" s="9" t="n">
        <v>6037.66</v>
      </c>
      <c r="O104" s="9" t="n">
        <v>1630090.13</v>
      </c>
    </row>
    <row r="105" customFormat="false" ht="15" hidden="false" customHeight="false" outlineLevel="0" collapsed="false">
      <c r="A105" s="6" t="n">
        <v>100</v>
      </c>
      <c r="B105" s="5" t="s">
        <v>288</v>
      </c>
      <c r="C105" s="5" t="s">
        <v>920</v>
      </c>
      <c r="D105" s="5" t="s">
        <v>921</v>
      </c>
      <c r="E105" s="5" t="s">
        <v>81</v>
      </c>
      <c r="F105" s="11" t="n">
        <v>11567.8</v>
      </c>
      <c r="G105" s="12" t="n">
        <v>88.8411</v>
      </c>
      <c r="H105" s="12" t="n">
        <v>91.4234</v>
      </c>
      <c r="I105" s="5" t="s">
        <v>78</v>
      </c>
      <c r="J105" s="8" t="n">
        <v>-6.62358</v>
      </c>
      <c r="K105" s="13" t="str">
        <f aca="false">IF(J105&gt;0,"прибыль",IF(J105&lt;0,"убыток","ноль"))</f>
        <v>убыток</v>
      </c>
      <c r="L105" s="13" t="n">
        <f aca="false">IF(C105="",L104,IF(J105&lt;0,L104+1,0))</f>
        <v>1</v>
      </c>
      <c r="M105" s="14" t="n">
        <v>-662.36</v>
      </c>
      <c r="N105" s="9" t="n">
        <v>-76620.31</v>
      </c>
      <c r="O105" s="9" t="n">
        <v>1553469.82</v>
      </c>
    </row>
    <row r="106" customFormat="false" ht="15" hidden="false" customHeight="false" outlineLevel="0" collapsed="false">
      <c r="A106" s="6" t="n">
        <v>101</v>
      </c>
      <c r="B106" s="5" t="s">
        <v>288</v>
      </c>
      <c r="C106" s="5" t="s">
        <v>921</v>
      </c>
      <c r="D106" s="5" t="s">
        <v>350</v>
      </c>
      <c r="E106" s="5" t="s">
        <v>77</v>
      </c>
      <c r="F106" s="11" t="n">
        <v>3409.77</v>
      </c>
      <c r="G106" s="12" t="n">
        <v>91.4234</v>
      </c>
      <c r="H106" s="12" t="n">
        <v>86.5446</v>
      </c>
      <c r="J106" s="8" t="n">
        <v>-4.88311</v>
      </c>
      <c r="K106" s="13" t="str">
        <f aca="false">IF(J106&gt;0,"прибыль",IF(J106&lt;0,"убыток","ноль"))</f>
        <v>убыток</v>
      </c>
      <c r="L106" s="13" t="n">
        <f aca="false">IF(C106="",L105,IF(J106&lt;0,L105+1,0))</f>
        <v>2</v>
      </c>
      <c r="M106" s="14" t="n">
        <v>-488.31</v>
      </c>
      <c r="N106" s="9" t="n">
        <v>-16650.29</v>
      </c>
      <c r="O106" s="9" t="n">
        <v>1536819.53</v>
      </c>
    </row>
    <row r="107" customFormat="false" ht="15" hidden="false" customHeight="false" outlineLevel="0" collapsed="false">
      <c r="A107" s="6" t="n">
        <v>102</v>
      </c>
      <c r="B107" s="5" t="s">
        <v>288</v>
      </c>
      <c r="C107" s="5" t="s">
        <v>350</v>
      </c>
      <c r="D107" s="5" t="s">
        <v>351</v>
      </c>
      <c r="E107" s="5" t="s">
        <v>77</v>
      </c>
      <c r="F107" s="11" t="n">
        <v>2197.45</v>
      </c>
      <c r="G107" s="12" t="n">
        <v>91.4234</v>
      </c>
      <c r="H107" s="12" t="n">
        <v>90.9997</v>
      </c>
      <c r="J107" s="8" t="n">
        <v>-0.42824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3</v>
      </c>
      <c r="M107" s="14" t="n">
        <v>-42.82</v>
      </c>
      <c r="N107" s="9" t="n">
        <v>-941.03</v>
      </c>
      <c r="O107" s="9" t="n">
        <v>1535878.5</v>
      </c>
    </row>
    <row r="108" customFormat="false" ht="15" hidden="false" customHeight="false" outlineLevel="0" collapsed="false">
      <c r="A108" s="6" t="n">
        <v>103</v>
      </c>
      <c r="B108" s="5" t="s">
        <v>288</v>
      </c>
      <c r="C108" s="5" t="s">
        <v>351</v>
      </c>
      <c r="D108" s="5" t="s">
        <v>922</v>
      </c>
      <c r="E108" s="5" t="s">
        <v>77</v>
      </c>
      <c r="F108" s="11" t="n">
        <v>10714.24</v>
      </c>
      <c r="G108" s="12" t="n">
        <v>88.6704</v>
      </c>
      <c r="H108" s="12" t="n">
        <v>83.1889</v>
      </c>
      <c r="I108" s="5" t="s">
        <v>78</v>
      </c>
      <c r="J108" s="8" t="n">
        <v>2.11517</v>
      </c>
      <c r="K108" s="13" t="str">
        <f aca="false">IF(J108&gt;0,"прибыль",IF(J108&lt;0,"убыток","ноль"))</f>
        <v>прибыль</v>
      </c>
      <c r="L108" s="13" t="n">
        <f aca="false">IF(C108="",L107,IF(J108&lt;0,L107+1,0))</f>
        <v>0</v>
      </c>
      <c r="M108" s="14" t="n">
        <v>211.52</v>
      </c>
      <c r="N108" s="9" t="n">
        <v>22662.48</v>
      </c>
      <c r="O108" s="9" t="n">
        <v>1558540.98</v>
      </c>
    </row>
    <row r="109" customFormat="false" ht="15" hidden="false" customHeight="false" outlineLevel="0" collapsed="false">
      <c r="A109" s="6" t="n">
        <v>104</v>
      </c>
      <c r="B109" s="5" t="s">
        <v>288</v>
      </c>
      <c r="C109" s="5" t="s">
        <v>923</v>
      </c>
      <c r="D109" s="5" t="s">
        <v>693</v>
      </c>
      <c r="E109" s="5" t="s">
        <v>77</v>
      </c>
      <c r="F109" s="11" t="n">
        <v>3173.58</v>
      </c>
      <c r="G109" s="12" t="n">
        <v>83.3667</v>
      </c>
      <c r="H109" s="12" t="n">
        <v>81.7724</v>
      </c>
      <c r="J109" s="8" t="n">
        <v>-1.61677</v>
      </c>
      <c r="K109" s="13" t="str">
        <f aca="false">IF(J109&gt;0,"прибыль",IF(J109&lt;0,"убыток","ноль"))</f>
        <v>убыток</v>
      </c>
      <c r="L109" s="13" t="n">
        <f aca="false">IF(C109="",L108,IF(J109&lt;0,L108+1,0))</f>
        <v>1</v>
      </c>
      <c r="M109" s="14" t="n">
        <v>-161.68</v>
      </c>
      <c r="N109" s="9" t="n">
        <v>-5130.94</v>
      </c>
      <c r="O109" s="9" t="n">
        <v>1553410.04</v>
      </c>
    </row>
    <row r="110" customFormat="false" ht="15" hidden="false" customHeight="false" outlineLevel="0" collapsed="false">
      <c r="A110" s="6" t="n">
        <v>105</v>
      </c>
      <c r="B110" s="5" t="s">
        <v>288</v>
      </c>
      <c r="C110" s="5" t="s">
        <v>693</v>
      </c>
      <c r="D110" s="5" t="s">
        <v>366</v>
      </c>
      <c r="E110" s="5" t="s">
        <v>77</v>
      </c>
      <c r="F110" s="11" t="n">
        <v>2331.29</v>
      </c>
      <c r="G110" s="12" t="n">
        <v>83.3667</v>
      </c>
      <c r="H110" s="12" t="n">
        <v>81.3439</v>
      </c>
      <c r="I110" s="5" t="s">
        <v>78</v>
      </c>
      <c r="J110" s="8" t="n">
        <v>1.63114</v>
      </c>
      <c r="K110" s="13" t="str">
        <f aca="false">IF(J110&gt;0,"прибыль",IF(J110&lt;0,"убыток","ноль"))</f>
        <v>прибыль</v>
      </c>
      <c r="L110" s="13" t="n">
        <f aca="false">IF(C110="",L109,IF(J110&lt;0,L109+1,0))</f>
        <v>0</v>
      </c>
      <c r="M110" s="14" t="n">
        <v>163.11</v>
      </c>
      <c r="N110" s="9" t="n">
        <v>3802.64</v>
      </c>
      <c r="O110" s="9" t="n">
        <v>1557212.68</v>
      </c>
    </row>
    <row r="111" customFormat="false" ht="15" hidden="false" customHeight="false" outlineLevel="0" collapsed="false">
      <c r="A111" s="6" t="n">
        <v>106</v>
      </c>
      <c r="B111" s="5" t="s">
        <v>288</v>
      </c>
      <c r="C111" s="5" t="s">
        <v>366</v>
      </c>
      <c r="D111" s="5" t="s">
        <v>500</v>
      </c>
      <c r="E111" s="5" t="s">
        <v>77</v>
      </c>
      <c r="F111" s="11" t="n">
        <v>8920.94</v>
      </c>
      <c r="G111" s="12" t="n">
        <v>79.7087</v>
      </c>
      <c r="H111" s="12" t="n">
        <v>86.8376</v>
      </c>
      <c r="I111" s="5" t="s">
        <v>78</v>
      </c>
      <c r="J111" s="8" t="n">
        <v>6.58027</v>
      </c>
      <c r="K111" s="13" t="str">
        <f aca="false">IF(J111&gt;0,"прибыль",IF(J111&lt;0,"убыток","ноль"))</f>
        <v>прибыль</v>
      </c>
      <c r="L111" s="13" t="n">
        <f aca="false">IF(C111="",L110,IF(J111&lt;0,L110+1,0))</f>
        <v>0</v>
      </c>
      <c r="M111" s="14" t="n">
        <v>658.03</v>
      </c>
      <c r="N111" s="9" t="n">
        <v>58702.22</v>
      </c>
      <c r="O111" s="9" t="n">
        <v>1615914.9</v>
      </c>
    </row>
    <row r="112" customFormat="false" ht="15" hidden="false" customHeight="false" outlineLevel="0" collapsed="false">
      <c r="A112" s="6" t="n">
        <v>107</v>
      </c>
      <c r="B112" s="5" t="s">
        <v>288</v>
      </c>
      <c r="C112" s="5" t="s">
        <v>695</v>
      </c>
      <c r="D112" s="5" t="s">
        <v>924</v>
      </c>
      <c r="E112" s="5" t="s">
        <v>77</v>
      </c>
      <c r="F112" s="11" t="n">
        <v>7453.69</v>
      </c>
      <c r="G112" s="12" t="n">
        <v>73.6352</v>
      </c>
      <c r="H112" s="12" t="n">
        <v>74.936</v>
      </c>
      <c r="I112" s="5" t="s">
        <v>78</v>
      </c>
      <c r="J112" s="8" t="n">
        <v>-1.93126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1</v>
      </c>
      <c r="M112" s="14" t="n">
        <v>-193.13</v>
      </c>
      <c r="N112" s="9" t="n">
        <v>-14394.99</v>
      </c>
      <c r="O112" s="9" t="n">
        <v>1601519.91</v>
      </c>
    </row>
    <row r="113" customFormat="false" ht="15" hidden="false" customHeight="false" outlineLevel="0" collapsed="false">
      <c r="A113" s="6" t="n">
        <v>108</v>
      </c>
      <c r="B113" s="5" t="s">
        <v>288</v>
      </c>
      <c r="C113" s="5" t="s">
        <v>924</v>
      </c>
      <c r="D113" s="5" t="s">
        <v>696</v>
      </c>
      <c r="E113" s="5" t="s">
        <v>81</v>
      </c>
      <c r="F113" s="11" t="n">
        <v>1598.82</v>
      </c>
      <c r="G113" s="12" t="n">
        <v>74.936</v>
      </c>
      <c r="H113" s="12" t="n">
        <v>79.9906</v>
      </c>
      <c r="J113" s="8" t="n">
        <v>-5.05863</v>
      </c>
      <c r="K113" s="13" t="str">
        <f aca="false">IF(J113&gt;0,"прибыль",IF(J113&lt;0,"убыток","ноль"))</f>
        <v>убыток</v>
      </c>
      <c r="L113" s="13" t="n">
        <f aca="false">IF(C113="",L112,IF(J113&lt;0,L112+1,0))</f>
        <v>2</v>
      </c>
      <c r="M113" s="14" t="n">
        <v>-505.86</v>
      </c>
      <c r="N113" s="9" t="n">
        <v>-8087.84</v>
      </c>
      <c r="O113" s="9" t="n">
        <v>1593432.07</v>
      </c>
    </row>
    <row r="114" customFormat="false" ht="15" hidden="false" customHeight="false" outlineLevel="0" collapsed="false">
      <c r="A114" s="6" t="n">
        <v>109</v>
      </c>
      <c r="B114" s="5" t="s">
        <v>288</v>
      </c>
      <c r="C114" s="5" t="s">
        <v>696</v>
      </c>
      <c r="D114" s="5" t="s">
        <v>925</v>
      </c>
      <c r="E114" s="5" t="s">
        <v>81</v>
      </c>
      <c r="F114" s="11" t="n">
        <v>5975.76</v>
      </c>
      <c r="G114" s="12" t="n">
        <v>74.936</v>
      </c>
      <c r="H114" s="12" t="n">
        <v>75.2531</v>
      </c>
      <c r="I114" s="5" t="s">
        <v>78</v>
      </c>
      <c r="J114" s="8" t="n">
        <v>-0.11597</v>
      </c>
      <c r="K114" s="13" t="str">
        <f aca="false">IF(J114&gt;0,"прибыль",IF(J114&lt;0,"убыток","ноль"))</f>
        <v>убыток</v>
      </c>
      <c r="L114" s="13" t="n">
        <f aca="false">IF(C114="",L113,IF(J114&lt;0,L113+1,0))</f>
        <v>3</v>
      </c>
      <c r="M114" s="14" t="n">
        <v>-11.6</v>
      </c>
      <c r="N114" s="9" t="n">
        <v>-692.99</v>
      </c>
      <c r="O114" s="9" t="n">
        <v>1592739.08</v>
      </c>
    </row>
    <row r="115" customFormat="false" ht="15" hidden="false" customHeight="false" outlineLevel="0" collapsed="false">
      <c r="A115" s="6" t="n">
        <v>110</v>
      </c>
      <c r="B115" s="5" t="s">
        <v>288</v>
      </c>
      <c r="C115" s="5" t="s">
        <v>515</v>
      </c>
      <c r="D115" s="5" t="s">
        <v>609</v>
      </c>
      <c r="E115" s="5" t="s">
        <v>81</v>
      </c>
      <c r="F115" s="11" t="n">
        <v>3729.38</v>
      </c>
      <c r="G115" s="12" t="n">
        <v>77.2324</v>
      </c>
      <c r="H115" s="12" t="n">
        <v>82.2412</v>
      </c>
      <c r="J115" s="8" t="n">
        <v>-5.02711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4</v>
      </c>
      <c r="M115" s="14" t="n">
        <v>-502.71</v>
      </c>
      <c r="N115" s="9" t="n">
        <v>-18747.99</v>
      </c>
      <c r="O115" s="9" t="n">
        <v>1573991.09</v>
      </c>
    </row>
    <row r="116" customFormat="false" ht="15" hidden="false" customHeight="false" outlineLevel="0" collapsed="false">
      <c r="A116" s="6" t="n">
        <v>111</v>
      </c>
      <c r="B116" s="5" t="s">
        <v>288</v>
      </c>
      <c r="C116" s="5" t="s">
        <v>609</v>
      </c>
      <c r="D116" s="5" t="s">
        <v>926</v>
      </c>
      <c r="E116" s="5" t="s">
        <v>81</v>
      </c>
      <c r="F116" s="11" t="n">
        <v>10204.98</v>
      </c>
      <c r="G116" s="12" t="n">
        <v>77.2324</v>
      </c>
      <c r="H116" s="12" t="n">
        <v>76.0737</v>
      </c>
      <c r="I116" s="5" t="s">
        <v>78</v>
      </c>
      <c r="J116" s="8" t="n">
        <v>-0.34773</v>
      </c>
      <c r="K116" s="13" t="str">
        <f aca="false">IF(J116&gt;0,"прибыль",IF(J116&lt;0,"убыток","ноль"))</f>
        <v>убыток</v>
      </c>
      <c r="L116" s="13" t="n">
        <f aca="false">IF(C116="",L115,IF(J116&lt;0,L115+1,0))</f>
        <v>5</v>
      </c>
      <c r="M116" s="14" t="n">
        <v>-34.77</v>
      </c>
      <c r="N116" s="9" t="n">
        <v>-3548.54</v>
      </c>
      <c r="O116" s="9" t="n">
        <v>1570442.55</v>
      </c>
    </row>
    <row r="117" customFormat="false" ht="15" hidden="false" customHeight="false" outlineLevel="0" collapsed="false">
      <c r="A117" s="6" t="n">
        <v>112</v>
      </c>
      <c r="B117" s="5" t="s">
        <v>288</v>
      </c>
      <c r="C117" s="5" t="s">
        <v>926</v>
      </c>
      <c r="D117" s="5" t="s">
        <v>927</v>
      </c>
      <c r="E117" s="5" t="s">
        <v>77</v>
      </c>
      <c r="F117" s="11" t="n">
        <v>0</v>
      </c>
      <c r="G117" s="12" t="n">
        <v>76.0737</v>
      </c>
      <c r="H117" s="12" t="n">
        <v>74.745</v>
      </c>
      <c r="J117" s="8" t="n">
        <v>-1.33242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6</v>
      </c>
      <c r="M117" s="14" t="n">
        <v>-133.24</v>
      </c>
      <c r="N117" s="9" t="n">
        <v>0</v>
      </c>
      <c r="O117" s="9" t="n">
        <v>1570442.55</v>
      </c>
    </row>
    <row r="118" customFormat="false" ht="15" hidden="false" customHeight="false" outlineLevel="0" collapsed="false">
      <c r="A118" s="6" t="n">
        <v>113</v>
      </c>
      <c r="B118" s="5" t="s">
        <v>288</v>
      </c>
      <c r="C118" s="5" t="s">
        <v>927</v>
      </c>
      <c r="D118" s="5" t="s">
        <v>928</v>
      </c>
      <c r="E118" s="5" t="s">
        <v>77</v>
      </c>
      <c r="F118" s="11" t="n">
        <v>11534.18</v>
      </c>
      <c r="G118" s="12" t="n">
        <v>75.8452</v>
      </c>
      <c r="H118" s="12" t="n">
        <v>73.0817</v>
      </c>
      <c r="I118" s="5" t="s">
        <v>78</v>
      </c>
      <c r="J118" s="8" t="n">
        <v>-0.22664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7</v>
      </c>
      <c r="M118" s="14" t="n">
        <v>-22.66</v>
      </c>
      <c r="N118" s="9" t="n">
        <v>-2614.15</v>
      </c>
      <c r="O118" s="9" t="n">
        <v>1567828.4</v>
      </c>
    </row>
    <row r="119" customFormat="false" ht="15" hidden="false" customHeight="false" outlineLevel="0" collapsed="false">
      <c r="A119" s="6" t="n">
        <v>114</v>
      </c>
      <c r="B119" s="5" t="s">
        <v>288</v>
      </c>
      <c r="C119" s="5" t="s">
        <v>520</v>
      </c>
      <c r="D119" s="5" t="s">
        <v>386</v>
      </c>
      <c r="E119" s="5" t="s">
        <v>77</v>
      </c>
      <c r="F119" s="11" t="n">
        <v>7645.75</v>
      </c>
      <c r="G119" s="12" t="n">
        <v>61.9343</v>
      </c>
      <c r="H119" s="12" t="n">
        <v>65.2378</v>
      </c>
      <c r="I119" s="5" t="s">
        <v>78</v>
      </c>
      <c r="J119" s="8" t="n">
        <v>2.47921</v>
      </c>
      <c r="K119" s="13" t="str">
        <f aca="false">IF(J119&gt;0,"прибыль",IF(J119&lt;0,"убыток","ноль"))</f>
        <v>прибыль</v>
      </c>
      <c r="L119" s="13" t="n">
        <f aca="false">IF(C119="",L118,IF(J119&lt;0,L118+1,0))</f>
        <v>0</v>
      </c>
      <c r="M119" s="14" t="n">
        <v>247.92</v>
      </c>
      <c r="N119" s="9" t="n">
        <v>18955.41</v>
      </c>
      <c r="O119" s="9" t="n">
        <v>1586783.81</v>
      </c>
    </row>
    <row r="120" customFormat="false" ht="15" hidden="false" customHeight="false" outlineLevel="0" collapsed="false">
      <c r="A120" s="6" t="n">
        <v>115</v>
      </c>
      <c r="B120" s="5" t="s">
        <v>288</v>
      </c>
      <c r="C120" s="5" t="s">
        <v>386</v>
      </c>
      <c r="D120" s="5" t="s">
        <v>387</v>
      </c>
      <c r="E120" s="5" t="s">
        <v>81</v>
      </c>
      <c r="F120" s="11" t="n">
        <v>2770.87</v>
      </c>
      <c r="G120" s="12" t="n">
        <v>65.6273</v>
      </c>
      <c r="H120" s="12" t="n">
        <v>73.8393</v>
      </c>
      <c r="J120" s="8" t="n">
        <v>-8.21879</v>
      </c>
      <c r="K120" s="13" t="str">
        <f aca="false">IF(J120&gt;0,"прибыль",IF(J120&lt;0,"убыток","ноль"))</f>
        <v>убыток</v>
      </c>
      <c r="L120" s="13" t="n">
        <f aca="false">IF(C120="",L119,IF(J120&lt;0,L119+1,0))</f>
        <v>1</v>
      </c>
      <c r="M120" s="14" t="n">
        <v>-821.88</v>
      </c>
      <c r="N120" s="9" t="n">
        <v>-22773.23</v>
      </c>
      <c r="O120" s="9" t="n">
        <v>1564010.58</v>
      </c>
    </row>
    <row r="121" customFormat="false" ht="15" hidden="false" customHeight="false" outlineLevel="0" collapsed="false">
      <c r="A121" s="6" t="n">
        <v>116</v>
      </c>
      <c r="B121" s="5" t="s">
        <v>288</v>
      </c>
      <c r="C121" s="5" t="s">
        <v>387</v>
      </c>
      <c r="D121" s="5" t="s">
        <v>388</v>
      </c>
      <c r="E121" s="5" t="s">
        <v>81</v>
      </c>
      <c r="F121" s="11" t="n">
        <v>2732.07</v>
      </c>
      <c r="G121" s="12" t="n">
        <v>65.6273</v>
      </c>
      <c r="H121" s="12" t="n">
        <v>74.7313</v>
      </c>
      <c r="J121" s="8" t="n">
        <v>-9.10772</v>
      </c>
      <c r="K121" s="13" t="str">
        <f aca="false">IF(J121&gt;0,"прибыль",IF(J121&lt;0,"убыток","ноль"))</f>
        <v>убыток</v>
      </c>
      <c r="L121" s="13" t="n">
        <f aca="false">IF(C121="",L120,IF(J121&lt;0,L120+1,0))</f>
        <v>2</v>
      </c>
      <c r="M121" s="14" t="n">
        <v>-910.77</v>
      </c>
      <c r="N121" s="9" t="n">
        <v>-24882.89</v>
      </c>
      <c r="O121" s="9" t="n">
        <v>1539127.69</v>
      </c>
    </row>
    <row r="122" customFormat="false" ht="15" hidden="false" customHeight="false" outlineLevel="0" collapsed="false">
      <c r="A122" s="6" t="n">
        <v>117</v>
      </c>
      <c r="B122" s="5" t="s">
        <v>288</v>
      </c>
      <c r="C122" s="5" t="s">
        <v>388</v>
      </c>
      <c r="D122" s="5" t="s">
        <v>389</v>
      </c>
      <c r="E122" s="5" t="s">
        <v>81</v>
      </c>
      <c r="F122" s="11" t="n">
        <v>1839.81</v>
      </c>
      <c r="G122" s="12" t="n">
        <v>65.6273</v>
      </c>
      <c r="H122" s="12" t="n">
        <v>68.913</v>
      </c>
      <c r="J122" s="8" t="n">
        <v>-3.28914</v>
      </c>
      <c r="K122" s="13" t="str">
        <f aca="false">IF(J122&gt;0,"прибыль",IF(J122&lt;0,"убыток","ноль"))</f>
        <v>убыток</v>
      </c>
      <c r="L122" s="13" t="n">
        <f aca="false">IF(C122="",L121,IF(J122&lt;0,L121+1,0))</f>
        <v>3</v>
      </c>
      <c r="M122" s="14" t="n">
        <v>-328.91</v>
      </c>
      <c r="N122" s="9" t="n">
        <v>-6051.39</v>
      </c>
      <c r="O122" s="9" t="n">
        <v>1533076.29</v>
      </c>
    </row>
    <row r="123" customFormat="false" ht="15" hidden="false" customHeight="false" outlineLevel="0" collapsed="false">
      <c r="A123" s="6" t="n">
        <v>118</v>
      </c>
      <c r="B123" s="5" t="s">
        <v>288</v>
      </c>
      <c r="C123" s="5" t="s">
        <v>389</v>
      </c>
      <c r="D123" s="5" t="s">
        <v>929</v>
      </c>
      <c r="E123" s="5" t="s">
        <v>81</v>
      </c>
      <c r="F123" s="11" t="n">
        <v>4090.24</v>
      </c>
      <c r="G123" s="12" t="n">
        <v>65.6273</v>
      </c>
      <c r="H123" s="12" t="n">
        <v>68.6859</v>
      </c>
      <c r="I123" s="5" t="s">
        <v>78</v>
      </c>
      <c r="J123" s="8" t="n">
        <v>-3.43066</v>
      </c>
      <c r="K123" s="13" t="str">
        <f aca="false">IF(J123&gt;0,"прибыль",IF(J123&lt;0,"убыток","ноль"))</f>
        <v>убыток</v>
      </c>
      <c r="L123" s="13" t="n">
        <f aca="false">IF(C123="",L122,IF(J123&lt;0,L122+1,0))</f>
        <v>4</v>
      </c>
      <c r="M123" s="14" t="n">
        <v>-343.07</v>
      </c>
      <c r="N123" s="9" t="n">
        <v>-14032.25</v>
      </c>
      <c r="O123" s="9" t="n">
        <v>1519044.05</v>
      </c>
    </row>
    <row r="124" customFormat="false" ht="15" hidden="false" customHeight="false" outlineLevel="0" collapsed="false">
      <c r="A124" s="6" t="n">
        <v>119</v>
      </c>
      <c r="B124" s="5" t="s">
        <v>288</v>
      </c>
      <c r="C124" s="5" t="s">
        <v>930</v>
      </c>
      <c r="D124" s="5" t="s">
        <v>931</v>
      </c>
      <c r="E124" s="5" t="s">
        <v>77</v>
      </c>
      <c r="F124" s="11" t="n">
        <v>14532.79</v>
      </c>
      <c r="G124" s="12" t="n">
        <v>68.4581</v>
      </c>
      <c r="H124" s="12" t="n">
        <v>68.75</v>
      </c>
      <c r="I124" s="5" t="s">
        <v>78</v>
      </c>
      <c r="J124" s="8" t="n">
        <v>0.19465</v>
      </c>
      <c r="K124" s="13" t="str">
        <f aca="false">IF(J124&gt;0,"прибыль",IF(J124&lt;0,"убыток","ноль"))</f>
        <v>прибыль</v>
      </c>
      <c r="L124" s="13" t="n">
        <f aca="false">IF(C124="",L123,IF(J124&lt;0,L123+1,0))</f>
        <v>0</v>
      </c>
      <c r="M124" s="14" t="n">
        <v>19.46</v>
      </c>
      <c r="N124" s="9" t="n">
        <v>2828.78</v>
      </c>
      <c r="O124" s="9" t="n">
        <v>1521872.83</v>
      </c>
    </row>
    <row r="125" customFormat="false" ht="15" hidden="false" customHeight="false" outlineLevel="0" collapsed="false">
      <c r="A125" s="6" t="n">
        <v>120</v>
      </c>
      <c r="B125" s="5" t="s">
        <v>288</v>
      </c>
      <c r="C125" s="5" t="s">
        <v>700</v>
      </c>
      <c r="D125" s="5" t="s">
        <v>399</v>
      </c>
      <c r="E125" s="5" t="s">
        <v>77</v>
      </c>
      <c r="F125" s="11" t="n">
        <v>2557.97</v>
      </c>
      <c r="G125" s="12" t="n">
        <v>64.7228</v>
      </c>
      <c r="H125" s="12" t="n">
        <v>65.6938</v>
      </c>
      <c r="J125" s="8" t="n">
        <v>0.95405</v>
      </c>
      <c r="K125" s="13" t="str">
        <f aca="false">IF(J125&gt;0,"прибыль",IF(J125&lt;0,"убыток","ноль"))</f>
        <v>прибыль</v>
      </c>
      <c r="L125" s="13" t="n">
        <f aca="false">IF(C125="",L124,IF(J125&lt;0,L124+1,0))</f>
        <v>0</v>
      </c>
      <c r="M125" s="14" t="n">
        <v>95.4</v>
      </c>
      <c r="N125" s="9" t="n">
        <v>2440.42</v>
      </c>
      <c r="O125" s="9" t="n">
        <v>1524313.25</v>
      </c>
    </row>
    <row r="126" customFormat="false" ht="15" hidden="false" customHeight="false" outlineLevel="0" collapsed="false">
      <c r="A126" s="6" t="n">
        <v>121</v>
      </c>
      <c r="B126" s="5" t="s">
        <v>288</v>
      </c>
      <c r="C126" s="5" t="s">
        <v>399</v>
      </c>
      <c r="D126" s="5" t="s">
        <v>932</v>
      </c>
      <c r="E126" s="5" t="s">
        <v>77</v>
      </c>
      <c r="F126" s="11" t="n">
        <v>8287.78</v>
      </c>
      <c r="G126" s="12" t="n">
        <v>64.7228</v>
      </c>
      <c r="H126" s="12" t="n">
        <v>63.682</v>
      </c>
      <c r="I126" s="5" t="s">
        <v>78</v>
      </c>
      <c r="J126" s="8" t="n">
        <v>-0.63603</v>
      </c>
      <c r="K126" s="13" t="str">
        <f aca="false">IF(J126&gt;0,"прибыль",IF(J126&lt;0,"убыток","ноль"))</f>
        <v>убыток</v>
      </c>
      <c r="L126" s="13" t="n">
        <f aca="false">IF(C126="",L125,IF(J126&lt;0,L125+1,0))</f>
        <v>1</v>
      </c>
      <c r="M126" s="14" t="n">
        <v>-63.6</v>
      </c>
      <c r="N126" s="9" t="n">
        <v>-5271.31</v>
      </c>
      <c r="O126" s="9" t="n">
        <v>1519041.95</v>
      </c>
    </row>
    <row r="127" customFormat="false" ht="15" hidden="false" customHeight="false" outlineLevel="0" collapsed="false">
      <c r="A127" s="6" t="n">
        <v>122</v>
      </c>
      <c r="B127" s="5" t="s">
        <v>288</v>
      </c>
      <c r="C127" s="5" t="s">
        <v>933</v>
      </c>
      <c r="D127" s="5" t="s">
        <v>408</v>
      </c>
      <c r="E127" s="5" t="s">
        <v>77</v>
      </c>
      <c r="F127" s="11" t="n">
        <v>1903.26</v>
      </c>
      <c r="G127" s="12" t="n">
        <v>68.0511</v>
      </c>
      <c r="H127" s="12" t="n">
        <v>70.4547</v>
      </c>
      <c r="J127" s="8" t="n">
        <v>2.38369</v>
      </c>
      <c r="K127" s="13" t="str">
        <f aca="false">IF(J127&gt;0,"прибыль",IF(J127&lt;0,"убыток","ноль"))</f>
        <v>прибыль</v>
      </c>
      <c r="L127" s="13" t="n">
        <f aca="false">IF(C127="",L126,IF(J127&lt;0,L126+1,0))</f>
        <v>0</v>
      </c>
      <c r="M127" s="14" t="n">
        <v>238.37</v>
      </c>
      <c r="N127" s="9" t="n">
        <v>4536.8</v>
      </c>
      <c r="O127" s="9" t="n">
        <v>1523578.75</v>
      </c>
    </row>
    <row r="128" customFormat="false" ht="15" hidden="false" customHeight="false" outlineLevel="0" collapsed="false">
      <c r="A128" s="6" t="n">
        <v>123</v>
      </c>
      <c r="B128" s="5" t="s">
        <v>288</v>
      </c>
      <c r="C128" s="5" t="s">
        <v>408</v>
      </c>
      <c r="D128" s="5" t="s">
        <v>934</v>
      </c>
      <c r="E128" s="5" t="s">
        <v>77</v>
      </c>
      <c r="F128" s="11" t="n">
        <v>6560.97</v>
      </c>
      <c r="G128" s="12" t="n">
        <v>68.0511</v>
      </c>
      <c r="H128" s="12" t="n">
        <v>83.5173</v>
      </c>
      <c r="I128" s="5" t="s">
        <v>78</v>
      </c>
      <c r="J128" s="8" t="n">
        <v>8.13284</v>
      </c>
      <c r="K128" s="13" t="str">
        <f aca="false">IF(J128&gt;0,"прибыль",IF(J128&lt;0,"убыток","ноль"))</f>
        <v>прибыль</v>
      </c>
      <c r="L128" s="13" t="n">
        <f aca="false">IF(C128="",L127,IF(J128&lt;0,L127+1,0))</f>
        <v>0</v>
      </c>
      <c r="M128" s="14" t="n">
        <v>813.28</v>
      </c>
      <c r="N128" s="9" t="n">
        <v>53359.31</v>
      </c>
      <c r="O128" s="9" t="n">
        <v>1576938.06</v>
      </c>
    </row>
    <row r="129" customFormat="false" ht="15" hidden="false" customHeight="false" outlineLevel="0" collapsed="false">
      <c r="A129" s="6" t="n">
        <v>124</v>
      </c>
      <c r="B129" s="5" t="s">
        <v>288</v>
      </c>
      <c r="C129" s="5" t="s">
        <v>934</v>
      </c>
      <c r="D129" s="5" t="s">
        <v>409</v>
      </c>
      <c r="E129" s="5" t="s">
        <v>81</v>
      </c>
      <c r="F129" s="11" t="n">
        <v>2702.48</v>
      </c>
      <c r="G129" s="12" t="n">
        <v>83.5173</v>
      </c>
      <c r="H129" s="12" t="n">
        <v>105.7635</v>
      </c>
      <c r="J129" s="8" t="n">
        <v>-22.25141</v>
      </c>
      <c r="K129" s="13" t="str">
        <f aca="false">IF(J129&gt;0,"прибыль",IF(J129&lt;0,"убыток","ноль"))</f>
        <v>убыток</v>
      </c>
      <c r="L129" s="13" t="n">
        <f aca="false">IF(C129="",L128,IF(J129&lt;0,L128+1,0))</f>
        <v>1</v>
      </c>
      <c r="M129" s="14" t="n">
        <v>-2225.14</v>
      </c>
      <c r="N129" s="9" t="n">
        <v>-60133.97</v>
      </c>
      <c r="O129" s="9" t="n">
        <v>1516804.09</v>
      </c>
    </row>
    <row r="130" customFormat="false" ht="15" hidden="false" customHeight="false" outlineLevel="0" collapsed="false">
      <c r="A130" s="6" t="n">
        <v>125</v>
      </c>
      <c r="B130" s="5" t="s">
        <v>288</v>
      </c>
      <c r="C130" s="5" t="s">
        <v>409</v>
      </c>
      <c r="D130" s="5" t="s">
        <v>410</v>
      </c>
      <c r="E130" s="5" t="s">
        <v>81</v>
      </c>
      <c r="F130" s="11" t="n">
        <v>1445.7</v>
      </c>
      <c r="G130" s="12" t="n">
        <v>83.5173</v>
      </c>
      <c r="H130" s="12" t="n">
        <v>101.3484</v>
      </c>
      <c r="J130" s="8" t="n">
        <v>-17.83617</v>
      </c>
      <c r="K130" s="13" t="str">
        <f aca="false">IF(J130&gt;0,"прибыль",IF(J130&lt;0,"убыток","ноль"))</f>
        <v>убыток</v>
      </c>
      <c r="L130" s="13" t="n">
        <f aca="false">IF(C130="",L129,IF(J130&lt;0,L129+1,0))</f>
        <v>2</v>
      </c>
      <c r="M130" s="14" t="n">
        <v>-1783.62</v>
      </c>
      <c r="N130" s="9" t="n">
        <v>-25785.81</v>
      </c>
      <c r="O130" s="9" t="n">
        <v>1491018.28</v>
      </c>
    </row>
    <row r="131" customFormat="false" ht="15" hidden="false" customHeight="false" outlineLevel="0" collapsed="false">
      <c r="A131" s="6" t="n">
        <v>126</v>
      </c>
      <c r="B131" s="5" t="s">
        <v>288</v>
      </c>
      <c r="C131" s="5" t="s">
        <v>410</v>
      </c>
      <c r="D131" s="5" t="s">
        <v>411</v>
      </c>
      <c r="E131" s="5" t="s">
        <v>81</v>
      </c>
      <c r="F131" s="11" t="n">
        <v>698.56</v>
      </c>
      <c r="G131" s="12" t="n">
        <v>83.5173</v>
      </c>
      <c r="H131" s="12" t="n">
        <v>104.198</v>
      </c>
      <c r="J131" s="8" t="n">
        <v>-20.68593</v>
      </c>
      <c r="K131" s="13" t="str">
        <f aca="false">IF(J131&gt;0,"прибыль",IF(J131&lt;0,"убыток","ноль"))</f>
        <v>убыток</v>
      </c>
      <c r="L131" s="13" t="n">
        <f aca="false">IF(C131="",L130,IF(J131&lt;0,L130+1,0))</f>
        <v>3</v>
      </c>
      <c r="M131" s="14" t="n">
        <v>-2068.59</v>
      </c>
      <c r="N131" s="9" t="n">
        <v>-14450.42</v>
      </c>
      <c r="O131" s="9" t="n">
        <v>1476567.86</v>
      </c>
    </row>
    <row r="132" customFormat="false" ht="15" hidden="false" customHeight="false" outlineLevel="0" collapsed="false">
      <c r="A132" s="6" t="n">
        <v>127</v>
      </c>
      <c r="B132" s="5" t="s">
        <v>288</v>
      </c>
      <c r="C132" s="5" t="s">
        <v>411</v>
      </c>
      <c r="D132" s="5" t="s">
        <v>935</v>
      </c>
      <c r="E132" s="5" t="s">
        <v>81</v>
      </c>
      <c r="F132" s="11" t="n">
        <v>2416.64</v>
      </c>
      <c r="G132" s="12" t="n">
        <v>83.5173</v>
      </c>
      <c r="H132" s="12" t="n">
        <v>109.4699</v>
      </c>
      <c r="I132" s="5" t="s">
        <v>78</v>
      </c>
      <c r="J132" s="8" t="n">
        <v>-33.12239</v>
      </c>
      <c r="K132" s="13" t="str">
        <f aca="false">IF(J132&gt;0,"прибыль",IF(J132&lt;0,"убыток","ноль"))</f>
        <v>убыток</v>
      </c>
      <c r="L132" s="13" t="n">
        <f aca="false">IF(C132="",L131,IF(J132&lt;0,L131+1,0))</f>
        <v>4</v>
      </c>
      <c r="M132" s="14" t="n">
        <v>-3312.24</v>
      </c>
      <c r="N132" s="9" t="n">
        <v>-80045.02</v>
      </c>
      <c r="O132" s="9" t="n">
        <v>1396522.84</v>
      </c>
    </row>
    <row r="133" customFormat="false" ht="15" hidden="false" customHeight="false" outlineLevel="0" collapsed="false">
      <c r="A133" s="6" t="n">
        <v>128</v>
      </c>
      <c r="B133" s="5" t="s">
        <v>288</v>
      </c>
      <c r="C133" s="5" t="s">
        <v>935</v>
      </c>
      <c r="D133" s="5" t="s">
        <v>936</v>
      </c>
      <c r="E133" s="5" t="s">
        <v>77</v>
      </c>
      <c r="F133" s="11" t="n">
        <v>2722.54</v>
      </c>
      <c r="G133" s="12" t="n">
        <v>107.0608</v>
      </c>
      <c r="H133" s="12" t="n">
        <v>108.358</v>
      </c>
      <c r="I133" s="5" t="s">
        <v>78</v>
      </c>
      <c r="J133" s="8" t="n">
        <v>1.61005</v>
      </c>
      <c r="K133" s="13" t="str">
        <f aca="false">IF(J133&gt;0,"прибыль",IF(J133&lt;0,"убыток","ноль"))</f>
        <v>прибыль</v>
      </c>
      <c r="L133" s="13" t="n">
        <f aca="false">IF(C133="",L132,IF(J133&lt;0,L132+1,0))</f>
        <v>0</v>
      </c>
      <c r="M133" s="14" t="n">
        <v>161.01</v>
      </c>
      <c r="N133" s="9" t="n">
        <v>4383.43</v>
      </c>
      <c r="O133" s="9" t="n">
        <v>1400906.27</v>
      </c>
    </row>
    <row r="134" customFormat="false" ht="15" hidden="false" customHeight="false" outlineLevel="0" collapsed="false">
      <c r="A134" s="6" t="n">
        <v>129</v>
      </c>
      <c r="B134" s="5" t="s">
        <v>288</v>
      </c>
      <c r="C134" s="5" t="s">
        <v>937</v>
      </c>
      <c r="D134" s="5" t="s">
        <v>938</v>
      </c>
      <c r="E134" s="5" t="s">
        <v>81</v>
      </c>
      <c r="F134" s="11" t="n">
        <v>5110.4</v>
      </c>
      <c r="G134" s="12" t="n">
        <v>95.0518</v>
      </c>
      <c r="H134" s="12" t="n">
        <v>72.8284</v>
      </c>
      <c r="I134" s="5" t="s">
        <v>78</v>
      </c>
      <c r="J134" s="8" t="n">
        <v>20.13922</v>
      </c>
      <c r="K134" s="13" t="str">
        <f aca="false">IF(J134&gt;0,"прибыль",IF(J134&lt;0,"убыток","ноль"))</f>
        <v>прибыль</v>
      </c>
      <c r="L134" s="13" t="n">
        <f aca="false">IF(C134="",L133,IF(J134&lt;0,L133+1,0))</f>
        <v>0</v>
      </c>
      <c r="M134" s="14" t="n">
        <v>2013.92</v>
      </c>
      <c r="N134" s="9" t="n">
        <v>102919.44</v>
      </c>
      <c r="O134" s="9" t="n">
        <v>1503825.71</v>
      </c>
    </row>
    <row r="135" customFormat="false" ht="15" hidden="false" customHeight="false" outlineLevel="0" collapsed="false">
      <c r="A135" s="6" t="n">
        <v>130</v>
      </c>
      <c r="B135" s="5" t="s">
        <v>288</v>
      </c>
      <c r="C135" s="5" t="s">
        <v>938</v>
      </c>
      <c r="D135" s="5" t="s">
        <v>622</v>
      </c>
      <c r="E135" s="5" t="s">
        <v>77</v>
      </c>
      <c r="F135" s="11" t="n">
        <v>1450.56</v>
      </c>
      <c r="G135" s="12" t="n">
        <v>72.8284</v>
      </c>
      <c r="H135" s="12" t="n">
        <v>84.5761</v>
      </c>
      <c r="J135" s="8" t="n">
        <v>11.74352</v>
      </c>
      <c r="K135" s="13" t="str">
        <f aca="false">IF(J135&gt;0,"прибыль",IF(J135&lt;0,"убыток","ноль"))</f>
        <v>прибыль</v>
      </c>
      <c r="L135" s="13" t="n">
        <f aca="false">IF(C135="",L134,IF(J135&lt;0,L134+1,0))</f>
        <v>0</v>
      </c>
      <c r="M135" s="14" t="n">
        <v>1174.35</v>
      </c>
      <c r="N135" s="9" t="n">
        <v>17034.73</v>
      </c>
      <c r="O135" s="9" t="n">
        <v>1520860.44</v>
      </c>
    </row>
    <row r="136" customFormat="false" ht="15" hidden="false" customHeight="false" outlineLevel="0" collapsed="false">
      <c r="A136" s="6" t="n">
        <v>131</v>
      </c>
      <c r="B136" s="5" t="s">
        <v>288</v>
      </c>
      <c r="C136" s="5" t="s">
        <v>622</v>
      </c>
      <c r="D136" s="5" t="s">
        <v>707</v>
      </c>
      <c r="E136" s="5" t="s">
        <v>77</v>
      </c>
      <c r="F136" s="11" t="n">
        <v>833.88</v>
      </c>
      <c r="G136" s="12" t="n">
        <v>72.8284</v>
      </c>
      <c r="H136" s="12" t="n">
        <v>92.304</v>
      </c>
      <c r="J136" s="8" t="n">
        <v>19.471</v>
      </c>
      <c r="K136" s="13" t="str">
        <f aca="false">IF(J136&gt;0,"прибыль",IF(J136&lt;0,"убыток","ноль"))</f>
        <v>прибыль</v>
      </c>
      <c r="L136" s="13" t="n">
        <f aca="false">IF(C136="",L135,IF(J136&lt;0,L135+1,0))</f>
        <v>0</v>
      </c>
      <c r="M136" s="14" t="n">
        <v>1947.1</v>
      </c>
      <c r="N136" s="9" t="n">
        <v>16236.41</v>
      </c>
      <c r="O136" s="9" t="n">
        <v>1537096.85</v>
      </c>
    </row>
    <row r="137" customFormat="false" ht="15" hidden="false" customHeight="false" outlineLevel="0" collapsed="false">
      <c r="A137" s="6" t="n">
        <v>132</v>
      </c>
      <c r="B137" s="5" t="s">
        <v>288</v>
      </c>
      <c r="C137" s="5" t="s">
        <v>707</v>
      </c>
      <c r="D137" s="5" t="s">
        <v>708</v>
      </c>
      <c r="E137" s="5" t="s">
        <v>77</v>
      </c>
      <c r="F137" s="11" t="n">
        <v>741.74</v>
      </c>
      <c r="G137" s="12" t="n">
        <v>72.8284</v>
      </c>
      <c r="H137" s="12" t="n">
        <v>87.6738</v>
      </c>
      <c r="I137" s="5" t="s">
        <v>78</v>
      </c>
      <c r="J137" s="8" t="n">
        <v>18.6315</v>
      </c>
      <c r="K137" s="13" t="str">
        <f aca="false">IF(J137&gt;0,"прибыль",IF(J137&lt;0,"убыток","ноль"))</f>
        <v>прибыль</v>
      </c>
      <c r="L137" s="13" t="n">
        <f aca="false">IF(C137="",L136,IF(J137&lt;0,L136+1,0))</f>
        <v>0</v>
      </c>
      <c r="M137" s="14" t="n">
        <v>1863.15</v>
      </c>
      <c r="N137" s="9" t="n">
        <v>13819.77</v>
      </c>
      <c r="O137" s="9" t="n">
        <v>1550916.62</v>
      </c>
    </row>
    <row r="138" customFormat="false" ht="15" hidden="false" customHeight="false" outlineLevel="0" collapsed="false">
      <c r="A138" s="6" t="n">
        <v>133</v>
      </c>
      <c r="B138" s="5" t="s">
        <v>288</v>
      </c>
      <c r="C138" s="5" t="s">
        <v>708</v>
      </c>
      <c r="D138" s="5" t="s">
        <v>939</v>
      </c>
      <c r="E138" s="5" t="s">
        <v>77</v>
      </c>
      <c r="F138" s="11" t="n">
        <v>4244.8</v>
      </c>
      <c r="G138" s="12" t="n">
        <v>77.3715</v>
      </c>
      <c r="H138" s="12" t="n">
        <v>95.4146</v>
      </c>
      <c r="I138" s="5" t="s">
        <v>78</v>
      </c>
      <c r="J138" s="8" t="n">
        <v>16.22041</v>
      </c>
      <c r="K138" s="13" t="str">
        <f aca="false">IF(J138&gt;0,"прибыль",IF(J138&lt;0,"убыток","ноль"))</f>
        <v>прибыль</v>
      </c>
      <c r="L138" s="13" t="n">
        <f aca="false">IF(C138="",L137,IF(J138&lt;0,L137+1,0))</f>
        <v>0</v>
      </c>
      <c r="M138" s="14" t="n">
        <v>1622.04</v>
      </c>
      <c r="N138" s="9" t="n">
        <v>68852.41</v>
      </c>
      <c r="O138" s="9" t="n">
        <v>1619769.03</v>
      </c>
    </row>
    <row r="139" customFormat="false" ht="15" hidden="false" customHeight="false" outlineLevel="0" collapsed="false">
      <c r="A139" s="6" t="n">
        <v>134</v>
      </c>
      <c r="B139" s="5" t="s">
        <v>288</v>
      </c>
      <c r="C139" s="5" t="s">
        <v>939</v>
      </c>
      <c r="D139" s="5" t="s">
        <v>427</v>
      </c>
      <c r="E139" s="5" t="s">
        <v>81</v>
      </c>
      <c r="F139" s="11" t="n">
        <v>1311.78</v>
      </c>
      <c r="G139" s="12" t="n">
        <v>95.4146</v>
      </c>
      <c r="H139" s="12" t="n">
        <v>108.8246</v>
      </c>
      <c r="J139" s="8" t="n">
        <v>-13.41544</v>
      </c>
      <c r="K139" s="13" t="str">
        <f aca="false">IF(J139&gt;0,"прибыль",IF(J139&lt;0,"убыток","ноль"))</f>
        <v>убыток</v>
      </c>
      <c r="L139" s="13" t="n">
        <f aca="false">IF(C139="",L138,IF(J139&lt;0,L138+1,0))</f>
        <v>1</v>
      </c>
      <c r="M139" s="14" t="n">
        <v>-1341.54</v>
      </c>
      <c r="N139" s="9" t="n">
        <v>-17598.1</v>
      </c>
      <c r="O139" s="9" t="n">
        <v>1602170.93</v>
      </c>
    </row>
    <row r="140" customFormat="false" ht="15" hidden="false" customHeight="false" outlineLevel="0" collapsed="false">
      <c r="A140" s="6" t="n">
        <v>135</v>
      </c>
      <c r="B140" s="5" t="s">
        <v>288</v>
      </c>
      <c r="C140" s="5" t="s">
        <v>427</v>
      </c>
      <c r="D140" s="5" t="s">
        <v>428</v>
      </c>
      <c r="E140" s="5" t="s">
        <v>81</v>
      </c>
      <c r="F140" s="11" t="n">
        <v>3566</v>
      </c>
      <c r="G140" s="12" t="n">
        <v>95.4146</v>
      </c>
      <c r="H140" s="12" t="n">
        <v>102.6111</v>
      </c>
      <c r="I140" s="5" t="s">
        <v>78</v>
      </c>
      <c r="J140" s="8" t="n">
        <v>-8.33517</v>
      </c>
      <c r="K140" s="13" t="str">
        <f aca="false">IF(J140&gt;0,"прибыль",IF(J140&lt;0,"убыток","ноль"))</f>
        <v>убыток</v>
      </c>
      <c r="L140" s="13" t="n">
        <f aca="false">IF(C140="",L139,IF(J140&lt;0,L139+1,0))</f>
        <v>2</v>
      </c>
      <c r="M140" s="14" t="n">
        <v>-833.52</v>
      </c>
      <c r="N140" s="9" t="n">
        <v>-29723.17</v>
      </c>
      <c r="O140" s="9" t="n">
        <v>1572447.76</v>
      </c>
    </row>
  </sheetData>
  <autoFilter ref="A5:P1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940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904</v>
      </c>
      <c r="D6" s="5" t="s">
        <v>270</v>
      </c>
      <c r="E6" s="5" t="s">
        <v>77</v>
      </c>
      <c r="F6" s="11" t="n">
        <v>82878.6</v>
      </c>
      <c r="G6" s="12" t="n">
        <v>1.8057</v>
      </c>
      <c r="H6" s="12" t="n">
        <v>1.9198</v>
      </c>
      <c r="J6" s="8" t="n">
        <v>0.11372</v>
      </c>
      <c r="K6" s="13" t="str">
        <f aca="false">IF(J6&gt;0,"прибыль",IF(J6&lt;0,"убыток","ноль"))</f>
        <v>прибыль</v>
      </c>
      <c r="L6" s="13" t="n">
        <f aca="false">IF(AND(C6&lt;&gt;"",J6&lt;0),1,0)</f>
        <v>0</v>
      </c>
      <c r="M6" s="14" t="n">
        <v>113.72</v>
      </c>
      <c r="N6" s="9" t="n">
        <v>9425.28</v>
      </c>
      <c r="O6" s="9" t="n">
        <v>9425.28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270</v>
      </c>
      <c r="D7" s="5" t="s">
        <v>941</v>
      </c>
      <c r="E7" s="5" t="s">
        <v>77</v>
      </c>
      <c r="F7" s="11" t="n">
        <v>119927.92</v>
      </c>
      <c r="G7" s="12" t="n">
        <v>1.8057</v>
      </c>
      <c r="H7" s="12" t="n">
        <v>1.641</v>
      </c>
      <c r="I7" s="5" t="s">
        <v>78</v>
      </c>
      <c r="J7" s="8" t="n">
        <v>-0.25115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1</v>
      </c>
      <c r="M7" s="14" t="n">
        <v>-251.15</v>
      </c>
      <c r="N7" s="9" t="n">
        <v>-30120.08</v>
      </c>
      <c r="O7" s="9" t="n">
        <v>-20694.8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941</v>
      </c>
      <c r="D8" s="5" t="s">
        <v>711</v>
      </c>
      <c r="E8" s="5" t="s">
        <v>81</v>
      </c>
      <c r="F8" s="11" t="n">
        <v>31276.24</v>
      </c>
      <c r="G8" s="12" t="n">
        <v>1.641</v>
      </c>
      <c r="H8" s="12" t="n">
        <v>1.9232</v>
      </c>
      <c r="J8" s="8" t="n">
        <v>-0.28235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2</v>
      </c>
      <c r="M8" s="14" t="n">
        <v>-282.35</v>
      </c>
      <c r="N8" s="9" t="n">
        <v>-8830.83</v>
      </c>
      <c r="O8" s="9" t="n">
        <v>-29525.62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711</v>
      </c>
      <c r="D9" s="5" t="s">
        <v>432</v>
      </c>
      <c r="E9" s="5" t="s">
        <v>81</v>
      </c>
      <c r="F9" s="11" t="n">
        <v>51602.4</v>
      </c>
      <c r="G9" s="12" t="n">
        <v>1.5863</v>
      </c>
      <c r="H9" s="12" t="n">
        <v>1.7117</v>
      </c>
      <c r="I9" s="5" t="s">
        <v>78</v>
      </c>
      <c r="J9" s="8" t="n">
        <v>0.10991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109.91</v>
      </c>
      <c r="N9" s="9" t="n">
        <v>5671.41</v>
      </c>
      <c r="O9" s="9" t="n">
        <v>-23854.21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432</v>
      </c>
      <c r="D10" s="5" t="s">
        <v>433</v>
      </c>
      <c r="E10" s="5" t="s">
        <v>81</v>
      </c>
      <c r="F10" s="11" t="n">
        <v>42079.89</v>
      </c>
      <c r="G10" s="12" t="n">
        <v>1.8219</v>
      </c>
      <c r="H10" s="12" t="n">
        <v>2.1054</v>
      </c>
      <c r="I10" s="5" t="s">
        <v>78</v>
      </c>
      <c r="J10" s="8" t="n">
        <v>-0.17836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1</v>
      </c>
      <c r="M10" s="14" t="n">
        <v>-178.36</v>
      </c>
      <c r="N10" s="9" t="n">
        <v>-7505.19</v>
      </c>
      <c r="O10" s="9" t="n">
        <v>-31359.4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433</v>
      </c>
      <c r="D11" s="5" t="s">
        <v>438</v>
      </c>
      <c r="E11" s="5" t="s">
        <v>81</v>
      </c>
      <c r="F11" s="11" t="n">
        <v>52856.44</v>
      </c>
      <c r="G11" s="12" t="n">
        <v>2.0572</v>
      </c>
      <c r="H11" s="12" t="n">
        <v>2.2064</v>
      </c>
      <c r="I11" s="5" t="s">
        <v>78</v>
      </c>
      <c r="J11" s="8" t="n">
        <v>0.05789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57.89</v>
      </c>
      <c r="N11" s="9" t="n">
        <v>3059.63</v>
      </c>
      <c r="O11" s="9" t="n">
        <v>-28299.77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438</v>
      </c>
      <c r="D12" s="5" t="s">
        <v>942</v>
      </c>
      <c r="E12" s="5" t="s">
        <v>81</v>
      </c>
      <c r="F12" s="11" t="n">
        <v>87199.19</v>
      </c>
      <c r="G12" s="12" t="n">
        <v>2.2436</v>
      </c>
      <c r="H12" s="12" t="n">
        <v>2.6942</v>
      </c>
      <c r="I12" s="5" t="s">
        <v>78</v>
      </c>
      <c r="J12" s="8" t="n">
        <v>0.91247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912.47</v>
      </c>
      <c r="N12" s="9" t="n">
        <v>79566.76</v>
      </c>
      <c r="O12" s="9" t="n">
        <v>51266.99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943</v>
      </c>
      <c r="D13" s="5" t="s">
        <v>944</v>
      </c>
      <c r="E13" s="5" t="s">
        <v>77</v>
      </c>
      <c r="F13" s="11" t="n">
        <v>167390.23</v>
      </c>
      <c r="G13" s="12" t="n">
        <v>2.6715</v>
      </c>
      <c r="H13" s="12" t="n">
        <v>2.6197</v>
      </c>
      <c r="I13" s="5" t="s">
        <v>78</v>
      </c>
      <c r="J13" s="8" t="n">
        <v>-0.14413</v>
      </c>
      <c r="K13" s="13" t="str">
        <f aca="false">IF(J13&gt;0,"прибыль",IF(J13&lt;0,"убыток","ноль"))</f>
        <v>убыток</v>
      </c>
      <c r="L13" s="13" t="n">
        <f aca="false">IF(C13="",L12,IF(J13&lt;0,L12+1,0))</f>
        <v>1</v>
      </c>
      <c r="M13" s="14" t="n">
        <v>-144.13</v>
      </c>
      <c r="N13" s="9" t="n">
        <v>-24126.21</v>
      </c>
      <c r="O13" s="9" t="n">
        <v>27140.78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944</v>
      </c>
      <c r="D14" s="5" t="s">
        <v>450</v>
      </c>
      <c r="E14" s="5" t="s">
        <v>81</v>
      </c>
      <c r="F14" s="11" t="n">
        <v>50040.34</v>
      </c>
      <c r="G14" s="12" t="n">
        <v>2.6668</v>
      </c>
      <c r="H14" s="12" t="n">
        <v>3.1236</v>
      </c>
      <c r="I14" s="5" t="s">
        <v>78</v>
      </c>
      <c r="J14" s="8" t="n">
        <v>-0.38652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2</v>
      </c>
      <c r="M14" s="14" t="n">
        <v>-386.52</v>
      </c>
      <c r="N14" s="9" t="n">
        <v>-19341.79</v>
      </c>
      <c r="O14" s="9" t="n">
        <v>7798.99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450</v>
      </c>
      <c r="D15" s="5" t="s">
        <v>297</v>
      </c>
      <c r="E15" s="5" t="s">
        <v>81</v>
      </c>
      <c r="F15" s="11" t="n">
        <v>37519.98</v>
      </c>
      <c r="G15" s="12" t="n">
        <v>2.7374</v>
      </c>
      <c r="H15" s="12" t="n">
        <v>3.6838</v>
      </c>
      <c r="I15" s="5" t="s">
        <v>78</v>
      </c>
      <c r="J15" s="8" t="n">
        <v>-0.78307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3</v>
      </c>
      <c r="M15" s="14" t="n">
        <v>-783.07</v>
      </c>
      <c r="N15" s="9" t="n">
        <v>-29380.89</v>
      </c>
      <c r="O15" s="9" t="n">
        <v>-21581.89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297</v>
      </c>
      <c r="D16" s="5" t="s">
        <v>782</v>
      </c>
      <c r="E16" s="5" t="s">
        <v>81</v>
      </c>
      <c r="F16" s="11" t="n">
        <v>125320.39</v>
      </c>
      <c r="G16" s="12" t="n">
        <v>2.9009</v>
      </c>
      <c r="H16" s="12" t="n">
        <v>4.0454</v>
      </c>
      <c r="I16" s="5" t="s">
        <v>78</v>
      </c>
      <c r="J16" s="8" t="n">
        <v>-1.1688</v>
      </c>
      <c r="K16" s="13" t="str">
        <f aca="false">IF(J16&gt;0,"прибыль",IF(J16&lt;0,"убыток","ноль"))</f>
        <v>убыток</v>
      </c>
      <c r="L16" s="13" t="n">
        <f aca="false">IF(C16="",L15,IF(J16&lt;0,L15+1,0))</f>
        <v>4</v>
      </c>
      <c r="M16" s="14" t="n">
        <v>-1168.8</v>
      </c>
      <c r="N16" s="9" t="n">
        <v>-146474.51</v>
      </c>
      <c r="O16" s="9" t="n">
        <v>-168056.41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945</v>
      </c>
      <c r="D17" s="5" t="s">
        <v>452</v>
      </c>
      <c r="E17" s="5" t="s">
        <v>81</v>
      </c>
      <c r="F17" s="11" t="n">
        <v>25528.84</v>
      </c>
      <c r="G17" s="12" t="n">
        <v>4.3006</v>
      </c>
      <c r="H17" s="12" t="n">
        <v>4.9327</v>
      </c>
      <c r="J17" s="8" t="n">
        <v>-0.6331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5</v>
      </c>
      <c r="M17" s="14" t="n">
        <v>-633.1</v>
      </c>
      <c r="N17" s="9" t="n">
        <v>-16162.35</v>
      </c>
      <c r="O17" s="9" t="n">
        <v>-184218.75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452</v>
      </c>
      <c r="D18" s="5" t="s">
        <v>453</v>
      </c>
      <c r="E18" s="5" t="s">
        <v>81</v>
      </c>
      <c r="F18" s="11" t="n">
        <v>19974.59</v>
      </c>
      <c r="G18" s="12" t="n">
        <v>4.3006</v>
      </c>
      <c r="H18" s="12" t="n">
        <v>5.7192</v>
      </c>
      <c r="J18" s="8" t="n">
        <v>-1.41889</v>
      </c>
      <c r="K18" s="13" t="str">
        <f aca="false">IF(J18&gt;0,"прибыль",IF(J18&lt;0,"убыток","ноль"))</f>
        <v>убыток</v>
      </c>
      <c r="L18" s="13" t="n">
        <f aca="false">IF(C18="",L17,IF(J18&lt;0,L17+1,0))</f>
        <v>6</v>
      </c>
      <c r="M18" s="14" t="n">
        <v>-1418.89</v>
      </c>
      <c r="N18" s="9" t="n">
        <v>-28341.68</v>
      </c>
      <c r="O18" s="9" t="n">
        <v>-212560.43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453</v>
      </c>
      <c r="D19" s="5" t="s">
        <v>454</v>
      </c>
      <c r="E19" s="5" t="s">
        <v>81</v>
      </c>
      <c r="F19" s="11" t="n">
        <v>9538.47</v>
      </c>
      <c r="G19" s="12" t="n">
        <v>4.3006</v>
      </c>
      <c r="H19" s="12" t="n">
        <v>5.8354</v>
      </c>
      <c r="I19" s="5" t="s">
        <v>78</v>
      </c>
      <c r="J19" s="8" t="n">
        <v>-1.45526</v>
      </c>
      <c r="K19" s="13" t="str">
        <f aca="false">IF(J19&gt;0,"прибыль",IF(J19&lt;0,"убыток","ноль"))</f>
        <v>убыток</v>
      </c>
      <c r="L19" s="13" t="n">
        <f aca="false">IF(C19="",L18,IF(J19&lt;0,L18+1,0))</f>
        <v>7</v>
      </c>
      <c r="M19" s="14" t="n">
        <v>-1455.26</v>
      </c>
      <c r="N19" s="9" t="n">
        <v>-13880.98</v>
      </c>
      <c r="O19" s="9" t="n">
        <v>-226441.41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454</v>
      </c>
      <c r="D20" s="5" t="s">
        <v>455</v>
      </c>
      <c r="E20" s="5" t="s">
        <v>81</v>
      </c>
      <c r="F20" s="11" t="n">
        <v>6815.96</v>
      </c>
      <c r="G20" s="12" t="n">
        <v>4.3805</v>
      </c>
      <c r="H20" s="12" t="n">
        <v>6.0191</v>
      </c>
      <c r="J20" s="8" t="n">
        <v>-1.63889</v>
      </c>
      <c r="K20" s="13" t="str">
        <f aca="false">IF(J20&gt;0,"прибыль",IF(J20&lt;0,"убыток","ноль"))</f>
        <v>убыток</v>
      </c>
      <c r="L20" s="13" t="n">
        <f aca="false">IF(C20="",L19,IF(J20&lt;0,L19+1,0))</f>
        <v>8</v>
      </c>
      <c r="M20" s="14" t="n">
        <v>-1638.89</v>
      </c>
      <c r="N20" s="9" t="n">
        <v>-11170.59</v>
      </c>
      <c r="O20" s="9" t="n">
        <v>-237612.01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455</v>
      </c>
      <c r="D21" s="5" t="s">
        <v>308</v>
      </c>
      <c r="E21" s="5" t="s">
        <v>81</v>
      </c>
      <c r="F21" s="11" t="n">
        <v>66460.14</v>
      </c>
      <c r="G21" s="12" t="n">
        <v>4.105</v>
      </c>
      <c r="H21" s="12" t="n">
        <v>3.5992</v>
      </c>
      <c r="I21" s="5" t="s">
        <v>78</v>
      </c>
      <c r="J21" s="8" t="n">
        <v>0.73633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736.33</v>
      </c>
      <c r="N21" s="9" t="n">
        <v>48936.38</v>
      </c>
      <c r="O21" s="9" t="n">
        <v>-188675.63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308</v>
      </c>
      <c r="D22" s="5" t="s">
        <v>457</v>
      </c>
      <c r="E22" s="5" t="s">
        <v>77</v>
      </c>
      <c r="F22" s="11" t="n">
        <v>24571.38</v>
      </c>
      <c r="G22" s="12" t="n">
        <v>3.5992</v>
      </c>
      <c r="H22" s="12" t="n">
        <v>4.8041</v>
      </c>
      <c r="J22" s="8" t="n">
        <v>1.20466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1204.66</v>
      </c>
      <c r="N22" s="9" t="n">
        <v>29600.2</v>
      </c>
      <c r="O22" s="9" t="n">
        <v>-159075.42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457</v>
      </c>
      <c r="D23" s="5" t="s">
        <v>946</v>
      </c>
      <c r="E23" s="5" t="s">
        <v>77</v>
      </c>
      <c r="F23" s="11" t="n">
        <v>39323.7</v>
      </c>
      <c r="G23" s="12" t="n">
        <v>3.5992</v>
      </c>
      <c r="H23" s="12" t="n">
        <v>4.6602</v>
      </c>
      <c r="I23" s="5" t="s">
        <v>78</v>
      </c>
      <c r="J23" s="8" t="n">
        <v>0.99236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992.36</v>
      </c>
      <c r="N23" s="9" t="n">
        <v>39023.28</v>
      </c>
      <c r="O23" s="9" t="n">
        <v>-120052.15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946</v>
      </c>
      <c r="D24" s="5" t="s">
        <v>947</v>
      </c>
      <c r="E24" s="5" t="s">
        <v>81</v>
      </c>
      <c r="F24" s="11" t="n">
        <v>58878.24</v>
      </c>
      <c r="G24" s="12" t="n">
        <v>4.8171</v>
      </c>
      <c r="H24" s="12" t="n">
        <v>5.4089</v>
      </c>
      <c r="I24" s="5" t="s">
        <v>78</v>
      </c>
      <c r="J24" s="8" t="n">
        <v>-0.81287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1</v>
      </c>
      <c r="M24" s="14" t="n">
        <v>-812.87</v>
      </c>
      <c r="N24" s="9" t="n">
        <v>-47860.43</v>
      </c>
      <c r="O24" s="9" t="n">
        <v>-167912.58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947</v>
      </c>
      <c r="D25" s="5" t="s">
        <v>460</v>
      </c>
      <c r="E25" s="5" t="s">
        <v>77</v>
      </c>
      <c r="F25" s="11" t="n">
        <v>16837.67</v>
      </c>
      <c r="G25" s="12" t="n">
        <v>5.4797</v>
      </c>
      <c r="H25" s="12" t="n">
        <v>7.1895</v>
      </c>
      <c r="J25" s="8" t="n">
        <v>1.70916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1709.16</v>
      </c>
      <c r="N25" s="9" t="n">
        <v>28778.34</v>
      </c>
      <c r="O25" s="9" t="n">
        <v>-139134.23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460</v>
      </c>
      <c r="D26" s="5" t="s">
        <v>461</v>
      </c>
      <c r="E26" s="5" t="s">
        <v>77</v>
      </c>
      <c r="F26" s="11" t="n">
        <v>14484.62</v>
      </c>
      <c r="G26" s="12" t="n">
        <v>5.4797</v>
      </c>
      <c r="H26" s="12" t="n">
        <v>6.8356</v>
      </c>
      <c r="J26" s="8" t="n">
        <v>1.35557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1355.57</v>
      </c>
      <c r="N26" s="9" t="n">
        <v>19634.98</v>
      </c>
      <c r="O26" s="9" t="n">
        <v>-119499.25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461</v>
      </c>
      <c r="D27" s="5" t="s">
        <v>948</v>
      </c>
      <c r="E27" s="5" t="s">
        <v>77</v>
      </c>
      <c r="F27" s="11" t="n">
        <v>38524.66</v>
      </c>
      <c r="G27" s="12" t="n">
        <v>5.4797</v>
      </c>
      <c r="H27" s="12" t="n">
        <v>6.7271</v>
      </c>
      <c r="I27" s="5" t="s">
        <v>78</v>
      </c>
      <c r="J27" s="8" t="n">
        <v>1.04673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1046.73</v>
      </c>
      <c r="N27" s="9" t="n">
        <v>40324.85</v>
      </c>
      <c r="O27" s="9" t="n">
        <v>-79174.4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948</v>
      </c>
      <c r="D28" s="5" t="s">
        <v>462</v>
      </c>
      <c r="E28" s="5" t="s">
        <v>81</v>
      </c>
      <c r="F28" s="11" t="n">
        <v>9887.91</v>
      </c>
      <c r="G28" s="12" t="n">
        <v>6.7271</v>
      </c>
      <c r="H28" s="12" t="n">
        <v>7.6687</v>
      </c>
      <c r="J28" s="8" t="n">
        <v>-0.94196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1</v>
      </c>
      <c r="M28" s="14" t="n">
        <v>-941.96</v>
      </c>
      <c r="N28" s="9" t="n">
        <v>-9314.01</v>
      </c>
      <c r="O28" s="9" t="n">
        <v>-88488.41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462</v>
      </c>
      <c r="D29" s="5" t="s">
        <v>319</v>
      </c>
      <c r="E29" s="5" t="s">
        <v>81</v>
      </c>
      <c r="F29" s="11" t="n">
        <v>28733.57</v>
      </c>
      <c r="G29" s="12" t="n">
        <v>6.7271</v>
      </c>
      <c r="H29" s="12" t="n">
        <v>8.6973</v>
      </c>
      <c r="I29" s="5" t="s">
        <v>78</v>
      </c>
      <c r="J29" s="8" t="n">
        <v>-2.06549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2</v>
      </c>
      <c r="M29" s="14" t="n">
        <v>-2065.49</v>
      </c>
      <c r="N29" s="9" t="n">
        <v>-59348.99</v>
      </c>
      <c r="O29" s="9" t="n">
        <v>-147837.4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319</v>
      </c>
      <c r="D30" s="5" t="s">
        <v>949</v>
      </c>
      <c r="E30" s="5" t="s">
        <v>77</v>
      </c>
      <c r="F30" s="11" t="n">
        <v>0</v>
      </c>
      <c r="G30" s="12" t="n">
        <v>8.6973</v>
      </c>
      <c r="H30" s="12" t="n">
        <v>8.6694</v>
      </c>
      <c r="J30" s="8" t="n">
        <v>-0.02825</v>
      </c>
      <c r="K30" s="13" t="str">
        <f aca="false">IF(J30&gt;0,"прибыль",IF(J30&lt;0,"убыток","ноль"))</f>
        <v>убыток</v>
      </c>
      <c r="L30" s="13" t="n">
        <f aca="false">IF(C30="",L29,IF(J30&lt;0,L29+1,0))</f>
        <v>3</v>
      </c>
      <c r="M30" s="14" t="n">
        <v>-28.25</v>
      </c>
      <c r="N30" s="9" t="n">
        <v>0</v>
      </c>
      <c r="O30" s="9" t="n">
        <v>-147837.4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949</v>
      </c>
      <c r="D31" s="5" t="s">
        <v>463</v>
      </c>
      <c r="E31" s="5" t="s">
        <v>77</v>
      </c>
      <c r="F31" s="11" t="n">
        <v>8123.02</v>
      </c>
      <c r="G31" s="12" t="n">
        <v>8.7117</v>
      </c>
      <c r="H31" s="12" t="n">
        <v>7.4956</v>
      </c>
      <c r="J31" s="8" t="n">
        <v>-1.2172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4</v>
      </c>
      <c r="M31" s="14" t="n">
        <v>-1217.2</v>
      </c>
      <c r="N31" s="9" t="n">
        <v>-9887.31</v>
      </c>
      <c r="O31" s="9" t="n">
        <v>-157724.71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463</v>
      </c>
      <c r="D32" s="5" t="s">
        <v>950</v>
      </c>
      <c r="E32" s="5" t="s">
        <v>77</v>
      </c>
      <c r="F32" s="11" t="n">
        <v>35428.92</v>
      </c>
      <c r="G32" s="12" t="n">
        <v>8.2261</v>
      </c>
      <c r="H32" s="12" t="n">
        <v>6.5355</v>
      </c>
      <c r="I32" s="5" t="s">
        <v>78</v>
      </c>
      <c r="J32" s="8" t="n">
        <v>-2.13428</v>
      </c>
      <c r="K32" s="13" t="str">
        <f aca="false">IF(J32&gt;0,"прибыль",IF(J32&lt;0,"убыток","ноль"))</f>
        <v>убыток</v>
      </c>
      <c r="L32" s="13" t="n">
        <f aca="false">IF(C32="",L31,IF(J32&lt;0,L31+1,0))</f>
        <v>5</v>
      </c>
      <c r="M32" s="14" t="n">
        <v>-2134.28</v>
      </c>
      <c r="N32" s="9" t="n">
        <v>-75615.22</v>
      </c>
      <c r="O32" s="9" t="n">
        <v>-233339.93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950</v>
      </c>
      <c r="D33" s="5" t="s">
        <v>951</v>
      </c>
      <c r="E33" s="5" t="s">
        <v>81</v>
      </c>
      <c r="F33" s="11" t="n">
        <v>0</v>
      </c>
      <c r="G33" s="12" t="n">
        <v>6.5355</v>
      </c>
      <c r="H33" s="12" t="n">
        <v>6.0279</v>
      </c>
      <c r="J33" s="8" t="n">
        <v>0.50726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507.26</v>
      </c>
      <c r="N33" s="9" t="n">
        <v>0</v>
      </c>
      <c r="O33" s="9" t="n">
        <v>-233339.93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951</v>
      </c>
      <c r="D34" s="5" t="s">
        <v>599</v>
      </c>
      <c r="E34" s="5" t="s">
        <v>81</v>
      </c>
      <c r="F34" s="11" t="n">
        <v>7058.51</v>
      </c>
      <c r="G34" s="12" t="n">
        <v>6.5355</v>
      </c>
      <c r="H34" s="12" t="n">
        <v>7.4035</v>
      </c>
      <c r="J34" s="8" t="n">
        <v>-0.86836</v>
      </c>
      <c r="K34" s="13" t="str">
        <f aca="false">IF(J34&gt;0,"прибыль",IF(J34&lt;0,"убыток","ноль"))</f>
        <v>убыток</v>
      </c>
      <c r="L34" s="13" t="n">
        <f aca="false">IF(C34="",L33,IF(J34&lt;0,L33+1,0))</f>
        <v>1</v>
      </c>
      <c r="M34" s="14" t="n">
        <v>-868.36</v>
      </c>
      <c r="N34" s="9" t="n">
        <v>-6129.3</v>
      </c>
      <c r="O34" s="9" t="n">
        <v>-239469.23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599</v>
      </c>
      <c r="D35" s="5" t="s">
        <v>952</v>
      </c>
      <c r="E35" s="5" t="s">
        <v>81</v>
      </c>
      <c r="F35" s="11" t="n">
        <v>27973.03</v>
      </c>
      <c r="G35" s="12" t="n">
        <v>6.5355</v>
      </c>
      <c r="H35" s="12" t="n">
        <v>8.2345</v>
      </c>
      <c r="I35" s="5" t="s">
        <v>78</v>
      </c>
      <c r="J35" s="8" t="n">
        <v>-2.01949</v>
      </c>
      <c r="K35" s="13" t="str">
        <f aca="false">IF(J35&gt;0,"прибыль",IF(J35&lt;0,"убыток","ноль"))</f>
        <v>убыток</v>
      </c>
      <c r="L35" s="13" t="n">
        <f aca="false">IF(C35="",L34,IF(J35&lt;0,L34+1,0))</f>
        <v>2</v>
      </c>
      <c r="M35" s="14" t="n">
        <v>-2019.49</v>
      </c>
      <c r="N35" s="9" t="n">
        <v>-56491.31</v>
      </c>
      <c r="O35" s="9" t="n">
        <v>-295960.54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952</v>
      </c>
      <c r="D36" s="5" t="s">
        <v>327</v>
      </c>
      <c r="E36" s="5" t="s">
        <v>77</v>
      </c>
      <c r="F36" s="11" t="n">
        <v>27159.16</v>
      </c>
      <c r="G36" s="12" t="n">
        <v>8.2345</v>
      </c>
      <c r="H36" s="12" t="n">
        <v>9.081</v>
      </c>
      <c r="I36" s="5" t="s">
        <v>78</v>
      </c>
      <c r="J36" s="8" t="n">
        <v>0.90544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905.44</v>
      </c>
      <c r="N36" s="9" t="n">
        <v>24591.02</v>
      </c>
      <c r="O36" s="9" t="n">
        <v>-271369.52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953</v>
      </c>
      <c r="D37" s="5" t="s">
        <v>466</v>
      </c>
      <c r="E37" s="5" t="s">
        <v>81</v>
      </c>
      <c r="F37" s="11" t="n">
        <v>20380.38</v>
      </c>
      <c r="G37" s="12" t="n">
        <v>6.6107</v>
      </c>
      <c r="H37" s="12" t="n">
        <v>5.7217</v>
      </c>
      <c r="J37" s="8" t="n">
        <v>0.88763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887.63</v>
      </c>
      <c r="N37" s="9" t="n">
        <v>18090.32</v>
      </c>
      <c r="O37" s="9" t="n">
        <v>-253279.2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466</v>
      </c>
      <c r="D38" s="5" t="s">
        <v>335</v>
      </c>
      <c r="E38" s="5" t="s">
        <v>81</v>
      </c>
      <c r="F38" s="11" t="n">
        <v>13201.83</v>
      </c>
      <c r="G38" s="12" t="n">
        <v>6.6107</v>
      </c>
      <c r="H38" s="12" t="n">
        <v>6.7698</v>
      </c>
      <c r="I38" s="5" t="s">
        <v>78</v>
      </c>
      <c r="J38" s="8" t="n">
        <v>0.28988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289.88</v>
      </c>
      <c r="N38" s="9" t="n">
        <v>3827</v>
      </c>
      <c r="O38" s="9" t="n">
        <v>-249452.2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335</v>
      </c>
      <c r="D39" s="5" t="s">
        <v>468</v>
      </c>
      <c r="E39" s="5" t="s">
        <v>81</v>
      </c>
      <c r="F39" s="11" t="n">
        <v>9502.13</v>
      </c>
      <c r="G39" s="12" t="n">
        <v>6.6978</v>
      </c>
      <c r="H39" s="12" t="n">
        <v>6.8721</v>
      </c>
      <c r="I39" s="5" t="s">
        <v>78</v>
      </c>
      <c r="J39" s="8" t="n">
        <v>0.13386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133.86</v>
      </c>
      <c r="N39" s="9" t="n">
        <v>1272</v>
      </c>
      <c r="O39" s="9" t="n">
        <v>-248180.21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468</v>
      </c>
      <c r="D40" s="5" t="s">
        <v>954</v>
      </c>
      <c r="E40" s="5" t="s">
        <v>81</v>
      </c>
      <c r="F40" s="11" t="n">
        <v>31843.37</v>
      </c>
      <c r="G40" s="12" t="n">
        <v>7.0068</v>
      </c>
      <c r="H40" s="12" t="n">
        <v>4.9607</v>
      </c>
      <c r="I40" s="5" t="s">
        <v>78</v>
      </c>
      <c r="J40" s="8" t="n">
        <v>1.7603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1760.3</v>
      </c>
      <c r="N40" s="9" t="n">
        <v>56053.84</v>
      </c>
      <c r="O40" s="9" t="n">
        <v>-192126.36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954</v>
      </c>
      <c r="D41" s="5" t="s">
        <v>804</v>
      </c>
      <c r="E41" s="5" t="s">
        <v>77</v>
      </c>
      <c r="F41" s="11" t="n">
        <v>16122.52</v>
      </c>
      <c r="G41" s="12" t="n">
        <v>4.3143</v>
      </c>
      <c r="H41" s="12" t="n">
        <v>3.5007</v>
      </c>
      <c r="J41" s="8" t="n">
        <v>-0.81415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1</v>
      </c>
      <c r="M41" s="14" t="n">
        <v>-814.15</v>
      </c>
      <c r="N41" s="9" t="n">
        <v>-13126.18</v>
      </c>
      <c r="O41" s="9" t="n">
        <v>-205252.54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804</v>
      </c>
      <c r="D42" s="5" t="s">
        <v>955</v>
      </c>
      <c r="E42" s="5" t="s">
        <v>77</v>
      </c>
      <c r="F42" s="11" t="n">
        <v>52695.1</v>
      </c>
      <c r="G42" s="12" t="n">
        <v>4.3143</v>
      </c>
      <c r="H42" s="12" t="n">
        <v>2.8799</v>
      </c>
      <c r="I42" s="5" t="s">
        <v>78</v>
      </c>
      <c r="J42" s="8" t="n">
        <v>-1.67364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2</v>
      </c>
      <c r="M42" s="14" t="n">
        <v>-1673.64</v>
      </c>
      <c r="N42" s="9" t="n">
        <v>-88192.46</v>
      </c>
      <c r="O42" s="9" t="n">
        <v>-293445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955</v>
      </c>
      <c r="D43" s="5" t="s">
        <v>469</v>
      </c>
      <c r="E43" s="5" t="s">
        <v>81</v>
      </c>
      <c r="F43" s="11" t="n">
        <v>19432.42</v>
      </c>
      <c r="G43" s="12" t="n">
        <v>2.7168</v>
      </c>
      <c r="H43" s="12" t="n">
        <v>2.8047</v>
      </c>
      <c r="I43" s="5" t="s">
        <v>78</v>
      </c>
      <c r="J43" s="8" t="n">
        <v>0.32746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327.46</v>
      </c>
      <c r="N43" s="9" t="n">
        <v>6363.26</v>
      </c>
      <c r="O43" s="9" t="n">
        <v>-287081.75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469</v>
      </c>
      <c r="D44" s="5" t="s">
        <v>470</v>
      </c>
      <c r="E44" s="5" t="s">
        <v>81</v>
      </c>
      <c r="F44" s="11" t="n">
        <v>31389.61</v>
      </c>
      <c r="G44" s="12" t="n">
        <v>2.4678</v>
      </c>
      <c r="H44" s="12" t="n">
        <v>2.3317</v>
      </c>
      <c r="I44" s="5" t="s">
        <v>78</v>
      </c>
      <c r="J44" s="8" t="n">
        <v>0.4432</v>
      </c>
      <c r="K44" s="13" t="str">
        <f aca="false">IF(J44&gt;0,"прибыль",IF(J44&lt;0,"убыток","ноль"))</f>
        <v>прибыль</v>
      </c>
      <c r="L44" s="13" t="n">
        <f aca="false">IF(C44="",L43,IF(J44&lt;0,L43+1,0))</f>
        <v>0</v>
      </c>
      <c r="M44" s="14" t="n">
        <v>443.2</v>
      </c>
      <c r="N44" s="9" t="n">
        <v>13911.82</v>
      </c>
      <c r="O44" s="9" t="n">
        <v>-273169.93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470</v>
      </c>
      <c r="D45" s="5" t="s">
        <v>956</v>
      </c>
      <c r="E45" s="5" t="s">
        <v>81</v>
      </c>
      <c r="F45" s="11" t="n">
        <v>105858.84</v>
      </c>
      <c r="G45" s="12" t="n">
        <v>2.7753</v>
      </c>
      <c r="H45" s="12" t="n">
        <v>2.7179</v>
      </c>
      <c r="I45" s="5" t="s">
        <v>78</v>
      </c>
      <c r="J45" s="8" t="n">
        <v>0.29385</v>
      </c>
      <c r="K45" s="13" t="str">
        <f aca="false">IF(J45&gt;0,"прибыль",IF(J45&lt;0,"убыток","ноль"))</f>
        <v>прибыль</v>
      </c>
      <c r="L45" s="13" t="n">
        <f aca="false">IF(C45="",L44,IF(J45&lt;0,L44+1,0))</f>
        <v>0</v>
      </c>
      <c r="M45" s="14" t="n">
        <v>293.85</v>
      </c>
      <c r="N45" s="9" t="n">
        <v>31106.27</v>
      </c>
      <c r="O45" s="9" t="n">
        <v>-242063.66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956</v>
      </c>
      <c r="D46" s="5" t="s">
        <v>957</v>
      </c>
      <c r="E46" s="5" t="s">
        <v>77</v>
      </c>
      <c r="F46" s="11" t="n">
        <v>0</v>
      </c>
      <c r="G46" s="12" t="n">
        <v>2.7179</v>
      </c>
      <c r="H46" s="12" t="n">
        <v>2.7982</v>
      </c>
      <c r="J46" s="8" t="n">
        <v>0.08014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80.14</v>
      </c>
      <c r="N46" s="9" t="n">
        <v>0</v>
      </c>
      <c r="O46" s="9" t="n">
        <v>-242063.66</v>
      </c>
    </row>
    <row r="47" customFormat="false" ht="15" hidden="false" customHeight="false" outlineLevel="0" collapsed="false">
      <c r="A47" s="6" t="n">
        <v>42</v>
      </c>
      <c r="B47" s="5" t="s">
        <v>74</v>
      </c>
      <c r="C47" s="5" t="s">
        <v>957</v>
      </c>
      <c r="D47" s="5" t="s">
        <v>958</v>
      </c>
      <c r="E47" s="5" t="s">
        <v>77</v>
      </c>
      <c r="F47" s="11" t="n">
        <v>30348.72</v>
      </c>
      <c r="G47" s="12" t="n">
        <v>2.7022</v>
      </c>
      <c r="H47" s="12" t="n">
        <v>2.785</v>
      </c>
      <c r="I47" s="5" t="s">
        <v>78</v>
      </c>
      <c r="J47" s="8" t="n">
        <v>0.11911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119.11</v>
      </c>
      <c r="N47" s="9" t="n">
        <v>3614.72</v>
      </c>
      <c r="O47" s="9" t="n">
        <v>-238448.94</v>
      </c>
    </row>
    <row r="48" customFormat="false" ht="15" hidden="false" customHeight="false" outlineLevel="0" collapsed="false">
      <c r="A48" s="6" t="n">
        <v>43</v>
      </c>
      <c r="B48" s="5" t="s">
        <v>74</v>
      </c>
      <c r="C48" s="5" t="s">
        <v>958</v>
      </c>
      <c r="D48" s="5" t="s">
        <v>959</v>
      </c>
      <c r="E48" s="5" t="s">
        <v>77</v>
      </c>
      <c r="F48" s="11" t="n">
        <v>106128.4</v>
      </c>
      <c r="G48" s="12" t="n">
        <v>2.6657</v>
      </c>
      <c r="H48" s="12" t="n">
        <v>2.8047</v>
      </c>
      <c r="I48" s="5" t="s">
        <v>78</v>
      </c>
      <c r="J48" s="8" t="n">
        <v>0.01776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17.76</v>
      </c>
      <c r="N48" s="9" t="n">
        <v>1884.61</v>
      </c>
      <c r="O48" s="9" t="n">
        <v>-236564.33</v>
      </c>
    </row>
    <row r="49" customFormat="false" ht="15" hidden="false" customHeight="false" outlineLevel="0" collapsed="false">
      <c r="A49" s="6" t="n">
        <v>44</v>
      </c>
      <c r="B49" s="5" t="s">
        <v>74</v>
      </c>
      <c r="C49" s="5" t="s">
        <v>959</v>
      </c>
      <c r="D49" s="5" t="s">
        <v>960</v>
      </c>
      <c r="E49" s="5" t="s">
        <v>81</v>
      </c>
      <c r="F49" s="11" t="n">
        <v>0</v>
      </c>
      <c r="G49" s="12" t="n">
        <v>2.8047</v>
      </c>
      <c r="H49" s="12" t="n">
        <v>2.7902</v>
      </c>
      <c r="J49" s="8" t="n">
        <v>0.01429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14.29</v>
      </c>
      <c r="N49" s="9" t="n">
        <v>0</v>
      </c>
      <c r="O49" s="9" t="n">
        <v>-236564.33</v>
      </c>
    </row>
    <row r="50" customFormat="false" ht="15" hidden="false" customHeight="false" outlineLevel="0" collapsed="false">
      <c r="A50" s="6" t="n">
        <v>45</v>
      </c>
      <c r="B50" s="5" t="s">
        <v>74</v>
      </c>
      <c r="C50" s="5" t="s">
        <v>960</v>
      </c>
      <c r="D50" s="5" t="s">
        <v>631</v>
      </c>
      <c r="E50" s="5" t="s">
        <v>81</v>
      </c>
      <c r="F50" s="11" t="n">
        <v>29311.34</v>
      </c>
      <c r="G50" s="12" t="n">
        <v>2.7316</v>
      </c>
      <c r="H50" s="12" t="n">
        <v>3.3257</v>
      </c>
      <c r="I50" s="5" t="s">
        <v>78</v>
      </c>
      <c r="J50" s="8" t="n">
        <v>-0.33309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1</v>
      </c>
      <c r="M50" s="14" t="n">
        <v>-333.09</v>
      </c>
      <c r="N50" s="9" t="n">
        <v>-9763.26</v>
      </c>
      <c r="O50" s="9" t="n">
        <v>-246327.59</v>
      </c>
    </row>
    <row r="51" customFormat="false" ht="15" hidden="false" customHeight="false" outlineLevel="0" collapsed="false">
      <c r="A51" s="6" t="n">
        <v>46</v>
      </c>
      <c r="B51" s="5" t="s">
        <v>74</v>
      </c>
      <c r="C51" s="5" t="s">
        <v>631</v>
      </c>
      <c r="D51" s="5" t="s">
        <v>479</v>
      </c>
      <c r="E51" s="5" t="s">
        <v>81</v>
      </c>
      <c r="F51" s="11" t="n">
        <v>33230.66</v>
      </c>
      <c r="G51" s="12" t="n">
        <v>2.9885</v>
      </c>
      <c r="H51" s="12" t="n">
        <v>3.5816</v>
      </c>
      <c r="I51" s="5" t="s">
        <v>78</v>
      </c>
      <c r="J51" s="8" t="n">
        <v>-0.43067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2</v>
      </c>
      <c r="M51" s="14" t="n">
        <v>-430.67</v>
      </c>
      <c r="N51" s="9" t="n">
        <v>-14311.35</v>
      </c>
      <c r="O51" s="9" t="n">
        <v>-260638.95</v>
      </c>
    </row>
    <row r="52" customFormat="false" ht="15" hidden="false" customHeight="false" outlineLevel="0" collapsed="false">
      <c r="A52" s="6" t="n">
        <v>47</v>
      </c>
      <c r="B52" s="5" t="s">
        <v>74</v>
      </c>
      <c r="C52" s="5" t="s">
        <v>479</v>
      </c>
      <c r="D52" s="5" t="s">
        <v>486</v>
      </c>
      <c r="E52" s="5" t="s">
        <v>81</v>
      </c>
      <c r="F52" s="11" t="n">
        <v>46349.22</v>
      </c>
      <c r="G52" s="12" t="n">
        <v>2.8843</v>
      </c>
      <c r="H52" s="12" t="n">
        <v>2.5309</v>
      </c>
      <c r="I52" s="5" t="s">
        <v>78</v>
      </c>
      <c r="J52" s="8" t="n">
        <v>0.41796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417.96</v>
      </c>
      <c r="N52" s="9" t="n">
        <v>19372.24</v>
      </c>
      <c r="O52" s="9" t="n">
        <v>-241266.71</v>
      </c>
    </row>
    <row r="53" customFormat="false" ht="15" hidden="false" customHeight="false" outlineLevel="0" collapsed="false">
      <c r="A53" s="6" t="n">
        <v>48</v>
      </c>
      <c r="B53" s="5" t="s">
        <v>74</v>
      </c>
      <c r="C53" s="5" t="s">
        <v>486</v>
      </c>
      <c r="D53" s="5" t="s">
        <v>487</v>
      </c>
      <c r="E53" s="5" t="s">
        <v>81</v>
      </c>
      <c r="F53" s="11" t="n">
        <v>34598.58</v>
      </c>
      <c r="G53" s="12" t="n">
        <v>2.9493</v>
      </c>
      <c r="H53" s="12" t="n">
        <v>2.5838</v>
      </c>
      <c r="J53" s="8" t="n">
        <v>0.3654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365.4</v>
      </c>
      <c r="N53" s="9" t="n">
        <v>12642.39</v>
      </c>
      <c r="O53" s="9" t="n">
        <v>-228624.32</v>
      </c>
    </row>
    <row r="54" customFormat="false" ht="15" hidden="false" customHeight="false" outlineLevel="0" collapsed="false">
      <c r="A54" s="6" t="n">
        <v>49</v>
      </c>
      <c r="B54" s="5" t="s">
        <v>74</v>
      </c>
      <c r="C54" s="5" t="s">
        <v>487</v>
      </c>
      <c r="D54" s="5" t="s">
        <v>743</v>
      </c>
      <c r="E54" s="5" t="s">
        <v>81</v>
      </c>
      <c r="F54" s="11" t="n">
        <v>116261.09</v>
      </c>
      <c r="G54" s="12" t="n">
        <v>2.9493</v>
      </c>
      <c r="H54" s="12" t="n">
        <v>2.5599</v>
      </c>
      <c r="I54" s="5" t="s">
        <v>78</v>
      </c>
      <c r="J54" s="8" t="n">
        <v>0.31749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317.49</v>
      </c>
      <c r="N54" s="9" t="n">
        <v>36911.79</v>
      </c>
      <c r="O54" s="9" t="n">
        <v>-191712.53</v>
      </c>
    </row>
    <row r="55" customFormat="false" ht="15" hidden="false" customHeight="false" outlineLevel="0" collapsed="false">
      <c r="A55" s="6" t="n">
        <v>50</v>
      </c>
      <c r="B55" s="5" t="s">
        <v>74</v>
      </c>
      <c r="C55" s="5" t="s">
        <v>743</v>
      </c>
      <c r="D55" s="5" t="s">
        <v>488</v>
      </c>
      <c r="E55" s="5" t="s">
        <v>77</v>
      </c>
      <c r="F55" s="11" t="n">
        <v>24865.79</v>
      </c>
      <c r="G55" s="12" t="n">
        <v>2.5599</v>
      </c>
      <c r="H55" s="12" t="n">
        <v>2.7989</v>
      </c>
      <c r="J55" s="8" t="n">
        <v>0.23894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238.94</v>
      </c>
      <c r="N55" s="9" t="n">
        <v>5941.45</v>
      </c>
      <c r="O55" s="9" t="n">
        <v>-185771.09</v>
      </c>
    </row>
    <row r="56" customFormat="false" ht="15" hidden="false" customHeight="false" outlineLevel="0" collapsed="false">
      <c r="A56" s="6" t="n">
        <v>51</v>
      </c>
      <c r="B56" s="5" t="s">
        <v>74</v>
      </c>
      <c r="C56" s="5" t="s">
        <v>488</v>
      </c>
      <c r="D56" s="5" t="s">
        <v>490</v>
      </c>
      <c r="E56" s="5" t="s">
        <v>77</v>
      </c>
      <c r="F56" s="11" t="n">
        <v>18778.57</v>
      </c>
      <c r="G56" s="12" t="n">
        <v>2.5599</v>
      </c>
      <c r="H56" s="12" t="n">
        <v>2.8215</v>
      </c>
      <c r="J56" s="8" t="n">
        <v>0.26145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261.45</v>
      </c>
      <c r="N56" s="9" t="n">
        <v>4909.7</v>
      </c>
      <c r="O56" s="9" t="n">
        <v>-180861.39</v>
      </c>
    </row>
    <row r="57" customFormat="false" ht="15" hidden="false" customHeight="false" outlineLevel="0" collapsed="false">
      <c r="A57" s="6" t="n">
        <v>52</v>
      </c>
      <c r="B57" s="5" t="s">
        <v>74</v>
      </c>
      <c r="C57" s="5" t="s">
        <v>490</v>
      </c>
      <c r="D57" s="5" t="s">
        <v>961</v>
      </c>
      <c r="E57" s="5" t="s">
        <v>77</v>
      </c>
      <c r="F57" s="11" t="n">
        <v>124667.76</v>
      </c>
      <c r="G57" s="12" t="n">
        <v>2.4666</v>
      </c>
      <c r="H57" s="12" t="n">
        <v>1.8727</v>
      </c>
      <c r="I57" s="5" t="s">
        <v>78</v>
      </c>
      <c r="J57" s="8" t="n">
        <v>-0.23975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1</v>
      </c>
      <c r="M57" s="14" t="n">
        <v>-239.75</v>
      </c>
      <c r="N57" s="9" t="n">
        <v>-29889.18</v>
      </c>
      <c r="O57" s="9" t="n">
        <v>-210750.57</v>
      </c>
    </row>
    <row r="58" customFormat="false" ht="15" hidden="false" customHeight="false" outlineLevel="0" collapsed="false">
      <c r="A58" s="6" t="n">
        <v>53</v>
      </c>
      <c r="B58" s="5" t="s">
        <v>491</v>
      </c>
      <c r="C58" s="5" t="s">
        <v>961</v>
      </c>
      <c r="D58" s="5" t="s">
        <v>492</v>
      </c>
      <c r="E58" s="5" t="s">
        <v>81</v>
      </c>
      <c r="F58" s="11" t="n">
        <v>33224.12</v>
      </c>
      <c r="G58" s="12" t="n">
        <v>1.7728</v>
      </c>
      <c r="H58" s="12" t="n">
        <v>2.0333</v>
      </c>
      <c r="I58" s="5" t="s">
        <v>78</v>
      </c>
      <c r="J58" s="8" t="n">
        <v>0.3148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314.8</v>
      </c>
      <c r="N58" s="9" t="n">
        <v>10458.89</v>
      </c>
      <c r="O58" s="9" t="n">
        <v>-200291.68</v>
      </c>
    </row>
    <row r="59" customFormat="false" ht="15" hidden="false" customHeight="false" outlineLevel="0" collapsed="false">
      <c r="A59" s="6" t="n">
        <v>54</v>
      </c>
      <c r="B59" s="5" t="s">
        <v>288</v>
      </c>
      <c r="C59" s="5" t="s">
        <v>492</v>
      </c>
      <c r="D59" s="5" t="s">
        <v>493</v>
      </c>
      <c r="E59" s="5" t="s">
        <v>81</v>
      </c>
      <c r="F59" s="11" t="n">
        <v>31668.05</v>
      </c>
      <c r="G59" s="12" t="n">
        <v>2.3484</v>
      </c>
      <c r="H59" s="12" t="n">
        <v>2.6708</v>
      </c>
      <c r="J59" s="8" t="n">
        <v>-0.32258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1</v>
      </c>
      <c r="M59" s="14" t="n">
        <v>-322.58</v>
      </c>
      <c r="N59" s="9" t="n">
        <v>-10215.32</v>
      </c>
      <c r="O59" s="9" t="n">
        <v>-210507.01</v>
      </c>
    </row>
    <row r="60" customFormat="false" ht="15" hidden="false" customHeight="false" outlineLevel="0" collapsed="false">
      <c r="A60" s="6" t="n">
        <v>55</v>
      </c>
      <c r="B60" s="5" t="s">
        <v>288</v>
      </c>
      <c r="C60" s="5" t="s">
        <v>493</v>
      </c>
      <c r="D60" s="5" t="s">
        <v>962</v>
      </c>
      <c r="E60" s="5" t="s">
        <v>81</v>
      </c>
      <c r="F60" s="11" t="n">
        <v>89502.25</v>
      </c>
      <c r="G60" s="12" t="n">
        <v>2.3484</v>
      </c>
      <c r="H60" s="12" t="n">
        <v>2.7282</v>
      </c>
      <c r="I60" s="5" t="s">
        <v>78</v>
      </c>
      <c r="J60" s="8" t="n">
        <v>-0.31119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2</v>
      </c>
      <c r="M60" s="14" t="n">
        <v>-311.19</v>
      </c>
      <c r="N60" s="9" t="n">
        <v>-27852.51</v>
      </c>
      <c r="O60" s="9" t="n">
        <v>-238359.51</v>
      </c>
    </row>
    <row r="61" customFormat="false" ht="15" hidden="false" customHeight="false" outlineLevel="0" collapsed="false">
      <c r="A61" s="6" t="n">
        <v>56</v>
      </c>
      <c r="B61" s="5" t="s">
        <v>288</v>
      </c>
      <c r="C61" s="5" t="s">
        <v>963</v>
      </c>
      <c r="D61" s="5" t="s">
        <v>634</v>
      </c>
      <c r="E61" s="5" t="s">
        <v>81</v>
      </c>
      <c r="F61" s="11" t="n">
        <v>36083.66</v>
      </c>
      <c r="G61" s="12" t="n">
        <v>2.1111</v>
      </c>
      <c r="H61" s="12" t="n">
        <v>2.3897</v>
      </c>
      <c r="I61" s="5" t="s">
        <v>78</v>
      </c>
      <c r="J61" s="8" t="n">
        <v>-0.01848</v>
      </c>
      <c r="K61" s="13" t="str">
        <f aca="false">IF(J61&gt;0,"прибыль",IF(J61&lt;0,"убыток","ноль"))</f>
        <v>убыток</v>
      </c>
      <c r="L61" s="13" t="n">
        <f aca="false">IF(C61="",L60,IF(J61&lt;0,L60+1,0))</f>
        <v>3</v>
      </c>
      <c r="M61" s="14" t="n">
        <v>-18.48</v>
      </c>
      <c r="N61" s="9" t="n">
        <v>-666.71</v>
      </c>
      <c r="O61" s="9" t="n">
        <v>-239026.22</v>
      </c>
    </row>
    <row r="62" customFormat="false" ht="15" hidden="false" customHeight="false" outlineLevel="0" collapsed="false">
      <c r="A62" s="6" t="n">
        <v>57</v>
      </c>
      <c r="B62" s="5" t="s">
        <v>288</v>
      </c>
      <c r="C62" s="5" t="s">
        <v>634</v>
      </c>
      <c r="D62" s="5" t="s">
        <v>506</v>
      </c>
      <c r="E62" s="5" t="s">
        <v>81</v>
      </c>
      <c r="F62" s="11" t="n">
        <v>29894.99</v>
      </c>
      <c r="G62" s="12" t="n">
        <v>2.3416</v>
      </c>
      <c r="H62" s="12" t="n">
        <v>2.9619</v>
      </c>
      <c r="I62" s="5" t="s">
        <v>78</v>
      </c>
      <c r="J62" s="8" t="n">
        <v>0.11329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113.29</v>
      </c>
      <c r="N62" s="9" t="n">
        <v>3386.78</v>
      </c>
      <c r="O62" s="9" t="n">
        <v>-235639.44</v>
      </c>
    </row>
    <row r="63" customFormat="false" ht="15" hidden="false" customHeight="false" outlineLevel="0" collapsed="false">
      <c r="A63" s="6" t="n">
        <v>58</v>
      </c>
      <c r="B63" s="5" t="s">
        <v>288</v>
      </c>
      <c r="C63" s="5" t="s">
        <v>506</v>
      </c>
      <c r="D63" s="5" t="s">
        <v>635</v>
      </c>
      <c r="E63" s="5" t="s">
        <v>81</v>
      </c>
      <c r="F63" s="11" t="n">
        <v>16199.59</v>
      </c>
      <c r="G63" s="12" t="n">
        <v>3.0754</v>
      </c>
      <c r="H63" s="12" t="n">
        <v>3.3776</v>
      </c>
      <c r="J63" s="8" t="n">
        <v>-0.30241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1</v>
      </c>
      <c r="M63" s="14" t="n">
        <v>-302.41</v>
      </c>
      <c r="N63" s="9" t="n">
        <v>-4898.86</v>
      </c>
      <c r="O63" s="9" t="n">
        <v>-240538.3</v>
      </c>
    </row>
    <row r="64" customFormat="false" ht="15" hidden="false" customHeight="false" outlineLevel="0" collapsed="false">
      <c r="A64" s="6" t="n">
        <v>59</v>
      </c>
      <c r="B64" s="5" t="s">
        <v>288</v>
      </c>
      <c r="C64" s="5" t="s">
        <v>635</v>
      </c>
      <c r="D64" s="5" t="s">
        <v>510</v>
      </c>
      <c r="E64" s="5" t="s">
        <v>81</v>
      </c>
      <c r="F64" s="11" t="n">
        <v>60484.11</v>
      </c>
      <c r="G64" s="12" t="n">
        <v>3.0754</v>
      </c>
      <c r="H64" s="12" t="n">
        <v>3.2326</v>
      </c>
      <c r="I64" s="5" t="s">
        <v>78</v>
      </c>
      <c r="J64" s="8" t="n">
        <v>-0.16194</v>
      </c>
      <c r="K64" s="13" t="str">
        <f aca="false">IF(J64&gt;0,"прибыль",IF(J64&lt;0,"убыток","ноль"))</f>
        <v>убыток</v>
      </c>
      <c r="L64" s="13" t="n">
        <f aca="false">IF(C64="",L63,IF(J64&lt;0,L63+1,0))</f>
        <v>2</v>
      </c>
      <c r="M64" s="14" t="n">
        <v>-161.94</v>
      </c>
      <c r="N64" s="9" t="n">
        <v>-9794.6</v>
      </c>
      <c r="O64" s="9" t="n">
        <v>-250332.9</v>
      </c>
    </row>
    <row r="65" customFormat="false" ht="15" hidden="false" customHeight="false" outlineLevel="0" collapsed="false">
      <c r="A65" s="6" t="n">
        <v>60</v>
      </c>
      <c r="B65" s="5" t="s">
        <v>288</v>
      </c>
      <c r="C65" s="5" t="s">
        <v>964</v>
      </c>
      <c r="D65" s="5" t="s">
        <v>378</v>
      </c>
      <c r="E65" s="5" t="s">
        <v>77</v>
      </c>
      <c r="F65" s="11" t="n">
        <v>18473</v>
      </c>
      <c r="G65" s="12" t="n">
        <v>3.7001</v>
      </c>
      <c r="H65" s="12" t="n">
        <v>3.6566</v>
      </c>
      <c r="J65" s="8" t="n">
        <v>-0.04448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3</v>
      </c>
      <c r="M65" s="14" t="n">
        <v>-44.48</v>
      </c>
      <c r="N65" s="9" t="n">
        <v>-821.67</v>
      </c>
      <c r="O65" s="9" t="n">
        <v>-251154.57</v>
      </c>
    </row>
    <row r="66" customFormat="false" ht="15" hidden="false" customHeight="false" outlineLevel="0" collapsed="false">
      <c r="A66" s="6" t="n">
        <v>61</v>
      </c>
      <c r="B66" s="5" t="s">
        <v>288</v>
      </c>
      <c r="C66" s="5" t="s">
        <v>378</v>
      </c>
      <c r="D66" s="5" t="s">
        <v>515</v>
      </c>
      <c r="E66" s="5" t="s">
        <v>77</v>
      </c>
      <c r="F66" s="11" t="n">
        <v>10722.28</v>
      </c>
      <c r="G66" s="12" t="n">
        <v>3.7001</v>
      </c>
      <c r="H66" s="12" t="n">
        <v>3.598</v>
      </c>
      <c r="J66" s="8" t="n">
        <v>-0.10234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4</v>
      </c>
      <c r="M66" s="14" t="n">
        <v>-102.34</v>
      </c>
      <c r="N66" s="9" t="n">
        <v>-1097.36</v>
      </c>
      <c r="O66" s="9" t="n">
        <v>-252251.93</v>
      </c>
    </row>
    <row r="67" customFormat="false" ht="15" hidden="false" customHeight="false" outlineLevel="0" collapsed="false">
      <c r="A67" s="6" t="n">
        <v>62</v>
      </c>
      <c r="B67" s="5" t="s">
        <v>288</v>
      </c>
      <c r="C67" s="5" t="s">
        <v>515</v>
      </c>
      <c r="D67" s="5" t="s">
        <v>516</v>
      </c>
      <c r="E67" s="5" t="s">
        <v>77</v>
      </c>
      <c r="F67" s="11" t="n">
        <v>10814.88</v>
      </c>
      <c r="G67" s="12" t="n">
        <v>3.6741</v>
      </c>
      <c r="H67" s="12" t="n">
        <v>4.352</v>
      </c>
      <c r="I67" s="5" t="s">
        <v>78</v>
      </c>
      <c r="J67" s="8" t="n">
        <v>0.94115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941.15</v>
      </c>
      <c r="N67" s="9" t="n">
        <v>10178.41</v>
      </c>
      <c r="O67" s="9" t="n">
        <v>-242073.53</v>
      </c>
    </row>
    <row r="68" customFormat="false" ht="15" hidden="false" customHeight="false" outlineLevel="0" collapsed="false">
      <c r="A68" s="6" t="n">
        <v>63</v>
      </c>
      <c r="B68" s="5" t="s">
        <v>288</v>
      </c>
      <c r="C68" s="5" t="s">
        <v>516</v>
      </c>
      <c r="D68" s="5" t="s">
        <v>965</v>
      </c>
      <c r="E68" s="5" t="s">
        <v>77</v>
      </c>
      <c r="F68" s="11" t="n">
        <v>67404.49</v>
      </c>
      <c r="G68" s="12" t="n">
        <v>3.6938</v>
      </c>
      <c r="H68" s="12" t="n">
        <v>4.1603</v>
      </c>
      <c r="I68" s="5" t="s">
        <v>78</v>
      </c>
      <c r="J68" s="8" t="n">
        <v>0.59384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593.84</v>
      </c>
      <c r="N68" s="9" t="n">
        <v>40027.3</v>
      </c>
      <c r="O68" s="9" t="n">
        <v>-202046.23</v>
      </c>
    </row>
    <row r="69" customFormat="false" ht="15" hidden="false" customHeight="false" outlineLevel="0" collapsed="false">
      <c r="A69" s="6" t="n">
        <v>64</v>
      </c>
      <c r="B69" s="5" t="s">
        <v>288</v>
      </c>
      <c r="C69" s="5" t="s">
        <v>965</v>
      </c>
      <c r="D69" s="5" t="s">
        <v>525</v>
      </c>
      <c r="E69" s="5" t="s">
        <v>81</v>
      </c>
      <c r="F69" s="11" t="n">
        <v>17509.21</v>
      </c>
      <c r="G69" s="12" t="n">
        <v>3.9379</v>
      </c>
      <c r="H69" s="12" t="n">
        <v>3.3706</v>
      </c>
      <c r="I69" s="5" t="s">
        <v>78</v>
      </c>
      <c r="J69" s="8" t="n">
        <v>1.12196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1121.96</v>
      </c>
      <c r="N69" s="9" t="n">
        <v>19644.67</v>
      </c>
      <c r="O69" s="9" t="n">
        <v>-182401.56</v>
      </c>
    </row>
    <row r="70" customFormat="false" ht="15" hidden="false" customHeight="false" outlineLevel="0" collapsed="false">
      <c r="A70" s="6" t="n">
        <v>65</v>
      </c>
      <c r="B70" s="5" t="s">
        <v>288</v>
      </c>
      <c r="C70" s="5" t="s">
        <v>525</v>
      </c>
      <c r="D70" s="5" t="s">
        <v>398</v>
      </c>
      <c r="E70" s="5" t="s">
        <v>81</v>
      </c>
      <c r="F70" s="11" t="n">
        <v>35758.43</v>
      </c>
      <c r="G70" s="12" t="n">
        <v>3.1992</v>
      </c>
      <c r="H70" s="12" t="n">
        <v>3.4499</v>
      </c>
      <c r="I70" s="5" t="s">
        <v>78</v>
      </c>
      <c r="J70" s="8" t="n">
        <v>0.97877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978.77</v>
      </c>
      <c r="N70" s="9" t="n">
        <v>34999.34</v>
      </c>
      <c r="O70" s="9" t="n">
        <v>-147402.22</v>
      </c>
    </row>
    <row r="71" customFormat="false" ht="15" hidden="false" customHeight="false" outlineLevel="0" collapsed="false">
      <c r="A71" s="6" t="n">
        <v>66</v>
      </c>
      <c r="B71" s="5" t="s">
        <v>288</v>
      </c>
      <c r="C71" s="5" t="s">
        <v>398</v>
      </c>
      <c r="D71" s="5" t="s">
        <v>530</v>
      </c>
      <c r="E71" s="5" t="s">
        <v>81</v>
      </c>
      <c r="F71" s="11" t="n">
        <v>38163.98</v>
      </c>
      <c r="G71" s="12" t="n">
        <v>4.4294</v>
      </c>
      <c r="H71" s="12" t="n">
        <v>3.3948</v>
      </c>
      <c r="J71" s="8" t="n">
        <v>1.03442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1034.42</v>
      </c>
      <c r="N71" s="9" t="n">
        <v>39477.64</v>
      </c>
      <c r="O71" s="9" t="n">
        <v>-107924.58</v>
      </c>
    </row>
    <row r="72" customFormat="false" ht="15" hidden="false" customHeight="false" outlineLevel="0" collapsed="false">
      <c r="A72" s="6" t="n">
        <v>67</v>
      </c>
      <c r="B72" s="5" t="s">
        <v>288</v>
      </c>
      <c r="C72" s="5" t="s">
        <v>530</v>
      </c>
      <c r="D72" s="5" t="s">
        <v>826</v>
      </c>
      <c r="E72" s="5" t="s">
        <v>81</v>
      </c>
      <c r="F72" s="11" t="n">
        <v>90879.02</v>
      </c>
      <c r="G72" s="12" t="n">
        <v>4.3249</v>
      </c>
      <c r="H72" s="12" t="n">
        <v>4.6012</v>
      </c>
      <c r="I72" s="5" t="s">
        <v>78</v>
      </c>
      <c r="J72" s="8" t="n">
        <v>0.30361</v>
      </c>
      <c r="K72" s="13" t="str">
        <f aca="false">IF(J72&gt;0,"прибыль",IF(J72&lt;0,"убыток","ноль"))</f>
        <v>прибыль</v>
      </c>
      <c r="L72" s="13" t="n">
        <f aca="false">IF(C72="",L71,IF(J72&lt;0,L71+1,0))</f>
        <v>0</v>
      </c>
      <c r="M72" s="14" t="n">
        <v>303.61</v>
      </c>
      <c r="N72" s="9" t="n">
        <v>27592.19</v>
      </c>
      <c r="O72" s="9" t="n">
        <v>-80332.39</v>
      </c>
    </row>
    <row r="73" customFormat="false" ht="15" hidden="false" customHeight="false" outlineLevel="0" collapsed="false">
      <c r="A73" s="6" t="n">
        <v>68</v>
      </c>
      <c r="B73" s="5" t="s">
        <v>288</v>
      </c>
      <c r="C73" s="5" t="s">
        <v>966</v>
      </c>
      <c r="D73" s="5" t="s">
        <v>539</v>
      </c>
      <c r="E73" s="5" t="s">
        <v>77</v>
      </c>
      <c r="F73" s="11" t="n">
        <v>13171.22</v>
      </c>
      <c r="G73" s="12" t="n">
        <v>3.6373</v>
      </c>
      <c r="H73" s="12" t="n">
        <v>3.6604</v>
      </c>
      <c r="J73" s="8" t="n">
        <v>0.02213</v>
      </c>
      <c r="K73" s="13" t="str">
        <f aca="false">IF(J73&gt;0,"прибыль",IF(J73&lt;0,"убыток","ноль"))</f>
        <v>прибыль</v>
      </c>
      <c r="L73" s="13" t="n">
        <f aca="false">IF(C73="",L72,IF(J73&lt;0,L72+1,0))</f>
        <v>0</v>
      </c>
      <c r="M73" s="14" t="n">
        <v>22.13</v>
      </c>
      <c r="N73" s="9" t="n">
        <v>291.42</v>
      </c>
      <c r="O73" s="9" t="n">
        <v>-80040.97</v>
      </c>
    </row>
    <row r="74" customFormat="false" ht="15" hidden="false" customHeight="false" outlineLevel="0" collapsed="false">
      <c r="A74" s="6" t="n">
        <v>69</v>
      </c>
      <c r="B74" s="5" t="s">
        <v>288</v>
      </c>
      <c r="C74" s="5" t="s">
        <v>539</v>
      </c>
      <c r="D74" s="5" t="s">
        <v>540</v>
      </c>
      <c r="E74" s="5" t="s">
        <v>77</v>
      </c>
      <c r="F74" s="11" t="n">
        <v>22014.04</v>
      </c>
      <c r="G74" s="12" t="n">
        <v>3.6373</v>
      </c>
      <c r="H74" s="12" t="n">
        <v>5.3178</v>
      </c>
      <c r="J74" s="8" t="n">
        <v>1.68025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1680.25</v>
      </c>
      <c r="N74" s="9" t="n">
        <v>36989.01</v>
      </c>
      <c r="O74" s="9" t="n">
        <v>-43051.96</v>
      </c>
    </row>
    <row r="75" customFormat="false" ht="15" hidden="false" customHeight="false" outlineLevel="0" collapsed="false">
      <c r="A75" s="6" t="n">
        <v>70</v>
      </c>
      <c r="B75" s="5" t="s">
        <v>288</v>
      </c>
      <c r="C75" s="5" t="s">
        <v>540</v>
      </c>
      <c r="D75" s="5" t="s">
        <v>541</v>
      </c>
      <c r="E75" s="5" t="s">
        <v>77</v>
      </c>
      <c r="F75" s="11" t="n">
        <v>7837.08</v>
      </c>
      <c r="G75" s="12" t="n">
        <v>3.6373</v>
      </c>
      <c r="H75" s="12" t="n">
        <v>6.5138</v>
      </c>
      <c r="J75" s="8" t="n">
        <v>2.87612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2876.12</v>
      </c>
      <c r="N75" s="9" t="n">
        <v>22540.41</v>
      </c>
      <c r="O75" s="9" t="n">
        <v>-20511.55</v>
      </c>
    </row>
    <row r="76" customFormat="false" ht="15" hidden="false" customHeight="false" outlineLevel="0" collapsed="false">
      <c r="A76" s="6" t="n">
        <v>71</v>
      </c>
      <c r="B76" s="5" t="s">
        <v>288</v>
      </c>
      <c r="C76" s="5" t="s">
        <v>541</v>
      </c>
      <c r="D76" s="5" t="s">
        <v>542</v>
      </c>
      <c r="E76" s="5" t="s">
        <v>77</v>
      </c>
      <c r="F76" s="11" t="n">
        <v>31750.08</v>
      </c>
      <c r="G76" s="12" t="n">
        <v>4.9407</v>
      </c>
      <c r="H76" s="12" t="n">
        <v>3.2783</v>
      </c>
      <c r="I76" s="5" t="s">
        <v>78</v>
      </c>
      <c r="J76" s="8" t="n">
        <v>0.57185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571.85</v>
      </c>
      <c r="N76" s="9" t="n">
        <v>18156.25</v>
      </c>
      <c r="O76" s="9" t="n">
        <v>-2355.3</v>
      </c>
    </row>
    <row r="77" customFormat="false" ht="15" hidden="false" customHeight="false" outlineLevel="0" collapsed="false">
      <c r="A77" s="6" t="n">
        <v>72</v>
      </c>
      <c r="B77" s="5" t="s">
        <v>288</v>
      </c>
      <c r="C77" s="5" t="s">
        <v>542</v>
      </c>
      <c r="D77" s="5" t="s">
        <v>967</v>
      </c>
      <c r="E77" s="5" t="s">
        <v>77</v>
      </c>
      <c r="F77" s="11" t="n">
        <v>95382.01</v>
      </c>
      <c r="G77" s="12" t="n">
        <v>2.7058</v>
      </c>
      <c r="H77" s="12" t="n">
        <v>3.0872</v>
      </c>
      <c r="I77" s="5" t="s">
        <v>78</v>
      </c>
      <c r="J77" s="8" t="n">
        <v>0.28547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285.47</v>
      </c>
      <c r="N77" s="9" t="n">
        <v>27228.26</v>
      </c>
      <c r="O77" s="9" t="n">
        <v>24872.96</v>
      </c>
    </row>
    <row r="78" customFormat="false" ht="15" hidden="false" customHeight="false" outlineLevel="0" collapsed="false">
      <c r="A78" s="6" t="n">
        <v>73</v>
      </c>
      <c r="B78" s="5" t="s">
        <v>288</v>
      </c>
      <c r="C78" s="5" t="s">
        <v>967</v>
      </c>
      <c r="D78" s="5" t="s">
        <v>413</v>
      </c>
      <c r="E78" s="5" t="s">
        <v>81</v>
      </c>
      <c r="F78" s="11" t="n">
        <v>63198.77</v>
      </c>
      <c r="G78" s="12" t="n">
        <v>2.891</v>
      </c>
      <c r="H78" s="12" t="n">
        <v>2.9505</v>
      </c>
      <c r="I78" s="5" t="s">
        <v>78</v>
      </c>
      <c r="J78" s="8" t="n">
        <v>0.12841</v>
      </c>
      <c r="K78" s="13" t="str">
        <f aca="false">IF(J78&gt;0,"прибыль",IF(J78&lt;0,"убыток","ноль"))</f>
        <v>прибыль</v>
      </c>
      <c r="L78" s="13" t="n">
        <f aca="false">IF(C78="",L77,IF(J78&lt;0,L77+1,0))</f>
        <v>0</v>
      </c>
      <c r="M78" s="14" t="n">
        <v>128.41</v>
      </c>
      <c r="N78" s="9" t="n">
        <v>8115.27</v>
      </c>
      <c r="O78" s="9" t="n">
        <v>32988.23</v>
      </c>
    </row>
    <row r="79" customFormat="false" ht="15" hidden="false" customHeight="false" outlineLevel="0" collapsed="false">
      <c r="A79" s="6" t="n">
        <v>74</v>
      </c>
      <c r="B79" s="5" t="s">
        <v>288</v>
      </c>
      <c r="C79" s="5" t="s">
        <v>413</v>
      </c>
      <c r="D79" s="5" t="s">
        <v>968</v>
      </c>
      <c r="E79" s="5" t="s">
        <v>81</v>
      </c>
      <c r="F79" s="11" t="n">
        <v>119526.83</v>
      </c>
      <c r="G79" s="12" t="n">
        <v>3.0793</v>
      </c>
      <c r="H79" s="12" t="n">
        <v>3.3242</v>
      </c>
      <c r="I79" s="5" t="s">
        <v>78</v>
      </c>
      <c r="J79" s="8" t="n">
        <v>-0.06333</v>
      </c>
      <c r="K79" s="13" t="str">
        <f aca="false">IF(J79&gt;0,"прибыль",IF(J79&lt;0,"убыток","ноль"))</f>
        <v>убыток</v>
      </c>
      <c r="L79" s="13" t="n">
        <f aca="false">IF(C79="",L78,IF(J79&lt;0,L78+1,0))</f>
        <v>1</v>
      </c>
      <c r="M79" s="14" t="n">
        <v>-63.33</v>
      </c>
      <c r="N79" s="9" t="n">
        <v>-7569.12</v>
      </c>
      <c r="O79" s="9" t="n">
        <v>25419.11</v>
      </c>
    </row>
    <row r="80" customFormat="false" ht="15" hidden="false" customHeight="false" outlineLevel="0" collapsed="false">
      <c r="A80" s="6" t="n">
        <v>75</v>
      </c>
      <c r="B80" s="5" t="s">
        <v>288</v>
      </c>
      <c r="C80" s="5" t="s">
        <v>969</v>
      </c>
      <c r="D80" s="5" t="s">
        <v>970</v>
      </c>
      <c r="E80" s="5" t="s">
        <v>81</v>
      </c>
      <c r="F80" s="11" t="n">
        <v>48361.41</v>
      </c>
      <c r="G80" s="12" t="n">
        <v>2.7878</v>
      </c>
      <c r="H80" s="12" t="n">
        <v>2.8513</v>
      </c>
      <c r="I80" s="5" t="s">
        <v>78</v>
      </c>
      <c r="J80" s="8" t="n">
        <v>0.02399</v>
      </c>
      <c r="K80" s="13" t="str">
        <f aca="false">IF(J80&gt;0,"прибыль",IF(J80&lt;0,"убыток","ноль"))</f>
        <v>прибыль</v>
      </c>
      <c r="L80" s="13" t="n">
        <f aca="false">IF(C80="",L79,IF(J80&lt;0,L79+1,0))</f>
        <v>0</v>
      </c>
      <c r="M80" s="14" t="n">
        <v>23.99</v>
      </c>
      <c r="N80" s="9" t="n">
        <v>1160.23</v>
      </c>
      <c r="O80" s="9" t="n">
        <v>26579.34</v>
      </c>
    </row>
    <row r="81" customFormat="false" ht="15" hidden="false" customHeight="false" outlineLevel="0" collapsed="false">
      <c r="A81" s="6" t="n">
        <v>76</v>
      </c>
      <c r="B81" s="5" t="s">
        <v>288</v>
      </c>
      <c r="C81" s="5" t="s">
        <v>970</v>
      </c>
      <c r="D81" s="5" t="s">
        <v>546</v>
      </c>
      <c r="E81" s="5" t="s">
        <v>81</v>
      </c>
      <c r="F81" s="11" t="n">
        <v>53787.58</v>
      </c>
      <c r="G81" s="12" t="n">
        <v>2.8761</v>
      </c>
      <c r="H81" s="12" t="n">
        <v>3.0273</v>
      </c>
      <c r="J81" s="8" t="n">
        <v>-0.15133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1</v>
      </c>
      <c r="M81" s="14" t="n">
        <v>-151.33</v>
      </c>
      <c r="N81" s="9" t="n">
        <v>-8139.94</v>
      </c>
      <c r="O81" s="9" t="n">
        <v>18439.39</v>
      </c>
    </row>
    <row r="82" customFormat="false" ht="15" hidden="false" customHeight="false" outlineLevel="0" collapsed="false">
      <c r="A82" s="6" t="n">
        <v>77</v>
      </c>
      <c r="B82" s="5" t="s">
        <v>288</v>
      </c>
      <c r="C82" s="5" t="s">
        <v>546</v>
      </c>
      <c r="D82" s="5" t="s">
        <v>547</v>
      </c>
      <c r="E82" s="5" t="s">
        <v>81</v>
      </c>
      <c r="F82" s="11" t="n">
        <v>28105.28</v>
      </c>
      <c r="G82" s="12" t="n">
        <v>2.8761</v>
      </c>
      <c r="H82" s="12" t="n">
        <v>3.1882</v>
      </c>
      <c r="J82" s="8" t="n">
        <v>-0.31222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2</v>
      </c>
      <c r="M82" s="14" t="n">
        <v>-312.22</v>
      </c>
      <c r="N82" s="9" t="n">
        <v>-8775</v>
      </c>
      <c r="O82" s="9" t="n">
        <v>9664.39</v>
      </c>
    </row>
    <row r="83" customFormat="false" ht="15" hidden="false" customHeight="false" outlineLevel="0" collapsed="false">
      <c r="A83" s="6" t="n">
        <v>78</v>
      </c>
      <c r="B83" s="5" t="s">
        <v>288</v>
      </c>
      <c r="C83" s="5" t="s">
        <v>547</v>
      </c>
      <c r="D83" s="5" t="s">
        <v>971</v>
      </c>
      <c r="E83" s="5" t="s">
        <v>81</v>
      </c>
      <c r="F83" s="11" t="n">
        <v>107897.23</v>
      </c>
      <c r="G83" s="12" t="n">
        <v>2.8761</v>
      </c>
      <c r="H83" s="12" t="n">
        <v>3.0451</v>
      </c>
      <c r="I83" s="5" t="s">
        <v>78</v>
      </c>
      <c r="J83" s="8" t="n">
        <v>-0.21428</v>
      </c>
      <c r="K83" s="13" t="str">
        <f aca="false">IF(J83&gt;0,"прибыль",IF(J83&lt;0,"убыток","ноль"))</f>
        <v>убыток</v>
      </c>
      <c r="L83" s="13" t="n">
        <f aca="false">IF(C83="",L82,IF(J83&lt;0,L82+1,0))</f>
        <v>3</v>
      </c>
      <c r="M83" s="14" t="n">
        <v>-214.28</v>
      </c>
      <c r="N83" s="9" t="n">
        <v>-23120.39</v>
      </c>
      <c r="O83" s="9" t="n">
        <v>-13456</v>
      </c>
    </row>
    <row r="84" customFormat="false" ht="15" hidden="false" customHeight="false" outlineLevel="0" collapsed="false">
      <c r="A84" s="6" t="n">
        <v>79</v>
      </c>
      <c r="B84" s="5" t="s">
        <v>288</v>
      </c>
      <c r="D84" s="5" t="s">
        <v>428</v>
      </c>
      <c r="E84" s="5" t="s">
        <v>77</v>
      </c>
      <c r="F84" s="11" t="n">
        <v>109669.09</v>
      </c>
      <c r="H84" s="12" t="n">
        <v>3.043</v>
      </c>
      <c r="J84" s="8" t="n">
        <v>-0.00212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3</v>
      </c>
      <c r="M84" s="14" t="n">
        <v>-2.12</v>
      </c>
      <c r="N84" s="9" t="n">
        <v>-232.37</v>
      </c>
      <c r="O84" s="9" t="n">
        <v>-13688.37</v>
      </c>
      <c r="P84" s="5" t="s">
        <v>429</v>
      </c>
    </row>
  </sheetData>
  <autoFilter ref="A5:P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972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432</v>
      </c>
      <c r="D6" s="5" t="s">
        <v>433</v>
      </c>
      <c r="E6" s="5" t="s">
        <v>81</v>
      </c>
      <c r="F6" s="11" t="n">
        <v>21039.94</v>
      </c>
      <c r="G6" s="12" t="n">
        <v>1.7043</v>
      </c>
      <c r="H6" s="12" t="n">
        <v>2.1054</v>
      </c>
      <c r="I6" s="5" t="s">
        <v>78</v>
      </c>
      <c r="J6" s="8" t="n">
        <v>-0.30298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-302.98</v>
      </c>
      <c r="N6" s="9" t="n">
        <v>-6374.76</v>
      </c>
      <c r="O6" s="9" t="n">
        <v>-6374.76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433</v>
      </c>
      <c r="D7" s="5" t="s">
        <v>973</v>
      </c>
      <c r="E7" s="5" t="s">
        <v>81</v>
      </c>
      <c r="F7" s="11" t="n">
        <v>47894.75</v>
      </c>
      <c r="G7" s="12" t="n">
        <v>1.8029</v>
      </c>
      <c r="H7" s="12" t="n">
        <v>2.3319</v>
      </c>
      <c r="J7" s="8" t="n">
        <v>-0.52926</v>
      </c>
      <c r="K7" s="13" t="str">
        <f aca="false">IF(J7&gt;0,"прибыль",IF(J7&lt;0,"убыток","ноль"))</f>
        <v>убыток</v>
      </c>
      <c r="L7" s="13" t="n">
        <f aca="false">IF(C7="",L6,IF(J7&lt;0,L6+1,0))</f>
        <v>2</v>
      </c>
      <c r="M7" s="14" t="n">
        <v>-529.26</v>
      </c>
      <c r="N7" s="9" t="n">
        <v>-25348.82</v>
      </c>
      <c r="O7" s="9" t="n">
        <v>-31723.58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973</v>
      </c>
      <c r="D8" s="5" t="s">
        <v>438</v>
      </c>
      <c r="E8" s="5" t="s">
        <v>77</v>
      </c>
      <c r="F8" s="11" t="n">
        <v>26428.22</v>
      </c>
      <c r="G8" s="12" t="n">
        <v>2.3543</v>
      </c>
      <c r="H8" s="12" t="n">
        <v>2.1916</v>
      </c>
      <c r="I8" s="5" t="s">
        <v>78</v>
      </c>
      <c r="J8" s="8" t="n">
        <v>-0.40019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3</v>
      </c>
      <c r="M8" s="14" t="n">
        <v>-400.19</v>
      </c>
      <c r="N8" s="9" t="n">
        <v>-10576.41</v>
      </c>
      <c r="O8" s="9" t="n">
        <v>-42299.99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438</v>
      </c>
      <c r="D9" s="5" t="s">
        <v>974</v>
      </c>
      <c r="E9" s="5" t="s">
        <v>77</v>
      </c>
      <c r="F9" s="11" t="n">
        <v>26334.31</v>
      </c>
      <c r="G9" s="12" t="n">
        <v>2.5916</v>
      </c>
      <c r="H9" s="12" t="n">
        <v>2.55</v>
      </c>
      <c r="I9" s="5" t="s">
        <v>78</v>
      </c>
      <c r="J9" s="8" t="n">
        <v>-0.8055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4</v>
      </c>
      <c r="M9" s="14" t="n">
        <v>-805.5</v>
      </c>
      <c r="N9" s="9" t="n">
        <v>-21212.29</v>
      </c>
      <c r="O9" s="9" t="n">
        <v>-63512.28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974</v>
      </c>
      <c r="D10" s="5" t="s">
        <v>975</v>
      </c>
      <c r="E10" s="5" t="s">
        <v>81</v>
      </c>
      <c r="F10" s="11" t="n">
        <v>39732.37</v>
      </c>
      <c r="G10" s="12" t="n">
        <v>2.7166</v>
      </c>
      <c r="H10" s="12" t="n">
        <v>2.9309</v>
      </c>
      <c r="I10" s="5" t="s">
        <v>78</v>
      </c>
      <c r="J10" s="8" t="n">
        <v>0.02832</v>
      </c>
      <c r="K10" s="13" t="str">
        <f aca="false">IF(J10&gt;0,"прибыль",IF(J10&lt;0,"убыток","ноль"))</f>
        <v>прибыль</v>
      </c>
      <c r="L10" s="13" t="n">
        <f aca="false">IF(C10="",L9,IF(J10&lt;0,L9+1,0))</f>
        <v>0</v>
      </c>
      <c r="M10" s="14" t="n">
        <v>28.32</v>
      </c>
      <c r="N10" s="9" t="n">
        <v>1125.34</v>
      </c>
      <c r="O10" s="9" t="n">
        <v>-62386.93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975</v>
      </c>
      <c r="D11" s="5" t="s">
        <v>283</v>
      </c>
      <c r="E11" s="5" t="s">
        <v>77</v>
      </c>
      <c r="F11" s="11" t="n">
        <v>45823.53</v>
      </c>
      <c r="G11" s="12" t="n">
        <v>2.9309</v>
      </c>
      <c r="H11" s="12" t="n">
        <v>2.8935</v>
      </c>
      <c r="J11" s="8" t="n">
        <v>-0.03771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1</v>
      </c>
      <c r="M11" s="14" t="n">
        <v>-37.71</v>
      </c>
      <c r="N11" s="9" t="n">
        <v>-1728.01</v>
      </c>
      <c r="O11" s="9" t="n">
        <v>-64114.95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283</v>
      </c>
      <c r="D12" s="5" t="s">
        <v>446</v>
      </c>
      <c r="E12" s="5" t="s">
        <v>81</v>
      </c>
      <c r="F12" s="11" t="n">
        <v>12168.74</v>
      </c>
      <c r="G12" s="12" t="n">
        <v>2.8031</v>
      </c>
      <c r="H12" s="12" t="n">
        <v>2.9746</v>
      </c>
      <c r="I12" s="5" t="s">
        <v>78</v>
      </c>
      <c r="J12" s="8" t="n">
        <v>0.22011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220.11</v>
      </c>
      <c r="N12" s="9" t="n">
        <v>2678.4</v>
      </c>
      <c r="O12" s="9" t="n">
        <v>-61436.54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446</v>
      </c>
      <c r="D13" s="5" t="s">
        <v>976</v>
      </c>
      <c r="E13" s="5" t="s">
        <v>81</v>
      </c>
      <c r="F13" s="11" t="n">
        <v>105573.49</v>
      </c>
      <c r="G13" s="12" t="n">
        <v>2.9056</v>
      </c>
      <c r="H13" s="12" t="n">
        <v>2.9211</v>
      </c>
      <c r="I13" s="5" t="s">
        <v>78</v>
      </c>
      <c r="J13" s="8" t="n">
        <v>0.07903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79.03</v>
      </c>
      <c r="N13" s="9" t="n">
        <v>8343.71</v>
      </c>
      <c r="O13" s="9" t="n">
        <v>-53092.83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976</v>
      </c>
      <c r="D14" s="5" t="s">
        <v>625</v>
      </c>
      <c r="E14" s="5" t="s">
        <v>77</v>
      </c>
      <c r="F14" s="11" t="n">
        <v>24115.4</v>
      </c>
      <c r="G14" s="12" t="n">
        <v>2.9211</v>
      </c>
      <c r="H14" s="12" t="n">
        <v>2.9992</v>
      </c>
      <c r="J14" s="8" t="n">
        <v>0.07798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77.98</v>
      </c>
      <c r="N14" s="9" t="n">
        <v>1880.46</v>
      </c>
      <c r="O14" s="9" t="n">
        <v>-51212.37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625</v>
      </c>
      <c r="D15" s="5" t="s">
        <v>778</v>
      </c>
      <c r="E15" s="5" t="s">
        <v>77</v>
      </c>
      <c r="F15" s="11" t="n">
        <v>15022.47</v>
      </c>
      <c r="G15" s="12" t="n">
        <v>2.9211</v>
      </c>
      <c r="H15" s="12" t="n">
        <v>3.5651</v>
      </c>
      <c r="I15" s="5" t="s">
        <v>78</v>
      </c>
      <c r="J15" s="8" t="n">
        <v>0.46931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469.31</v>
      </c>
      <c r="N15" s="9" t="n">
        <v>7050.27</v>
      </c>
      <c r="O15" s="9" t="n">
        <v>-44162.11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778</v>
      </c>
      <c r="D16" s="5" t="s">
        <v>451</v>
      </c>
      <c r="E16" s="5" t="s">
        <v>77</v>
      </c>
      <c r="F16" s="11" t="n">
        <v>15734.31</v>
      </c>
      <c r="G16" s="12" t="n">
        <v>3.0956</v>
      </c>
      <c r="H16" s="12" t="n">
        <v>4.1776</v>
      </c>
      <c r="I16" s="5" t="s">
        <v>78</v>
      </c>
      <c r="J16" s="8" t="n">
        <v>1.10751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1107.51</v>
      </c>
      <c r="N16" s="9" t="n">
        <v>17425.9</v>
      </c>
      <c r="O16" s="9" t="n">
        <v>-26736.2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451</v>
      </c>
      <c r="D17" s="5" t="s">
        <v>452</v>
      </c>
      <c r="E17" s="5" t="s">
        <v>77</v>
      </c>
      <c r="F17" s="11" t="n">
        <v>10572.2</v>
      </c>
      <c r="G17" s="12" t="n">
        <v>3.0699</v>
      </c>
      <c r="H17" s="12" t="n">
        <v>4.9153</v>
      </c>
      <c r="I17" s="5" t="s">
        <v>78</v>
      </c>
      <c r="J17" s="8" t="n">
        <v>1.68306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1683.06</v>
      </c>
      <c r="N17" s="9" t="n">
        <v>17793.64</v>
      </c>
      <c r="O17" s="9" t="n">
        <v>-8942.56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452</v>
      </c>
      <c r="D18" s="5" t="s">
        <v>453</v>
      </c>
      <c r="E18" s="5" t="s">
        <v>77</v>
      </c>
      <c r="F18" s="11" t="n">
        <v>9987.29</v>
      </c>
      <c r="G18" s="12" t="n">
        <v>3.232</v>
      </c>
      <c r="H18" s="12" t="n">
        <v>5.6948</v>
      </c>
      <c r="J18" s="8" t="n">
        <v>2.46252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2462.52</v>
      </c>
      <c r="N18" s="9" t="n">
        <v>24593.93</v>
      </c>
      <c r="O18" s="9" t="n">
        <v>15651.37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453</v>
      </c>
      <c r="D19" s="5" t="s">
        <v>454</v>
      </c>
      <c r="E19" s="5" t="s">
        <v>77</v>
      </c>
      <c r="F19" s="11" t="n">
        <v>4769.23</v>
      </c>
      <c r="G19" s="12" t="n">
        <v>3.232</v>
      </c>
      <c r="H19" s="12" t="n">
        <v>5.8046</v>
      </c>
      <c r="I19" s="5" t="s">
        <v>78</v>
      </c>
      <c r="J19" s="8" t="n">
        <v>2.51221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2512.21</v>
      </c>
      <c r="N19" s="9" t="n">
        <v>11981.33</v>
      </c>
      <c r="O19" s="9" t="n">
        <v>27632.7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454</v>
      </c>
      <c r="D20" s="5" t="s">
        <v>455</v>
      </c>
      <c r="E20" s="5" t="s">
        <v>77</v>
      </c>
      <c r="F20" s="11" t="n">
        <v>3407.98</v>
      </c>
      <c r="G20" s="12" t="n">
        <v>3.2921</v>
      </c>
      <c r="H20" s="12" t="n">
        <v>5.9809</v>
      </c>
      <c r="J20" s="8" t="n">
        <v>2.68859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2688.59</v>
      </c>
      <c r="N20" s="9" t="n">
        <v>9162.66</v>
      </c>
      <c r="O20" s="9" t="n">
        <v>36795.36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455</v>
      </c>
      <c r="D21" s="5" t="s">
        <v>597</v>
      </c>
      <c r="E21" s="5" t="s">
        <v>77</v>
      </c>
      <c r="F21" s="11" t="n">
        <v>17677.07</v>
      </c>
      <c r="G21" s="12" t="n">
        <v>3.8645</v>
      </c>
      <c r="H21" s="12" t="n">
        <v>4.2451</v>
      </c>
      <c r="I21" s="5" t="s">
        <v>78</v>
      </c>
      <c r="J21" s="8" t="n">
        <v>-0.05263</v>
      </c>
      <c r="K21" s="13" t="str">
        <f aca="false">IF(J21&gt;0,"прибыль",IF(J21&lt;0,"убыток","ноль"))</f>
        <v>убыток</v>
      </c>
      <c r="L21" s="13" t="n">
        <f aca="false">IF(C21="",L20,IF(J21&lt;0,L20+1,0))</f>
        <v>1</v>
      </c>
      <c r="M21" s="14" t="n">
        <v>-52.63</v>
      </c>
      <c r="N21" s="9" t="n">
        <v>-930.36</v>
      </c>
      <c r="O21" s="9" t="n">
        <v>35865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597</v>
      </c>
      <c r="D22" s="5" t="s">
        <v>457</v>
      </c>
      <c r="E22" s="5" t="s">
        <v>81</v>
      </c>
      <c r="F22" s="11" t="n">
        <v>13195.86</v>
      </c>
      <c r="G22" s="12" t="n">
        <v>4.0815</v>
      </c>
      <c r="H22" s="12" t="n">
        <v>4.8299</v>
      </c>
      <c r="I22" s="5" t="s">
        <v>78</v>
      </c>
      <c r="J22" s="8" t="n">
        <v>-0.95313</v>
      </c>
      <c r="K22" s="13" t="str">
        <f aca="false">IF(J22&gt;0,"прибыль",IF(J22&lt;0,"убыток","ноль"))</f>
        <v>убыток</v>
      </c>
      <c r="L22" s="13" t="n">
        <f aca="false">IF(C22="",L21,IF(J22&lt;0,L21+1,0))</f>
        <v>2</v>
      </c>
      <c r="M22" s="14" t="n">
        <v>-953.13</v>
      </c>
      <c r="N22" s="9" t="n">
        <v>-12577.31</v>
      </c>
      <c r="O22" s="9" t="n">
        <v>23287.69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457</v>
      </c>
      <c r="D23" s="5" t="s">
        <v>458</v>
      </c>
      <c r="E23" s="5" t="s">
        <v>81</v>
      </c>
      <c r="F23" s="11" t="n">
        <v>4564.58</v>
      </c>
      <c r="G23" s="12" t="n">
        <v>3.8772</v>
      </c>
      <c r="H23" s="12" t="n">
        <v>5.4498</v>
      </c>
      <c r="I23" s="5" t="s">
        <v>78</v>
      </c>
      <c r="J23" s="8" t="n">
        <v>-1.4995</v>
      </c>
      <c r="K23" s="13" t="str">
        <f aca="false">IF(J23&gt;0,"прибыль",IF(J23&lt;0,"убыток","ноль"))</f>
        <v>убыток</v>
      </c>
      <c r="L23" s="13" t="n">
        <f aca="false">IF(C23="",L22,IF(J23&lt;0,L22+1,0))</f>
        <v>3</v>
      </c>
      <c r="M23" s="14" t="n">
        <v>-1499.5</v>
      </c>
      <c r="N23" s="9" t="n">
        <v>-6844.58</v>
      </c>
      <c r="O23" s="9" t="n">
        <v>16443.11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458</v>
      </c>
      <c r="D24" s="5" t="s">
        <v>977</v>
      </c>
      <c r="E24" s="5" t="s">
        <v>81</v>
      </c>
      <c r="F24" s="11" t="n">
        <v>24169.78</v>
      </c>
      <c r="G24" s="12" t="n">
        <v>4.09</v>
      </c>
      <c r="H24" s="12" t="n">
        <v>4.6807</v>
      </c>
      <c r="I24" s="5" t="s">
        <v>78</v>
      </c>
      <c r="J24" s="8" t="n">
        <v>-0.52399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4</v>
      </c>
      <c r="M24" s="14" t="n">
        <v>-523.99</v>
      </c>
      <c r="N24" s="9" t="n">
        <v>-12664.6</v>
      </c>
      <c r="O24" s="9" t="n">
        <v>3778.51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977</v>
      </c>
      <c r="D25" s="5" t="s">
        <v>460</v>
      </c>
      <c r="E25" s="5" t="s">
        <v>77</v>
      </c>
      <c r="F25" s="11" t="n">
        <v>11038.57</v>
      </c>
      <c r="G25" s="12" t="n">
        <v>5.2034</v>
      </c>
      <c r="H25" s="12" t="n">
        <v>7.1895</v>
      </c>
      <c r="I25" s="5" t="s">
        <v>78</v>
      </c>
      <c r="J25" s="8" t="n">
        <v>2.30383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2303.83</v>
      </c>
      <c r="N25" s="9" t="n">
        <v>25430.94</v>
      </c>
      <c r="O25" s="9" t="n">
        <v>29209.45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460</v>
      </c>
      <c r="D26" s="5" t="s">
        <v>461</v>
      </c>
      <c r="E26" s="5" t="s">
        <v>77</v>
      </c>
      <c r="F26" s="11" t="n">
        <v>7242.31</v>
      </c>
      <c r="G26" s="12" t="n">
        <v>4.885</v>
      </c>
      <c r="H26" s="12" t="n">
        <v>6.8356</v>
      </c>
      <c r="J26" s="8" t="n">
        <v>1.9503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1950.3</v>
      </c>
      <c r="N26" s="9" t="n">
        <v>14124.69</v>
      </c>
      <c r="O26" s="9" t="n">
        <v>43334.14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461</v>
      </c>
      <c r="D27" s="5" t="s">
        <v>462</v>
      </c>
      <c r="E27" s="5" t="s">
        <v>77</v>
      </c>
      <c r="F27" s="11" t="n">
        <v>5097.33</v>
      </c>
      <c r="G27" s="12" t="n">
        <v>4.885</v>
      </c>
      <c r="H27" s="12" t="n">
        <v>7.6313</v>
      </c>
      <c r="I27" s="5" t="s">
        <v>78</v>
      </c>
      <c r="J27" s="8" t="n">
        <v>2.5677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2567.7</v>
      </c>
      <c r="N27" s="9" t="n">
        <v>13088.41</v>
      </c>
      <c r="O27" s="9" t="n">
        <v>56422.55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462</v>
      </c>
      <c r="D28" s="5" t="s">
        <v>463</v>
      </c>
      <c r="E28" s="5" t="s">
        <v>77</v>
      </c>
      <c r="F28" s="11" t="n">
        <v>4061.51</v>
      </c>
      <c r="G28" s="12" t="n">
        <v>6.0236</v>
      </c>
      <c r="H28" s="12" t="n">
        <v>7.4956</v>
      </c>
      <c r="I28" s="5" t="s">
        <v>78</v>
      </c>
      <c r="J28" s="8" t="n">
        <v>1.55567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1555.67</v>
      </c>
      <c r="N28" s="9" t="n">
        <v>6318.38</v>
      </c>
      <c r="O28" s="9" t="n">
        <v>62740.94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463</v>
      </c>
      <c r="D29" s="5" t="s">
        <v>323</v>
      </c>
      <c r="E29" s="5" t="s">
        <v>77</v>
      </c>
      <c r="F29" s="11" t="n">
        <v>17714.46</v>
      </c>
      <c r="G29" s="12" t="n">
        <v>5.9749</v>
      </c>
      <c r="H29" s="12" t="n">
        <v>6.1556</v>
      </c>
      <c r="I29" s="5" t="s">
        <v>78</v>
      </c>
      <c r="J29" s="8" t="n">
        <v>-0.14164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1</v>
      </c>
      <c r="M29" s="14" t="n">
        <v>-141.64</v>
      </c>
      <c r="N29" s="9" t="n">
        <v>-2509.15</v>
      </c>
      <c r="O29" s="9" t="n">
        <v>60231.78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323</v>
      </c>
      <c r="D30" s="5" t="s">
        <v>599</v>
      </c>
      <c r="E30" s="5" t="s">
        <v>81</v>
      </c>
      <c r="F30" s="11" t="n">
        <v>3711.03</v>
      </c>
      <c r="G30" s="12" t="n">
        <v>6.1556</v>
      </c>
      <c r="H30" s="12" t="n">
        <v>7.4035</v>
      </c>
      <c r="J30" s="8" t="n">
        <v>-1.24821</v>
      </c>
      <c r="K30" s="13" t="str">
        <f aca="false">IF(J30&gt;0,"прибыль",IF(J30&lt;0,"убыток","ноль"))</f>
        <v>убыток</v>
      </c>
      <c r="L30" s="13" t="n">
        <f aca="false">IF(C30="",L29,IF(J30&lt;0,L29+1,0))</f>
        <v>2</v>
      </c>
      <c r="M30" s="14" t="n">
        <v>-1248.21</v>
      </c>
      <c r="N30" s="9" t="n">
        <v>-4632.13</v>
      </c>
      <c r="O30" s="9" t="n">
        <v>55599.65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599</v>
      </c>
      <c r="D31" s="5" t="s">
        <v>952</v>
      </c>
      <c r="E31" s="5" t="s">
        <v>81</v>
      </c>
      <c r="F31" s="11" t="n">
        <v>13986.51</v>
      </c>
      <c r="G31" s="12" t="n">
        <v>6.1556</v>
      </c>
      <c r="H31" s="12" t="n">
        <v>8.2345</v>
      </c>
      <c r="I31" s="5" t="s">
        <v>78</v>
      </c>
      <c r="J31" s="8" t="n">
        <v>-2.38076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3</v>
      </c>
      <c r="M31" s="14" t="n">
        <v>-2380.76</v>
      </c>
      <c r="N31" s="9" t="n">
        <v>-33298.53</v>
      </c>
      <c r="O31" s="9" t="n">
        <v>22301.12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952</v>
      </c>
      <c r="D32" s="5" t="s">
        <v>978</v>
      </c>
      <c r="E32" s="5" t="s">
        <v>77</v>
      </c>
      <c r="F32" s="11" t="n">
        <v>16270.84</v>
      </c>
      <c r="G32" s="12" t="n">
        <v>8.4538</v>
      </c>
      <c r="H32" s="12" t="n">
        <v>6.975</v>
      </c>
      <c r="I32" s="5" t="s">
        <v>78</v>
      </c>
      <c r="J32" s="8" t="n">
        <v>-2.09246</v>
      </c>
      <c r="K32" s="13" t="str">
        <f aca="false">IF(J32&gt;0,"прибыль",IF(J32&lt;0,"убыток","ноль"))</f>
        <v>убыток</v>
      </c>
      <c r="L32" s="13" t="n">
        <f aca="false">IF(C32="",L31,IF(J32&lt;0,L31+1,0))</f>
        <v>4</v>
      </c>
      <c r="M32" s="14" t="n">
        <v>-2092.46</v>
      </c>
      <c r="N32" s="9" t="n">
        <v>-34046.03</v>
      </c>
      <c r="O32" s="9" t="n">
        <v>-11744.91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978</v>
      </c>
      <c r="D33" s="5" t="s">
        <v>466</v>
      </c>
      <c r="E33" s="5" t="s">
        <v>81</v>
      </c>
      <c r="F33" s="11" t="n">
        <v>10190.19</v>
      </c>
      <c r="G33" s="12" t="n">
        <v>6.5778</v>
      </c>
      <c r="H33" s="12" t="n">
        <v>5.7217</v>
      </c>
      <c r="J33" s="8" t="n">
        <v>0.85542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855.42</v>
      </c>
      <c r="N33" s="9" t="n">
        <v>8716.92</v>
      </c>
      <c r="O33" s="9" t="n">
        <v>-3027.99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466</v>
      </c>
      <c r="D34" s="5" t="s">
        <v>335</v>
      </c>
      <c r="E34" s="5" t="s">
        <v>81</v>
      </c>
      <c r="F34" s="11" t="n">
        <v>6600.91</v>
      </c>
      <c r="G34" s="12" t="n">
        <v>6.5778</v>
      </c>
      <c r="H34" s="12" t="n">
        <v>6.7698</v>
      </c>
      <c r="I34" s="5" t="s">
        <v>78</v>
      </c>
      <c r="J34" s="8" t="n">
        <v>0.25483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254.83</v>
      </c>
      <c r="N34" s="9" t="n">
        <v>1682.09</v>
      </c>
      <c r="O34" s="9" t="n">
        <v>-1345.89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335</v>
      </c>
      <c r="D35" s="5" t="s">
        <v>468</v>
      </c>
      <c r="E35" s="5" t="s">
        <v>81</v>
      </c>
      <c r="F35" s="11" t="n">
        <v>4751.06</v>
      </c>
      <c r="G35" s="12" t="n">
        <v>6.6762</v>
      </c>
      <c r="H35" s="12" t="n">
        <v>6.8721</v>
      </c>
      <c r="I35" s="5" t="s">
        <v>78</v>
      </c>
      <c r="J35" s="8" t="n">
        <v>0.11131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111.31</v>
      </c>
      <c r="N35" s="9" t="n">
        <v>528.83</v>
      </c>
      <c r="O35" s="9" t="n">
        <v>-817.06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468</v>
      </c>
      <c r="D36" s="5" t="s">
        <v>469</v>
      </c>
      <c r="E36" s="5" t="s">
        <v>81</v>
      </c>
      <c r="F36" s="11" t="n">
        <v>9716.21</v>
      </c>
      <c r="G36" s="12" t="n">
        <v>4.346</v>
      </c>
      <c r="H36" s="12" t="n">
        <v>2.8047</v>
      </c>
      <c r="I36" s="5" t="s">
        <v>78</v>
      </c>
      <c r="J36" s="8" t="n">
        <v>2.26794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2267.94</v>
      </c>
      <c r="N36" s="9" t="n">
        <v>22035.8</v>
      </c>
      <c r="O36" s="9" t="n">
        <v>21218.74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469</v>
      </c>
      <c r="D37" s="5" t="s">
        <v>470</v>
      </c>
      <c r="E37" s="5" t="s">
        <v>81</v>
      </c>
      <c r="F37" s="11" t="n">
        <v>15694.8</v>
      </c>
      <c r="G37" s="12" t="n">
        <v>3.2502</v>
      </c>
      <c r="H37" s="12" t="n">
        <v>2.3317</v>
      </c>
      <c r="I37" s="5" t="s">
        <v>78</v>
      </c>
      <c r="J37" s="8" t="n">
        <v>1.32317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1323.17</v>
      </c>
      <c r="N37" s="9" t="n">
        <v>20766.95</v>
      </c>
      <c r="O37" s="9" t="n">
        <v>41985.69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470</v>
      </c>
      <c r="D38" s="5" t="s">
        <v>344</v>
      </c>
      <c r="E38" s="5" t="s">
        <v>81</v>
      </c>
      <c r="F38" s="11" t="n">
        <v>52929.42</v>
      </c>
      <c r="G38" s="12" t="n">
        <v>3.6553</v>
      </c>
      <c r="H38" s="12" t="n">
        <v>2.6771</v>
      </c>
      <c r="I38" s="5" t="s">
        <v>78</v>
      </c>
      <c r="J38" s="8" t="n">
        <v>1.28969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1289.69</v>
      </c>
      <c r="N38" s="9" t="n">
        <v>68262.28</v>
      </c>
      <c r="O38" s="9" t="n">
        <v>110247.97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344</v>
      </c>
      <c r="D39" s="5" t="s">
        <v>472</v>
      </c>
      <c r="E39" s="5" t="s">
        <v>77</v>
      </c>
      <c r="F39" s="11" t="n">
        <v>22392.3</v>
      </c>
      <c r="G39" s="12" t="n">
        <v>2.6392</v>
      </c>
      <c r="H39" s="12" t="n">
        <v>2.9751</v>
      </c>
      <c r="I39" s="5" t="s">
        <v>78</v>
      </c>
      <c r="J39" s="8" t="n">
        <v>0.37122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371.22</v>
      </c>
      <c r="N39" s="9" t="n">
        <v>8312.47</v>
      </c>
      <c r="O39" s="9" t="n">
        <v>118560.44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472</v>
      </c>
      <c r="D40" s="5" t="s">
        <v>631</v>
      </c>
      <c r="E40" s="5" t="s">
        <v>77</v>
      </c>
      <c r="F40" s="11" t="n">
        <v>14655.67</v>
      </c>
      <c r="G40" s="12" t="n">
        <v>2.5656</v>
      </c>
      <c r="H40" s="12" t="n">
        <v>3.3143</v>
      </c>
      <c r="I40" s="5" t="s">
        <v>78</v>
      </c>
      <c r="J40" s="8" t="n">
        <v>0.3754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375.4</v>
      </c>
      <c r="N40" s="9" t="n">
        <v>5501.72</v>
      </c>
      <c r="O40" s="9" t="n">
        <v>124062.16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631</v>
      </c>
      <c r="D41" s="5" t="s">
        <v>479</v>
      </c>
      <c r="E41" s="5" t="s">
        <v>77</v>
      </c>
      <c r="F41" s="11" t="n">
        <v>16615.33</v>
      </c>
      <c r="G41" s="12" t="n">
        <v>2.9467</v>
      </c>
      <c r="H41" s="12" t="n">
        <v>3.5684</v>
      </c>
      <c r="I41" s="5" t="s">
        <v>78</v>
      </c>
      <c r="J41" s="8" t="n">
        <v>0.461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461</v>
      </c>
      <c r="N41" s="9" t="n">
        <v>7659.64</v>
      </c>
      <c r="O41" s="9" t="n">
        <v>131721.8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479</v>
      </c>
      <c r="D42" s="5" t="s">
        <v>979</v>
      </c>
      <c r="E42" s="5" t="s">
        <v>77</v>
      </c>
      <c r="F42" s="11" t="n">
        <v>51404.26</v>
      </c>
      <c r="G42" s="12" t="n">
        <v>3.125</v>
      </c>
      <c r="H42" s="12" t="n">
        <v>2.7892</v>
      </c>
      <c r="J42" s="8" t="n">
        <v>-0.33611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1</v>
      </c>
      <c r="M42" s="14" t="n">
        <v>-336.11</v>
      </c>
      <c r="N42" s="9" t="n">
        <v>-17277.55</v>
      </c>
      <c r="O42" s="9" t="n">
        <v>114444.25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979</v>
      </c>
      <c r="D43" s="5" t="s">
        <v>486</v>
      </c>
      <c r="E43" s="5" t="s">
        <v>81</v>
      </c>
      <c r="F43" s="11" t="n">
        <v>23174.61</v>
      </c>
      <c r="G43" s="12" t="n">
        <v>2.6932</v>
      </c>
      <c r="H43" s="12" t="n">
        <v>2.5309</v>
      </c>
      <c r="I43" s="5" t="s">
        <v>78</v>
      </c>
      <c r="J43" s="8" t="n">
        <v>0.22267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222.67</v>
      </c>
      <c r="N43" s="9" t="n">
        <v>5160.33</v>
      </c>
      <c r="O43" s="9" t="n">
        <v>119604.58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486</v>
      </c>
      <c r="D44" s="5" t="s">
        <v>487</v>
      </c>
      <c r="E44" s="5" t="s">
        <v>81</v>
      </c>
      <c r="F44" s="11" t="n">
        <v>17299.29</v>
      </c>
      <c r="G44" s="12" t="n">
        <v>2.7539</v>
      </c>
      <c r="H44" s="12" t="n">
        <v>2.5838</v>
      </c>
      <c r="J44" s="8" t="n">
        <v>0.17</v>
      </c>
      <c r="K44" s="13" t="str">
        <f aca="false">IF(J44&gt;0,"прибыль",IF(J44&lt;0,"убыток","ноль"))</f>
        <v>прибыль</v>
      </c>
      <c r="L44" s="13" t="n">
        <f aca="false">IF(C44="",L43,IF(J44&lt;0,L43+1,0))</f>
        <v>0</v>
      </c>
      <c r="M44" s="14" t="n">
        <v>170</v>
      </c>
      <c r="N44" s="9" t="n">
        <v>2940.95</v>
      </c>
      <c r="O44" s="9" t="n">
        <v>122545.53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487</v>
      </c>
      <c r="D45" s="5" t="s">
        <v>488</v>
      </c>
      <c r="E45" s="5" t="s">
        <v>81</v>
      </c>
      <c r="F45" s="11" t="n">
        <v>14780.56</v>
      </c>
      <c r="G45" s="12" t="n">
        <v>2.7539</v>
      </c>
      <c r="H45" s="12" t="n">
        <v>2.8111</v>
      </c>
      <c r="I45" s="5" t="s">
        <v>78</v>
      </c>
      <c r="J45" s="8" t="n">
        <v>-0.12424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1</v>
      </c>
      <c r="M45" s="14" t="n">
        <v>-124.24</v>
      </c>
      <c r="N45" s="9" t="n">
        <v>-1836.31</v>
      </c>
      <c r="O45" s="9" t="n">
        <v>120709.22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488</v>
      </c>
      <c r="D46" s="5" t="s">
        <v>490</v>
      </c>
      <c r="E46" s="5" t="s">
        <v>81</v>
      </c>
      <c r="F46" s="11" t="n">
        <v>9389.28</v>
      </c>
      <c r="G46" s="12" t="n">
        <v>2.687</v>
      </c>
      <c r="H46" s="12" t="n">
        <v>2.8365</v>
      </c>
      <c r="J46" s="8" t="n">
        <v>-0.14973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2</v>
      </c>
      <c r="M46" s="14" t="n">
        <v>-149.73</v>
      </c>
      <c r="N46" s="9" t="n">
        <v>-1405.83</v>
      </c>
      <c r="O46" s="9" t="n">
        <v>119303.39</v>
      </c>
    </row>
    <row r="47" customFormat="false" ht="15" hidden="false" customHeight="false" outlineLevel="0" collapsed="false">
      <c r="A47" s="6" t="n">
        <v>42</v>
      </c>
      <c r="B47" s="5" t="s">
        <v>491</v>
      </c>
      <c r="C47" s="5" t="s">
        <v>490</v>
      </c>
      <c r="D47" s="5" t="s">
        <v>492</v>
      </c>
      <c r="E47" s="5" t="s">
        <v>81</v>
      </c>
      <c r="F47" s="11" t="n">
        <v>16612.06</v>
      </c>
      <c r="G47" s="12" t="n">
        <v>2.2858</v>
      </c>
      <c r="H47" s="12" t="n">
        <v>2.0333</v>
      </c>
      <c r="I47" s="5" t="s">
        <v>78</v>
      </c>
      <c r="J47" s="8" t="n">
        <v>0.55915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559.15</v>
      </c>
      <c r="N47" s="9" t="n">
        <v>9288.7</v>
      </c>
      <c r="O47" s="9" t="n">
        <v>128592.1</v>
      </c>
    </row>
    <row r="48" customFormat="false" ht="15" hidden="false" customHeight="false" outlineLevel="0" collapsed="false">
      <c r="A48" s="6" t="n">
        <v>43</v>
      </c>
      <c r="B48" s="5" t="s">
        <v>288</v>
      </c>
      <c r="C48" s="5" t="s">
        <v>492</v>
      </c>
      <c r="D48" s="5" t="s">
        <v>493</v>
      </c>
      <c r="E48" s="5" t="s">
        <v>81</v>
      </c>
      <c r="F48" s="11" t="n">
        <v>15834.02</v>
      </c>
      <c r="G48" s="12" t="n">
        <v>2.5929</v>
      </c>
      <c r="H48" s="12" t="n">
        <v>2.6708</v>
      </c>
      <c r="J48" s="8" t="n">
        <v>-0.07809</v>
      </c>
      <c r="K48" s="13" t="str">
        <f aca="false">IF(J48&gt;0,"прибыль",IF(J48&lt;0,"убыток","ноль"))</f>
        <v>убыток</v>
      </c>
      <c r="L48" s="13" t="n">
        <f aca="false">IF(C48="",L47,IF(J48&lt;0,L47+1,0))</f>
        <v>1</v>
      </c>
      <c r="M48" s="14" t="n">
        <v>-78.09</v>
      </c>
      <c r="N48" s="9" t="n">
        <v>-1236.46</v>
      </c>
      <c r="O48" s="9" t="n">
        <v>127355.64</v>
      </c>
    </row>
    <row r="49" customFormat="false" ht="15" hidden="false" customHeight="false" outlineLevel="0" collapsed="false">
      <c r="A49" s="6" t="n">
        <v>44</v>
      </c>
      <c r="B49" s="5" t="s">
        <v>288</v>
      </c>
      <c r="C49" s="5" t="s">
        <v>493</v>
      </c>
      <c r="D49" s="5" t="s">
        <v>980</v>
      </c>
      <c r="E49" s="5" t="s">
        <v>81</v>
      </c>
      <c r="F49" s="11" t="n">
        <v>44848.58</v>
      </c>
      <c r="G49" s="12" t="n">
        <v>2.5929</v>
      </c>
      <c r="H49" s="12" t="n">
        <v>2.7556</v>
      </c>
      <c r="I49" s="5" t="s">
        <v>78</v>
      </c>
      <c r="J49" s="8" t="n">
        <v>-0.0929</v>
      </c>
      <c r="K49" s="13" t="str">
        <f aca="false">IF(J49&gt;0,"прибыль",IF(J49&lt;0,"убыток","ноль"))</f>
        <v>убыток</v>
      </c>
      <c r="L49" s="13" t="n">
        <f aca="false">IF(C49="",L48,IF(J49&lt;0,L48+1,0))</f>
        <v>2</v>
      </c>
      <c r="M49" s="14" t="n">
        <v>-92.9</v>
      </c>
      <c r="N49" s="9" t="n">
        <v>-4166.45</v>
      </c>
      <c r="O49" s="9" t="n">
        <v>123189.19</v>
      </c>
    </row>
    <row r="50" customFormat="false" ht="15" hidden="false" customHeight="false" outlineLevel="0" collapsed="false">
      <c r="A50" s="6" t="n">
        <v>45</v>
      </c>
      <c r="B50" s="5" t="s">
        <v>288</v>
      </c>
      <c r="C50" s="5" t="s">
        <v>980</v>
      </c>
      <c r="D50" s="5" t="s">
        <v>494</v>
      </c>
      <c r="E50" s="5" t="s">
        <v>77</v>
      </c>
      <c r="F50" s="11" t="n">
        <v>10168.66</v>
      </c>
      <c r="G50" s="12" t="n">
        <v>2.7556</v>
      </c>
      <c r="H50" s="12" t="n">
        <v>3.0283</v>
      </c>
      <c r="J50" s="8" t="n">
        <v>0.27253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272.53</v>
      </c>
      <c r="N50" s="9" t="n">
        <v>2771.23</v>
      </c>
      <c r="O50" s="9" t="n">
        <v>125960.42</v>
      </c>
    </row>
    <row r="51" customFormat="false" ht="15" hidden="false" customHeight="false" outlineLevel="0" collapsed="false">
      <c r="A51" s="6" t="n">
        <v>46</v>
      </c>
      <c r="B51" s="5" t="s">
        <v>288</v>
      </c>
      <c r="C51" s="5" t="s">
        <v>494</v>
      </c>
      <c r="D51" s="5" t="s">
        <v>607</v>
      </c>
      <c r="E51" s="5" t="s">
        <v>77</v>
      </c>
      <c r="F51" s="11" t="n">
        <v>71693.1</v>
      </c>
      <c r="G51" s="12" t="n">
        <v>2.5886</v>
      </c>
      <c r="H51" s="12" t="n">
        <v>2.1584</v>
      </c>
      <c r="I51" s="5" t="s">
        <v>78</v>
      </c>
      <c r="J51" s="8" t="n">
        <v>-0.43612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1</v>
      </c>
      <c r="M51" s="14" t="n">
        <v>-436.12</v>
      </c>
      <c r="N51" s="9" t="n">
        <v>-31267.15</v>
      </c>
      <c r="O51" s="9" t="n">
        <v>94693.27</v>
      </c>
    </row>
    <row r="52" customFormat="false" ht="15" hidden="false" customHeight="false" outlineLevel="0" collapsed="false">
      <c r="A52" s="6" t="n">
        <v>47</v>
      </c>
      <c r="B52" s="5" t="s">
        <v>288</v>
      </c>
      <c r="C52" s="5" t="s">
        <v>607</v>
      </c>
      <c r="D52" s="5" t="s">
        <v>505</v>
      </c>
      <c r="E52" s="5" t="s">
        <v>81</v>
      </c>
      <c r="F52" s="11" t="n">
        <v>16592.09</v>
      </c>
      <c r="G52" s="12" t="n">
        <v>2.1584</v>
      </c>
      <c r="H52" s="12" t="n">
        <v>2.6512</v>
      </c>
      <c r="I52" s="5" t="s">
        <v>78</v>
      </c>
      <c r="J52" s="8" t="n">
        <v>-0.1393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2</v>
      </c>
      <c r="M52" s="14" t="n">
        <v>-139.3</v>
      </c>
      <c r="N52" s="9" t="n">
        <v>-2311.22</v>
      </c>
      <c r="O52" s="9" t="n">
        <v>92382.05</v>
      </c>
    </row>
    <row r="53" customFormat="false" ht="15" hidden="false" customHeight="false" outlineLevel="0" collapsed="false">
      <c r="A53" s="6" t="n">
        <v>48</v>
      </c>
      <c r="B53" s="5" t="s">
        <v>288</v>
      </c>
      <c r="C53" s="5" t="s">
        <v>505</v>
      </c>
      <c r="D53" s="5" t="s">
        <v>506</v>
      </c>
      <c r="E53" s="5" t="s">
        <v>81</v>
      </c>
      <c r="F53" s="11" t="n">
        <v>10134.51</v>
      </c>
      <c r="G53" s="12" t="n">
        <v>2.4474</v>
      </c>
      <c r="H53" s="12" t="n">
        <v>2.9619</v>
      </c>
      <c r="I53" s="5" t="s">
        <v>78</v>
      </c>
      <c r="J53" s="8" t="n">
        <v>0.25223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252.23</v>
      </c>
      <c r="N53" s="9" t="n">
        <v>2556.24</v>
      </c>
      <c r="O53" s="9" t="n">
        <v>94938.29</v>
      </c>
    </row>
    <row r="54" customFormat="false" ht="15" hidden="false" customHeight="false" outlineLevel="0" collapsed="false">
      <c r="A54" s="6" t="n">
        <v>49</v>
      </c>
      <c r="B54" s="5" t="s">
        <v>288</v>
      </c>
      <c r="C54" s="5" t="s">
        <v>506</v>
      </c>
      <c r="D54" s="5" t="s">
        <v>635</v>
      </c>
      <c r="E54" s="5" t="s">
        <v>81</v>
      </c>
      <c r="F54" s="11" t="n">
        <v>8099.8</v>
      </c>
      <c r="G54" s="12" t="n">
        <v>3.2144</v>
      </c>
      <c r="H54" s="12" t="n">
        <v>3.3776</v>
      </c>
      <c r="J54" s="8" t="n">
        <v>-0.16343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1</v>
      </c>
      <c r="M54" s="14" t="n">
        <v>-163.43</v>
      </c>
      <c r="N54" s="9" t="n">
        <v>-1323.74</v>
      </c>
      <c r="O54" s="9" t="n">
        <v>93614.56</v>
      </c>
    </row>
    <row r="55" customFormat="false" ht="15" hidden="false" customHeight="false" outlineLevel="0" collapsed="false">
      <c r="A55" s="6" t="n">
        <v>50</v>
      </c>
      <c r="B55" s="5" t="s">
        <v>288</v>
      </c>
      <c r="C55" s="5" t="s">
        <v>635</v>
      </c>
      <c r="D55" s="5" t="s">
        <v>981</v>
      </c>
      <c r="E55" s="5" t="s">
        <v>81</v>
      </c>
      <c r="F55" s="11" t="n">
        <v>30242.05</v>
      </c>
      <c r="G55" s="12" t="n">
        <v>3.2144</v>
      </c>
      <c r="H55" s="12" t="n">
        <v>3.2339</v>
      </c>
      <c r="I55" s="5" t="s">
        <v>78</v>
      </c>
      <c r="J55" s="8" t="n">
        <v>-0.02461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2</v>
      </c>
      <c r="M55" s="14" t="n">
        <v>-24.61</v>
      </c>
      <c r="N55" s="9" t="n">
        <v>-744.12</v>
      </c>
      <c r="O55" s="9" t="n">
        <v>92870.43</v>
      </c>
    </row>
    <row r="56" customFormat="false" ht="15" hidden="false" customHeight="false" outlineLevel="0" collapsed="false">
      <c r="A56" s="6" t="n">
        <v>51</v>
      </c>
      <c r="B56" s="5" t="s">
        <v>288</v>
      </c>
      <c r="C56" s="5" t="s">
        <v>981</v>
      </c>
      <c r="D56" s="5" t="s">
        <v>378</v>
      </c>
      <c r="E56" s="5" t="s">
        <v>77</v>
      </c>
      <c r="F56" s="11" t="n">
        <v>7136.71</v>
      </c>
      <c r="G56" s="12" t="n">
        <v>3.2339</v>
      </c>
      <c r="H56" s="12" t="n">
        <v>3.6566</v>
      </c>
      <c r="I56" s="5" t="s">
        <v>78</v>
      </c>
      <c r="J56" s="8" t="n">
        <v>0.70103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701.03</v>
      </c>
      <c r="N56" s="9" t="n">
        <v>5003.05</v>
      </c>
      <c r="O56" s="9" t="n">
        <v>97873.48</v>
      </c>
    </row>
    <row r="57" customFormat="false" ht="15" hidden="false" customHeight="false" outlineLevel="0" collapsed="false">
      <c r="A57" s="6" t="n">
        <v>52</v>
      </c>
      <c r="B57" s="5" t="s">
        <v>288</v>
      </c>
      <c r="C57" s="5" t="s">
        <v>378</v>
      </c>
      <c r="D57" s="5" t="s">
        <v>515</v>
      </c>
      <c r="E57" s="5" t="s">
        <v>77</v>
      </c>
      <c r="F57" s="11" t="n">
        <v>5361.14</v>
      </c>
      <c r="G57" s="12" t="n">
        <v>2.9553</v>
      </c>
      <c r="H57" s="12" t="n">
        <v>3.598</v>
      </c>
      <c r="J57" s="8" t="n">
        <v>0.64246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642.46</v>
      </c>
      <c r="N57" s="9" t="n">
        <v>3444.33</v>
      </c>
      <c r="O57" s="9" t="n">
        <v>101317.81</v>
      </c>
    </row>
    <row r="58" customFormat="false" ht="15" hidden="false" customHeight="false" outlineLevel="0" collapsed="false">
      <c r="A58" s="6" t="n">
        <v>53</v>
      </c>
      <c r="B58" s="5" t="s">
        <v>288</v>
      </c>
      <c r="C58" s="5" t="s">
        <v>515</v>
      </c>
      <c r="D58" s="5" t="s">
        <v>516</v>
      </c>
      <c r="E58" s="5" t="s">
        <v>77</v>
      </c>
      <c r="F58" s="11" t="n">
        <v>5407.44</v>
      </c>
      <c r="G58" s="12" t="n">
        <v>3.0622</v>
      </c>
      <c r="H58" s="12" t="n">
        <v>4.352</v>
      </c>
      <c r="I58" s="5" t="s">
        <v>78</v>
      </c>
      <c r="J58" s="8" t="n">
        <v>1.50917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1509.17</v>
      </c>
      <c r="N58" s="9" t="n">
        <v>8160.72</v>
      </c>
      <c r="O58" s="9" t="n">
        <v>109478.53</v>
      </c>
    </row>
    <row r="59" customFormat="false" ht="15" hidden="false" customHeight="false" outlineLevel="0" collapsed="false">
      <c r="A59" s="6" t="n">
        <v>54</v>
      </c>
      <c r="B59" s="5" t="s">
        <v>288</v>
      </c>
      <c r="C59" s="5" t="s">
        <v>516</v>
      </c>
      <c r="D59" s="5" t="s">
        <v>982</v>
      </c>
      <c r="E59" s="5" t="s">
        <v>77</v>
      </c>
      <c r="F59" s="11" t="n">
        <v>40642.3</v>
      </c>
      <c r="G59" s="12" t="n">
        <v>3.2902</v>
      </c>
      <c r="H59" s="12" t="n">
        <v>2.931</v>
      </c>
      <c r="I59" s="5" t="s">
        <v>78</v>
      </c>
      <c r="J59" s="8" t="n">
        <v>-0.24569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1</v>
      </c>
      <c r="M59" s="14" t="n">
        <v>-245.69</v>
      </c>
      <c r="N59" s="9" t="n">
        <v>-9985.39</v>
      </c>
      <c r="O59" s="9" t="n">
        <v>99493.14</v>
      </c>
    </row>
    <row r="60" customFormat="false" ht="15" hidden="false" customHeight="false" outlineLevel="0" collapsed="false">
      <c r="A60" s="6" t="n">
        <v>55</v>
      </c>
      <c r="B60" s="5" t="s">
        <v>288</v>
      </c>
      <c r="C60" s="5" t="s">
        <v>982</v>
      </c>
      <c r="D60" s="5" t="s">
        <v>398</v>
      </c>
      <c r="E60" s="5" t="s">
        <v>81</v>
      </c>
      <c r="F60" s="11" t="n">
        <v>17879.21</v>
      </c>
      <c r="G60" s="12" t="n">
        <v>2.4623</v>
      </c>
      <c r="H60" s="12" t="n">
        <v>3.4499</v>
      </c>
      <c r="I60" s="5" t="s">
        <v>78</v>
      </c>
      <c r="J60" s="8" t="n">
        <v>0.43933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439.33</v>
      </c>
      <c r="N60" s="9" t="n">
        <v>7854.79</v>
      </c>
      <c r="O60" s="9" t="n">
        <v>107347.94</v>
      </c>
    </row>
    <row r="61" customFormat="false" ht="15" hidden="false" customHeight="false" outlineLevel="0" collapsed="false">
      <c r="A61" s="6" t="n">
        <v>56</v>
      </c>
      <c r="B61" s="5" t="s">
        <v>288</v>
      </c>
      <c r="C61" s="5" t="s">
        <v>398</v>
      </c>
      <c r="D61" s="5" t="s">
        <v>530</v>
      </c>
      <c r="E61" s="5" t="s">
        <v>81</v>
      </c>
      <c r="F61" s="11" t="n">
        <v>19081.99</v>
      </c>
      <c r="G61" s="12" t="n">
        <v>3.8899</v>
      </c>
      <c r="H61" s="12" t="n">
        <v>3.3948</v>
      </c>
      <c r="J61" s="8" t="n">
        <v>0.49492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494.92</v>
      </c>
      <c r="N61" s="9" t="n">
        <v>9444</v>
      </c>
      <c r="O61" s="9" t="n">
        <v>116791.94</v>
      </c>
    </row>
    <row r="62" customFormat="false" ht="15" hidden="false" customHeight="false" outlineLevel="0" collapsed="false">
      <c r="A62" s="6" t="n">
        <v>57</v>
      </c>
      <c r="B62" s="5" t="s">
        <v>288</v>
      </c>
      <c r="C62" s="5" t="s">
        <v>530</v>
      </c>
      <c r="D62" s="5" t="s">
        <v>983</v>
      </c>
      <c r="E62" s="5" t="s">
        <v>81</v>
      </c>
      <c r="F62" s="11" t="n">
        <v>34761.93</v>
      </c>
      <c r="G62" s="12" t="n">
        <v>3.8899</v>
      </c>
      <c r="H62" s="12" t="n">
        <v>4.3365</v>
      </c>
      <c r="I62" s="5" t="s">
        <v>78</v>
      </c>
      <c r="J62" s="8" t="n">
        <v>0.12382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123.82</v>
      </c>
      <c r="N62" s="9" t="n">
        <v>4304.13</v>
      </c>
      <c r="O62" s="9" t="n">
        <v>121096.06</v>
      </c>
    </row>
    <row r="63" customFormat="false" ht="15" hidden="false" customHeight="false" outlineLevel="0" collapsed="false">
      <c r="A63" s="6" t="n">
        <v>58</v>
      </c>
      <c r="B63" s="5" t="s">
        <v>288</v>
      </c>
      <c r="C63" s="5" t="s">
        <v>983</v>
      </c>
      <c r="D63" s="5" t="s">
        <v>533</v>
      </c>
      <c r="E63" s="5" t="s">
        <v>77</v>
      </c>
      <c r="F63" s="11" t="n">
        <v>13267.35</v>
      </c>
      <c r="G63" s="12" t="n">
        <v>4.4015</v>
      </c>
      <c r="H63" s="12" t="n">
        <v>4.8374</v>
      </c>
      <c r="I63" s="5" t="s">
        <v>78</v>
      </c>
      <c r="J63" s="8" t="n">
        <v>0.48389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483.89</v>
      </c>
      <c r="N63" s="9" t="n">
        <v>6419.96</v>
      </c>
      <c r="O63" s="9" t="n">
        <v>127516.02</v>
      </c>
    </row>
    <row r="64" customFormat="false" ht="15" hidden="false" customHeight="false" outlineLevel="0" collapsed="false">
      <c r="A64" s="6" t="n">
        <v>59</v>
      </c>
      <c r="B64" s="5" t="s">
        <v>288</v>
      </c>
      <c r="C64" s="5" t="s">
        <v>533</v>
      </c>
      <c r="D64" s="5" t="s">
        <v>536</v>
      </c>
      <c r="E64" s="5" t="s">
        <v>77</v>
      </c>
      <c r="F64" s="11" t="n">
        <v>9747.73</v>
      </c>
      <c r="G64" s="12" t="n">
        <v>4.3531</v>
      </c>
      <c r="H64" s="12" t="n">
        <v>4.3985</v>
      </c>
      <c r="J64" s="8" t="n">
        <v>0.04521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45.21</v>
      </c>
      <c r="N64" s="9" t="n">
        <v>440.67</v>
      </c>
      <c r="O64" s="9" t="n">
        <v>127956.69</v>
      </c>
    </row>
    <row r="65" customFormat="false" ht="15" hidden="false" customHeight="false" outlineLevel="0" collapsed="false">
      <c r="A65" s="6" t="n">
        <v>60</v>
      </c>
      <c r="B65" s="5" t="s">
        <v>288</v>
      </c>
      <c r="C65" s="5" t="s">
        <v>536</v>
      </c>
      <c r="D65" s="5" t="s">
        <v>406</v>
      </c>
      <c r="E65" s="5" t="s">
        <v>77</v>
      </c>
      <c r="F65" s="11" t="n">
        <v>30229.99</v>
      </c>
      <c r="G65" s="12" t="n">
        <v>4.2544</v>
      </c>
      <c r="H65" s="12" t="n">
        <v>3.2136</v>
      </c>
      <c r="I65" s="5" t="s">
        <v>78</v>
      </c>
      <c r="J65" s="8" t="n">
        <v>-0.65344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1</v>
      </c>
      <c r="M65" s="14" t="n">
        <v>-653.44</v>
      </c>
      <c r="N65" s="9" t="n">
        <v>-19753.62</v>
      </c>
      <c r="O65" s="9" t="n">
        <v>108203.07</v>
      </c>
    </row>
    <row r="66" customFormat="false" ht="15" hidden="false" customHeight="false" outlineLevel="0" collapsed="false">
      <c r="A66" s="6" t="n">
        <v>61</v>
      </c>
      <c r="B66" s="5" t="s">
        <v>288</v>
      </c>
      <c r="C66" s="5" t="s">
        <v>406</v>
      </c>
      <c r="D66" s="5" t="s">
        <v>539</v>
      </c>
      <c r="E66" s="5" t="s">
        <v>81</v>
      </c>
      <c r="F66" s="11" t="n">
        <v>9008.35</v>
      </c>
      <c r="G66" s="12" t="n">
        <v>3.2136</v>
      </c>
      <c r="H66" s="12" t="n">
        <v>3.6836</v>
      </c>
      <c r="J66" s="8" t="n">
        <v>-0.47015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2</v>
      </c>
      <c r="M66" s="14" t="n">
        <v>-470.15</v>
      </c>
      <c r="N66" s="9" t="n">
        <v>-4235.24</v>
      </c>
      <c r="O66" s="9" t="n">
        <v>103967.83</v>
      </c>
    </row>
    <row r="67" customFormat="false" ht="15" hidden="false" customHeight="false" outlineLevel="0" collapsed="false">
      <c r="A67" s="6" t="n">
        <v>62</v>
      </c>
      <c r="B67" s="5" t="s">
        <v>288</v>
      </c>
      <c r="C67" s="5" t="s">
        <v>539</v>
      </c>
      <c r="D67" s="5" t="s">
        <v>540</v>
      </c>
      <c r="E67" s="5" t="s">
        <v>81</v>
      </c>
      <c r="F67" s="11" t="n">
        <v>11007.02</v>
      </c>
      <c r="G67" s="12" t="n">
        <v>3.2136</v>
      </c>
      <c r="H67" s="12" t="n">
        <v>5.3642</v>
      </c>
      <c r="J67" s="8" t="n">
        <v>-2.15083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3</v>
      </c>
      <c r="M67" s="14" t="n">
        <v>-2150.83</v>
      </c>
      <c r="N67" s="9" t="n">
        <v>-23674.2</v>
      </c>
      <c r="O67" s="9" t="n">
        <v>80293.63</v>
      </c>
    </row>
    <row r="68" customFormat="false" ht="15" hidden="false" customHeight="false" outlineLevel="0" collapsed="false">
      <c r="A68" s="6" t="n">
        <v>63</v>
      </c>
      <c r="B68" s="5" t="s">
        <v>288</v>
      </c>
      <c r="C68" s="5" t="s">
        <v>540</v>
      </c>
      <c r="D68" s="5" t="s">
        <v>984</v>
      </c>
      <c r="E68" s="5" t="s">
        <v>81</v>
      </c>
      <c r="F68" s="11" t="n">
        <v>11438.9</v>
      </c>
      <c r="G68" s="12" t="n">
        <v>3.2136</v>
      </c>
      <c r="H68" s="12" t="n">
        <v>5.5579</v>
      </c>
      <c r="J68" s="8" t="n">
        <v>-2.34485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4</v>
      </c>
      <c r="M68" s="14" t="n">
        <v>-2344.85</v>
      </c>
      <c r="N68" s="9" t="n">
        <v>-26822.47</v>
      </c>
      <c r="O68" s="9" t="n">
        <v>53471.16</v>
      </c>
    </row>
    <row r="69" customFormat="false" ht="15" hidden="false" customHeight="false" outlineLevel="0" collapsed="false">
      <c r="A69" s="6" t="n">
        <v>64</v>
      </c>
      <c r="B69" s="5" t="s">
        <v>288</v>
      </c>
      <c r="C69" s="5" t="s">
        <v>984</v>
      </c>
      <c r="D69" s="5" t="s">
        <v>541</v>
      </c>
      <c r="E69" s="5" t="s">
        <v>77</v>
      </c>
      <c r="F69" s="11" t="n">
        <v>2362.58</v>
      </c>
      <c r="G69" s="12" t="n">
        <v>5.5579</v>
      </c>
      <c r="H69" s="12" t="n">
        <v>6.5138</v>
      </c>
      <c r="J69" s="8" t="n">
        <v>0.95554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955.54</v>
      </c>
      <c r="N69" s="9" t="n">
        <v>2257.54</v>
      </c>
      <c r="O69" s="9" t="n">
        <v>55728.7</v>
      </c>
    </row>
    <row r="70" customFormat="false" ht="15" hidden="false" customHeight="false" outlineLevel="0" collapsed="false">
      <c r="A70" s="6" t="n">
        <v>65</v>
      </c>
      <c r="B70" s="5" t="s">
        <v>288</v>
      </c>
      <c r="C70" s="5" t="s">
        <v>541</v>
      </c>
      <c r="D70" s="5" t="s">
        <v>542</v>
      </c>
      <c r="E70" s="5" t="s">
        <v>77</v>
      </c>
      <c r="F70" s="11" t="n">
        <v>15875.04</v>
      </c>
      <c r="G70" s="12" t="n">
        <v>5.3448</v>
      </c>
      <c r="H70" s="12" t="n">
        <v>3.2783</v>
      </c>
      <c r="I70" s="5" t="s">
        <v>78</v>
      </c>
      <c r="J70" s="8" t="n">
        <v>0.3505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350.5</v>
      </c>
      <c r="N70" s="9" t="n">
        <v>5564.17</v>
      </c>
      <c r="O70" s="9" t="n">
        <v>61292.87</v>
      </c>
    </row>
    <row r="71" customFormat="false" ht="15" hidden="false" customHeight="false" outlineLevel="0" collapsed="false">
      <c r="A71" s="6" t="n">
        <v>66</v>
      </c>
      <c r="B71" s="5" t="s">
        <v>288</v>
      </c>
      <c r="C71" s="5" t="s">
        <v>542</v>
      </c>
      <c r="D71" s="5" t="s">
        <v>985</v>
      </c>
      <c r="E71" s="5" t="s">
        <v>77</v>
      </c>
      <c r="F71" s="11" t="n">
        <v>80185.85</v>
      </c>
      <c r="G71" s="12" t="n">
        <v>2.8288</v>
      </c>
      <c r="H71" s="12" t="n">
        <v>2.7147</v>
      </c>
      <c r="I71" s="5" t="s">
        <v>78</v>
      </c>
      <c r="J71" s="8" t="n">
        <v>-0.21437</v>
      </c>
      <c r="K71" s="13" t="str">
        <f aca="false">IF(J71&gt;0,"прибыль",IF(J71&lt;0,"убыток","ноль"))</f>
        <v>убыток</v>
      </c>
      <c r="L71" s="13" t="n">
        <f aca="false">IF(C71="",L70,IF(J71&lt;0,L70+1,0))</f>
        <v>1</v>
      </c>
      <c r="M71" s="14" t="n">
        <v>-214.37</v>
      </c>
      <c r="N71" s="9" t="n">
        <v>-17189.12</v>
      </c>
      <c r="O71" s="9" t="n">
        <v>44103.76</v>
      </c>
    </row>
    <row r="72" customFormat="false" ht="15" hidden="false" customHeight="false" outlineLevel="0" collapsed="false">
      <c r="A72" s="6" t="n">
        <v>67</v>
      </c>
      <c r="B72" s="5" t="s">
        <v>288</v>
      </c>
      <c r="C72" s="5" t="s">
        <v>985</v>
      </c>
      <c r="D72" s="5" t="s">
        <v>413</v>
      </c>
      <c r="E72" s="5" t="s">
        <v>81</v>
      </c>
      <c r="F72" s="11" t="n">
        <v>23055.67</v>
      </c>
      <c r="G72" s="12" t="n">
        <v>2.7147</v>
      </c>
      <c r="H72" s="12" t="n">
        <v>2.9505</v>
      </c>
      <c r="I72" s="5" t="s">
        <v>78</v>
      </c>
      <c r="J72" s="8" t="n">
        <v>-0.05914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2</v>
      </c>
      <c r="M72" s="14" t="n">
        <v>-59.14</v>
      </c>
      <c r="N72" s="9" t="n">
        <v>-1363.58</v>
      </c>
      <c r="O72" s="9" t="n">
        <v>42740.17</v>
      </c>
    </row>
    <row r="73" customFormat="false" ht="15" hidden="false" customHeight="false" outlineLevel="0" collapsed="false">
      <c r="A73" s="6" t="n">
        <v>68</v>
      </c>
      <c r="B73" s="5" t="s">
        <v>288</v>
      </c>
      <c r="C73" s="5" t="s">
        <v>413</v>
      </c>
      <c r="D73" s="5" t="s">
        <v>986</v>
      </c>
      <c r="E73" s="5" t="s">
        <v>81</v>
      </c>
      <c r="F73" s="11" t="n">
        <v>59763.42</v>
      </c>
      <c r="G73" s="12" t="n">
        <v>2.8915</v>
      </c>
      <c r="H73" s="12" t="n">
        <v>3.3092</v>
      </c>
      <c r="I73" s="5" t="s">
        <v>78</v>
      </c>
      <c r="J73" s="8" t="n">
        <v>-0.24737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3</v>
      </c>
      <c r="M73" s="14" t="n">
        <v>-247.37</v>
      </c>
      <c r="N73" s="9" t="n">
        <v>-14783.43</v>
      </c>
      <c r="O73" s="9" t="n">
        <v>27956.75</v>
      </c>
    </row>
    <row r="74" customFormat="false" ht="15" hidden="false" customHeight="false" outlineLevel="0" collapsed="false">
      <c r="A74" s="6" t="n">
        <v>69</v>
      </c>
      <c r="B74" s="5" t="s">
        <v>288</v>
      </c>
      <c r="C74" s="5" t="s">
        <v>986</v>
      </c>
      <c r="D74" s="5" t="s">
        <v>987</v>
      </c>
      <c r="E74" s="5" t="s">
        <v>77</v>
      </c>
      <c r="F74" s="11" t="n">
        <v>70905.84</v>
      </c>
      <c r="G74" s="12" t="n">
        <v>3.3092</v>
      </c>
      <c r="H74" s="12" t="n">
        <v>2.9161</v>
      </c>
      <c r="J74" s="8" t="n">
        <v>-0.39338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4</v>
      </c>
      <c r="M74" s="14" t="n">
        <v>-393.38</v>
      </c>
      <c r="N74" s="9" t="n">
        <v>-27893.24</v>
      </c>
      <c r="O74" s="9" t="n">
        <v>63.51</v>
      </c>
    </row>
    <row r="75" customFormat="false" ht="15" hidden="false" customHeight="false" outlineLevel="0" collapsed="false">
      <c r="A75" s="6" t="n">
        <v>70</v>
      </c>
      <c r="B75" s="5" t="s">
        <v>288</v>
      </c>
      <c r="C75" s="5" t="s">
        <v>987</v>
      </c>
      <c r="D75" s="5" t="s">
        <v>988</v>
      </c>
      <c r="E75" s="5" t="s">
        <v>81</v>
      </c>
      <c r="F75" s="11" t="n">
        <v>0</v>
      </c>
      <c r="G75" s="12" t="n">
        <v>2.9161</v>
      </c>
      <c r="H75" s="12" t="n">
        <v>2.8966</v>
      </c>
      <c r="J75" s="8" t="n">
        <v>0.0194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19.4</v>
      </c>
      <c r="N75" s="9" t="n">
        <v>0</v>
      </c>
      <c r="O75" s="9" t="n">
        <v>63.51</v>
      </c>
    </row>
    <row r="76" customFormat="false" ht="15" hidden="false" customHeight="false" outlineLevel="0" collapsed="false">
      <c r="A76" s="6" t="n">
        <v>71</v>
      </c>
      <c r="B76" s="5" t="s">
        <v>288</v>
      </c>
      <c r="C76" s="5" t="s">
        <v>988</v>
      </c>
      <c r="D76" s="5" t="s">
        <v>546</v>
      </c>
      <c r="E76" s="5" t="s">
        <v>81</v>
      </c>
      <c r="F76" s="11" t="n">
        <v>48463.39</v>
      </c>
      <c r="G76" s="12" t="n">
        <v>2.839</v>
      </c>
      <c r="H76" s="12" t="n">
        <v>3.0273</v>
      </c>
      <c r="I76" s="5" t="s">
        <v>78</v>
      </c>
      <c r="J76" s="8" t="n">
        <v>-0.00731</v>
      </c>
      <c r="K76" s="13" t="str">
        <f aca="false">IF(J76&gt;0,"прибыль",IF(J76&lt;0,"убыток","ноль"))</f>
        <v>убыток</v>
      </c>
      <c r="L76" s="13" t="n">
        <f aca="false">IF(C76="",L75,IF(J76&lt;0,L75+1,0))</f>
        <v>1</v>
      </c>
      <c r="M76" s="14" t="n">
        <v>-7.31</v>
      </c>
      <c r="N76" s="9" t="n">
        <v>-354.23</v>
      </c>
      <c r="O76" s="9" t="n">
        <v>-290.72</v>
      </c>
    </row>
    <row r="77" customFormat="false" ht="15" hidden="false" customHeight="false" outlineLevel="0" collapsed="false">
      <c r="A77" s="6" t="n">
        <v>72</v>
      </c>
      <c r="B77" s="5" t="s">
        <v>288</v>
      </c>
      <c r="C77" s="5" t="s">
        <v>546</v>
      </c>
      <c r="D77" s="5" t="s">
        <v>547</v>
      </c>
      <c r="E77" s="5" t="s">
        <v>81</v>
      </c>
      <c r="F77" s="11" t="n">
        <v>14052.64</v>
      </c>
      <c r="G77" s="12" t="n">
        <v>3.0203</v>
      </c>
      <c r="H77" s="12" t="n">
        <v>3.1882</v>
      </c>
      <c r="J77" s="8" t="n">
        <v>-0.16806</v>
      </c>
      <c r="K77" s="13" t="str">
        <f aca="false">IF(J77&gt;0,"прибыль",IF(J77&lt;0,"убыток","ноль"))</f>
        <v>убыток</v>
      </c>
      <c r="L77" s="13" t="n">
        <f aca="false">IF(C77="",L76,IF(J77&lt;0,L76+1,0))</f>
        <v>2</v>
      </c>
      <c r="M77" s="14" t="n">
        <v>-168.06</v>
      </c>
      <c r="N77" s="9" t="n">
        <v>-2361.72</v>
      </c>
      <c r="O77" s="9" t="n">
        <v>-2652.44</v>
      </c>
    </row>
    <row r="78" customFormat="false" ht="15" hidden="false" customHeight="false" outlineLevel="0" collapsed="false">
      <c r="A78" s="6" t="n">
        <v>73</v>
      </c>
      <c r="B78" s="5" t="s">
        <v>288</v>
      </c>
      <c r="D78" s="5" t="s">
        <v>428</v>
      </c>
      <c r="E78" s="5" t="s">
        <v>81</v>
      </c>
      <c r="F78" s="11" t="n">
        <v>53948.62</v>
      </c>
      <c r="H78" s="12" t="n">
        <v>3.043</v>
      </c>
      <c r="J78" s="8" t="n">
        <v>-0.06995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2</v>
      </c>
      <c r="M78" s="14" t="n">
        <v>-69.95</v>
      </c>
      <c r="N78" s="9" t="n">
        <v>-3773.94</v>
      </c>
      <c r="O78" s="9" t="n">
        <v>-6426.38</v>
      </c>
      <c r="P78" s="5" t="s">
        <v>429</v>
      </c>
    </row>
  </sheetData>
  <autoFilter ref="A5:P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989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432</v>
      </c>
      <c r="D6" s="5" t="s">
        <v>990</v>
      </c>
      <c r="E6" s="5" t="s">
        <v>81</v>
      </c>
      <c r="F6" s="11" t="n">
        <v>5343.53</v>
      </c>
      <c r="G6" s="12" t="n">
        <v>41.8479</v>
      </c>
      <c r="H6" s="12" t="n">
        <v>43.1519</v>
      </c>
      <c r="I6" s="5" t="s">
        <v>78</v>
      </c>
      <c r="J6" s="8" t="n">
        <v>-0.75121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-75.12</v>
      </c>
      <c r="N6" s="9" t="n">
        <v>-4014.1</v>
      </c>
      <c r="O6" s="9" t="n">
        <v>-4014.1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990</v>
      </c>
      <c r="D7" s="5" t="s">
        <v>837</v>
      </c>
      <c r="E7" s="5" t="s">
        <v>77</v>
      </c>
      <c r="F7" s="11" t="n">
        <v>2332.81</v>
      </c>
      <c r="G7" s="12" t="n">
        <v>43.6023</v>
      </c>
      <c r="H7" s="12" t="n">
        <v>45.981</v>
      </c>
      <c r="I7" s="5" t="s">
        <v>78</v>
      </c>
      <c r="J7" s="8" t="n">
        <v>1.68557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168.56</v>
      </c>
      <c r="N7" s="9" t="n">
        <v>3932.11</v>
      </c>
      <c r="O7" s="9" t="n">
        <v>-81.99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837</v>
      </c>
      <c r="D8" s="5" t="s">
        <v>434</v>
      </c>
      <c r="E8" s="5" t="s">
        <v>77</v>
      </c>
      <c r="F8" s="11" t="n">
        <v>2590.24</v>
      </c>
      <c r="G8" s="12" t="n">
        <v>44.2877</v>
      </c>
      <c r="H8" s="12" t="n">
        <v>39.8026</v>
      </c>
      <c r="I8" s="5" t="s">
        <v>78</v>
      </c>
      <c r="J8" s="8" t="n">
        <v>-4.94858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1</v>
      </c>
      <c r="M8" s="14" t="n">
        <v>-494.86</v>
      </c>
      <c r="N8" s="9" t="n">
        <v>-12818.03</v>
      </c>
      <c r="O8" s="9" t="n">
        <v>-12900.02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434</v>
      </c>
      <c r="D9" s="5" t="s">
        <v>591</v>
      </c>
      <c r="E9" s="5" t="s">
        <v>77</v>
      </c>
      <c r="F9" s="11" t="n">
        <v>1633.05</v>
      </c>
      <c r="G9" s="12" t="n">
        <v>44.7492</v>
      </c>
      <c r="H9" s="12" t="n">
        <v>42.2701</v>
      </c>
      <c r="J9" s="8" t="n">
        <v>-2.48119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2</v>
      </c>
      <c r="M9" s="14" t="n">
        <v>-248.12</v>
      </c>
      <c r="N9" s="9" t="n">
        <v>-4051.92</v>
      </c>
      <c r="O9" s="9" t="n">
        <v>-16951.94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591</v>
      </c>
      <c r="D10" s="5" t="s">
        <v>439</v>
      </c>
      <c r="E10" s="5" t="s">
        <v>77</v>
      </c>
      <c r="F10" s="11" t="n">
        <v>4939.4</v>
      </c>
      <c r="G10" s="12" t="n">
        <v>44.7492</v>
      </c>
      <c r="H10" s="12" t="n">
        <v>41.7897</v>
      </c>
      <c r="J10" s="8" t="n">
        <v>-2.96367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3</v>
      </c>
      <c r="M10" s="14" t="n">
        <v>-296.37</v>
      </c>
      <c r="N10" s="9" t="n">
        <v>-14638.78</v>
      </c>
      <c r="O10" s="9" t="n">
        <v>-31590.71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439</v>
      </c>
      <c r="D11" s="5" t="s">
        <v>283</v>
      </c>
      <c r="E11" s="5" t="s">
        <v>81</v>
      </c>
      <c r="F11" s="11" t="n">
        <v>1544.41</v>
      </c>
      <c r="G11" s="12" t="n">
        <v>40.914</v>
      </c>
      <c r="H11" s="12" t="n">
        <v>42.3565</v>
      </c>
      <c r="I11" s="5" t="s">
        <v>78</v>
      </c>
      <c r="J11" s="8" t="n">
        <v>0.42818</v>
      </c>
      <c r="K11" s="13" t="str">
        <f aca="false">IF(J11&gt;0,"прибыль",IF(J11&lt;0,"убыток","ноль"))</f>
        <v>прибыль</v>
      </c>
      <c r="L11" s="13" t="n">
        <f aca="false">IF(C11="",L10,IF(J11&lt;0,L10+1,0))</f>
        <v>0</v>
      </c>
      <c r="M11" s="14" t="n">
        <v>42.82</v>
      </c>
      <c r="N11" s="9" t="n">
        <v>661.29</v>
      </c>
      <c r="O11" s="9" t="n">
        <v>-30929.42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283</v>
      </c>
      <c r="D12" s="5" t="s">
        <v>991</v>
      </c>
      <c r="E12" s="5" t="s">
        <v>81</v>
      </c>
      <c r="F12" s="11" t="n">
        <v>4351.53</v>
      </c>
      <c r="G12" s="12" t="n">
        <v>42.7883</v>
      </c>
      <c r="H12" s="12" t="n">
        <v>48.7108</v>
      </c>
      <c r="I12" s="5" t="s">
        <v>78</v>
      </c>
      <c r="J12" s="8" t="n">
        <v>-6.13386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1</v>
      </c>
      <c r="M12" s="14" t="n">
        <v>-613.39</v>
      </c>
      <c r="N12" s="9" t="n">
        <v>-26691.68</v>
      </c>
      <c r="O12" s="9" t="n">
        <v>-57621.11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991</v>
      </c>
      <c r="D13" s="5" t="s">
        <v>287</v>
      </c>
      <c r="E13" s="5" t="s">
        <v>77</v>
      </c>
      <c r="F13" s="11" t="n">
        <v>2349.46</v>
      </c>
      <c r="G13" s="12" t="n">
        <v>49.2959</v>
      </c>
      <c r="H13" s="12" t="n">
        <v>53.5854</v>
      </c>
      <c r="I13" s="5" t="s">
        <v>78</v>
      </c>
      <c r="J13" s="8" t="n">
        <v>4.13977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413.98</v>
      </c>
      <c r="N13" s="9" t="n">
        <v>9726.22</v>
      </c>
      <c r="O13" s="9" t="n">
        <v>-47894.89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287</v>
      </c>
      <c r="D14" s="5" t="s">
        <v>289</v>
      </c>
      <c r="E14" s="5" t="s">
        <v>77</v>
      </c>
      <c r="F14" s="11" t="n">
        <v>1300.05</v>
      </c>
      <c r="G14" s="12" t="n">
        <v>51.6233</v>
      </c>
      <c r="H14" s="12" t="n">
        <v>67.022</v>
      </c>
      <c r="I14" s="5" t="s">
        <v>78</v>
      </c>
      <c r="J14" s="8" t="n">
        <v>14.89329</v>
      </c>
      <c r="K14" s="13" t="str">
        <f aca="false">IF(J14&gt;0,"прибыль",IF(J14&lt;0,"убыток","ноль"))</f>
        <v>прибыль</v>
      </c>
      <c r="L14" s="13" t="n">
        <f aca="false">IF(C14="",L13,IF(J14&lt;0,L13+1,0))</f>
        <v>0</v>
      </c>
      <c r="M14" s="14" t="n">
        <v>1489.33</v>
      </c>
      <c r="N14" s="9" t="n">
        <v>19362.01</v>
      </c>
      <c r="O14" s="9" t="n">
        <v>-28532.89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289</v>
      </c>
      <c r="D15" s="5" t="s">
        <v>290</v>
      </c>
      <c r="E15" s="5" t="s">
        <v>77</v>
      </c>
      <c r="F15" s="11" t="n">
        <v>1291.17</v>
      </c>
      <c r="G15" s="12" t="n">
        <v>52.1221</v>
      </c>
      <c r="H15" s="12" t="n">
        <v>67.1081</v>
      </c>
      <c r="I15" s="5" t="s">
        <v>78</v>
      </c>
      <c r="J15" s="8" t="n">
        <v>17.06883</v>
      </c>
      <c r="K15" s="13" t="str">
        <f aca="false">IF(J15&gt;0,"прибыль",IF(J15&lt;0,"убыток","ноль"))</f>
        <v>прибыль</v>
      </c>
      <c r="L15" s="13" t="n">
        <f aca="false">IF(C15="",L14,IF(J15&lt;0,L14+1,0))</f>
        <v>0</v>
      </c>
      <c r="M15" s="14" t="n">
        <v>1706.88</v>
      </c>
      <c r="N15" s="9" t="n">
        <v>22038.7</v>
      </c>
      <c r="O15" s="9" t="n">
        <v>-6494.19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290</v>
      </c>
      <c r="D16" s="5" t="s">
        <v>291</v>
      </c>
      <c r="E16" s="5" t="s">
        <v>77</v>
      </c>
      <c r="F16" s="11" t="n">
        <v>1133.16</v>
      </c>
      <c r="G16" s="12" t="n">
        <v>50.0359</v>
      </c>
      <c r="H16" s="12" t="n">
        <v>62.7629</v>
      </c>
      <c r="J16" s="8" t="n">
        <v>12.72382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1272.38</v>
      </c>
      <c r="N16" s="9" t="n">
        <v>14418.06</v>
      </c>
      <c r="O16" s="9" t="n">
        <v>7923.87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291</v>
      </c>
      <c r="D17" s="5" t="s">
        <v>292</v>
      </c>
      <c r="E17" s="5" t="s">
        <v>77</v>
      </c>
      <c r="F17" s="11" t="n">
        <v>619.61</v>
      </c>
      <c r="G17" s="12" t="n">
        <v>50.0359</v>
      </c>
      <c r="H17" s="12" t="n">
        <v>64.2656</v>
      </c>
      <c r="J17" s="8" t="n">
        <v>14.22642</v>
      </c>
      <c r="K17" s="13" t="str">
        <f aca="false">IF(J17&gt;0,"прибыль",IF(J17&lt;0,"убыток","ноль"))</f>
        <v>прибыль</v>
      </c>
      <c r="L17" s="13" t="n">
        <f aca="false">IF(C17="",L16,IF(J17&lt;0,L16+1,0))</f>
        <v>0</v>
      </c>
      <c r="M17" s="14" t="n">
        <v>1422.64</v>
      </c>
      <c r="N17" s="9" t="n">
        <v>8814.79</v>
      </c>
      <c r="O17" s="9" t="n">
        <v>16738.67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292</v>
      </c>
      <c r="D18" s="5" t="s">
        <v>593</v>
      </c>
      <c r="E18" s="5" t="s">
        <v>77</v>
      </c>
      <c r="F18" s="11" t="n">
        <v>1148.42</v>
      </c>
      <c r="G18" s="12" t="n">
        <v>58.6043</v>
      </c>
      <c r="H18" s="12" t="n">
        <v>66.655</v>
      </c>
      <c r="I18" s="5" t="s">
        <v>78</v>
      </c>
      <c r="J18" s="8" t="n">
        <v>7.53971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753.97</v>
      </c>
      <c r="N18" s="9" t="n">
        <v>8658.76</v>
      </c>
      <c r="O18" s="9" t="n">
        <v>25397.43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593</v>
      </c>
      <c r="D19" s="5" t="s">
        <v>297</v>
      </c>
      <c r="E19" s="5" t="s">
        <v>77</v>
      </c>
      <c r="F19" s="11" t="n">
        <v>2702.92</v>
      </c>
      <c r="G19" s="12" t="n">
        <v>67.2487</v>
      </c>
      <c r="H19" s="12" t="n">
        <v>74.7837</v>
      </c>
      <c r="I19" s="5" t="s">
        <v>78</v>
      </c>
      <c r="J19" s="8" t="n">
        <v>7.25838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725.84</v>
      </c>
      <c r="N19" s="9" t="n">
        <v>19618.79</v>
      </c>
      <c r="O19" s="9" t="n">
        <v>45016.22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297</v>
      </c>
      <c r="D20" s="5" t="s">
        <v>298</v>
      </c>
      <c r="E20" s="5" t="s">
        <v>77</v>
      </c>
      <c r="F20" s="11" t="n">
        <v>1723.45</v>
      </c>
      <c r="G20" s="12" t="n">
        <v>67.5155</v>
      </c>
      <c r="H20" s="12" t="n">
        <v>68.6246</v>
      </c>
      <c r="J20" s="8" t="n">
        <v>1.10565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110.57</v>
      </c>
      <c r="N20" s="9" t="n">
        <v>1905.54</v>
      </c>
      <c r="O20" s="9" t="n">
        <v>46921.76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298</v>
      </c>
      <c r="D21" s="5" t="s">
        <v>594</v>
      </c>
      <c r="E21" s="5" t="s">
        <v>77</v>
      </c>
      <c r="F21" s="11" t="n">
        <v>808.38</v>
      </c>
      <c r="G21" s="12" t="n">
        <v>67.5155</v>
      </c>
      <c r="H21" s="12" t="n">
        <v>73.5143</v>
      </c>
      <c r="J21" s="8" t="n">
        <v>5.99509</v>
      </c>
      <c r="K21" s="13" t="str">
        <f aca="false">IF(J21&gt;0,"прибыль",IF(J21&lt;0,"убыток","ноль"))</f>
        <v>прибыль</v>
      </c>
      <c r="L21" s="13" t="n">
        <f aca="false">IF(C21="",L20,IF(J21&lt;0,L20+1,0))</f>
        <v>0</v>
      </c>
      <c r="M21" s="14" t="n">
        <v>599.51</v>
      </c>
      <c r="N21" s="9" t="n">
        <v>4846.33</v>
      </c>
      <c r="O21" s="9" t="n">
        <v>51768.09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594</v>
      </c>
      <c r="D22" s="5" t="s">
        <v>303</v>
      </c>
      <c r="E22" s="5" t="s">
        <v>77</v>
      </c>
      <c r="F22" s="11" t="n">
        <v>1305.8</v>
      </c>
      <c r="G22" s="12" t="n">
        <v>69.165</v>
      </c>
      <c r="H22" s="12" t="n">
        <v>68.6924</v>
      </c>
      <c r="I22" s="5" t="s">
        <v>78</v>
      </c>
      <c r="J22" s="8" t="n">
        <v>2.43794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243.79</v>
      </c>
      <c r="N22" s="9" t="n">
        <v>3183.46</v>
      </c>
      <c r="O22" s="9" t="n">
        <v>54951.55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303</v>
      </c>
      <c r="D23" s="5" t="s">
        <v>306</v>
      </c>
      <c r="E23" s="5" t="s">
        <v>77</v>
      </c>
      <c r="F23" s="11" t="n">
        <v>1287.09</v>
      </c>
      <c r="G23" s="12" t="n">
        <v>67.9682</v>
      </c>
      <c r="H23" s="12" t="n">
        <v>82.3871</v>
      </c>
      <c r="I23" s="5" t="s">
        <v>78</v>
      </c>
      <c r="J23" s="8" t="n">
        <v>15.16472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1516.47</v>
      </c>
      <c r="N23" s="9" t="n">
        <v>19518.4</v>
      </c>
      <c r="O23" s="9" t="n">
        <v>74469.95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306</v>
      </c>
      <c r="D24" s="5" t="s">
        <v>307</v>
      </c>
      <c r="E24" s="5" t="s">
        <v>77</v>
      </c>
      <c r="F24" s="11" t="n">
        <v>979.16</v>
      </c>
      <c r="G24" s="12" t="n">
        <v>67.2161</v>
      </c>
      <c r="H24" s="12" t="n">
        <v>72.3915</v>
      </c>
      <c r="J24" s="8" t="n">
        <v>5.17177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517.18</v>
      </c>
      <c r="N24" s="9" t="n">
        <v>5063.99</v>
      </c>
      <c r="O24" s="9" t="n">
        <v>79533.93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307</v>
      </c>
      <c r="D25" s="5" t="s">
        <v>992</v>
      </c>
      <c r="E25" s="5" t="s">
        <v>77</v>
      </c>
      <c r="F25" s="11" t="n">
        <v>2050.95</v>
      </c>
      <c r="G25" s="12" t="n">
        <v>67.2161</v>
      </c>
      <c r="H25" s="12" t="n">
        <v>73.277</v>
      </c>
      <c r="I25" s="5" t="s">
        <v>78</v>
      </c>
      <c r="J25" s="8" t="n">
        <v>7.69299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769.3</v>
      </c>
      <c r="N25" s="9" t="n">
        <v>15777.93</v>
      </c>
      <c r="O25" s="9" t="n">
        <v>95311.86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992</v>
      </c>
      <c r="D26" s="5" t="s">
        <v>993</v>
      </c>
      <c r="E26" s="5" t="s">
        <v>81</v>
      </c>
      <c r="F26" s="11" t="n">
        <v>2834.71</v>
      </c>
      <c r="G26" s="12" t="n">
        <v>74.1852</v>
      </c>
      <c r="H26" s="12" t="n">
        <v>80.1922</v>
      </c>
      <c r="I26" s="5" t="s">
        <v>78</v>
      </c>
      <c r="J26" s="8" t="n">
        <v>-6.21392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1</v>
      </c>
      <c r="M26" s="14" t="n">
        <v>-621.39</v>
      </c>
      <c r="N26" s="9" t="n">
        <v>-17614.68</v>
      </c>
      <c r="O26" s="9" t="n">
        <v>77697.18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993</v>
      </c>
      <c r="D27" s="5" t="s">
        <v>312</v>
      </c>
      <c r="E27" s="5" t="s">
        <v>77</v>
      </c>
      <c r="F27" s="11" t="n">
        <v>1002</v>
      </c>
      <c r="G27" s="12" t="n">
        <v>81.5832</v>
      </c>
      <c r="H27" s="12" t="n">
        <v>93.0201</v>
      </c>
      <c r="I27" s="5" t="s">
        <v>78</v>
      </c>
      <c r="J27" s="8" t="n">
        <v>13.1894</v>
      </c>
      <c r="K27" s="13" t="str">
        <f aca="false">IF(J27&gt;0,"прибыль",IF(J27&lt;0,"убыток","ноль"))</f>
        <v>прибыль</v>
      </c>
      <c r="L27" s="13" t="n">
        <f aca="false">IF(C27="",L26,IF(J27&lt;0,L26+1,0))</f>
        <v>0</v>
      </c>
      <c r="M27" s="14" t="n">
        <v>1318.94</v>
      </c>
      <c r="N27" s="9" t="n">
        <v>13215.74</v>
      </c>
      <c r="O27" s="9" t="n">
        <v>90912.92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312</v>
      </c>
      <c r="D28" s="5" t="s">
        <v>313</v>
      </c>
      <c r="E28" s="5" t="s">
        <v>77</v>
      </c>
      <c r="F28" s="11" t="n">
        <v>2225.11</v>
      </c>
      <c r="G28" s="12" t="n">
        <v>79.8228</v>
      </c>
      <c r="H28" s="12" t="n">
        <v>114.2133</v>
      </c>
      <c r="I28" s="5" t="s">
        <v>78</v>
      </c>
      <c r="J28" s="8" t="n">
        <v>37.96866</v>
      </c>
      <c r="K28" s="13" t="str">
        <f aca="false">IF(J28&gt;0,"прибыль",IF(J28&lt;0,"убыток","ноль"))</f>
        <v>прибыль</v>
      </c>
      <c r="L28" s="13" t="n">
        <f aca="false">IF(C28="",L27,IF(J28&lt;0,L27+1,0))</f>
        <v>0</v>
      </c>
      <c r="M28" s="14" t="n">
        <v>3796.87</v>
      </c>
      <c r="N28" s="9" t="n">
        <v>84484.6</v>
      </c>
      <c r="O28" s="9" t="n">
        <v>175397.52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313</v>
      </c>
      <c r="D29" s="5" t="s">
        <v>314</v>
      </c>
      <c r="E29" s="5" t="s">
        <v>77</v>
      </c>
      <c r="F29" s="11" t="n">
        <v>265.72</v>
      </c>
      <c r="G29" s="12" t="n">
        <v>76.239</v>
      </c>
      <c r="H29" s="12" t="n">
        <v>119.7061</v>
      </c>
      <c r="J29" s="8" t="n">
        <v>43.46116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4346.12</v>
      </c>
      <c r="N29" s="9" t="n">
        <v>11548.68</v>
      </c>
      <c r="O29" s="9" t="n">
        <v>186946.2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314</v>
      </c>
      <c r="D30" s="5" t="s">
        <v>315</v>
      </c>
      <c r="E30" s="5" t="s">
        <v>77</v>
      </c>
      <c r="F30" s="11" t="n">
        <v>198.67</v>
      </c>
      <c r="G30" s="12" t="n">
        <v>76.239</v>
      </c>
      <c r="H30" s="12" t="n">
        <v>121.0817</v>
      </c>
      <c r="J30" s="8" t="n">
        <v>44.83664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4483.66</v>
      </c>
      <c r="N30" s="9" t="n">
        <v>8907.75</v>
      </c>
      <c r="O30" s="9" t="n">
        <v>195853.95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315</v>
      </c>
      <c r="D31" s="5" t="s">
        <v>320</v>
      </c>
      <c r="E31" s="5" t="s">
        <v>77</v>
      </c>
      <c r="F31" s="11" t="n">
        <v>781.22</v>
      </c>
      <c r="G31" s="12" t="n">
        <v>106.355</v>
      </c>
      <c r="H31" s="12" t="n">
        <v>105.6688</v>
      </c>
      <c r="I31" s="5" t="s">
        <v>78</v>
      </c>
      <c r="J31" s="8" t="n">
        <v>10.80912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1080.91</v>
      </c>
      <c r="N31" s="9" t="n">
        <v>8444.3</v>
      </c>
      <c r="O31" s="9" t="n">
        <v>204298.25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320</v>
      </c>
      <c r="D32" s="5" t="s">
        <v>599</v>
      </c>
      <c r="E32" s="5" t="s">
        <v>77</v>
      </c>
      <c r="F32" s="11" t="n">
        <v>382.58</v>
      </c>
      <c r="G32" s="12" t="n">
        <v>94.8421</v>
      </c>
      <c r="H32" s="12" t="n">
        <v>105.8539</v>
      </c>
      <c r="J32" s="8" t="n">
        <v>11.0065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1100.65</v>
      </c>
      <c r="N32" s="9" t="n">
        <v>4210.83</v>
      </c>
      <c r="O32" s="9" t="n">
        <v>208509.08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599</v>
      </c>
      <c r="D33" s="5" t="s">
        <v>326</v>
      </c>
      <c r="E33" s="5" t="s">
        <v>77</v>
      </c>
      <c r="F33" s="11" t="n">
        <v>557.53</v>
      </c>
      <c r="G33" s="12" t="n">
        <v>99.8141</v>
      </c>
      <c r="H33" s="12" t="n">
        <v>104.6337</v>
      </c>
      <c r="I33" s="5" t="s">
        <v>78</v>
      </c>
      <c r="J33" s="8" t="n">
        <v>12.75882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1275.88</v>
      </c>
      <c r="N33" s="9" t="n">
        <v>7113.4</v>
      </c>
      <c r="O33" s="9" t="n">
        <v>215622.48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326</v>
      </c>
      <c r="D34" s="5" t="s">
        <v>329</v>
      </c>
      <c r="E34" s="5" t="s">
        <v>77</v>
      </c>
      <c r="F34" s="11" t="n">
        <v>2234.34</v>
      </c>
      <c r="G34" s="12" t="n">
        <v>91.8588</v>
      </c>
      <c r="H34" s="12" t="n">
        <v>94.7113</v>
      </c>
      <c r="I34" s="5" t="s">
        <v>78</v>
      </c>
      <c r="J34" s="8" t="n">
        <v>3.49955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349.95</v>
      </c>
      <c r="N34" s="9" t="n">
        <v>7819.17</v>
      </c>
      <c r="O34" s="9" t="n">
        <v>223441.65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329</v>
      </c>
      <c r="D35" s="5" t="s">
        <v>994</v>
      </c>
      <c r="E35" s="5" t="s">
        <v>81</v>
      </c>
      <c r="F35" s="11" t="n">
        <v>791.03</v>
      </c>
      <c r="G35" s="12" t="n">
        <v>87.9379</v>
      </c>
      <c r="H35" s="12" t="n">
        <v>85.0816</v>
      </c>
      <c r="I35" s="5" t="s">
        <v>78</v>
      </c>
      <c r="J35" s="8" t="n">
        <v>10.23666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1023.67</v>
      </c>
      <c r="N35" s="9" t="n">
        <v>8097.48</v>
      </c>
      <c r="O35" s="9" t="n">
        <v>231539.13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994</v>
      </c>
      <c r="D36" s="5" t="s">
        <v>600</v>
      </c>
      <c r="E36" s="5" t="s">
        <v>81</v>
      </c>
      <c r="F36" s="11" t="n">
        <v>927.36</v>
      </c>
      <c r="G36" s="12" t="n">
        <v>89.9147</v>
      </c>
      <c r="H36" s="12" t="n">
        <v>78.0303</v>
      </c>
      <c r="I36" s="5" t="s">
        <v>78</v>
      </c>
      <c r="J36" s="8" t="n">
        <v>23.75389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2375.39</v>
      </c>
      <c r="N36" s="9" t="n">
        <v>22028.52</v>
      </c>
      <c r="O36" s="9" t="n">
        <v>253567.65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600</v>
      </c>
      <c r="D37" s="5" t="s">
        <v>601</v>
      </c>
      <c r="E37" s="5" t="s">
        <v>81</v>
      </c>
      <c r="F37" s="11" t="n">
        <v>1240.98</v>
      </c>
      <c r="G37" s="12" t="n">
        <v>92.305</v>
      </c>
      <c r="H37" s="12" t="n">
        <v>76.837</v>
      </c>
      <c r="I37" s="5" t="s">
        <v>78</v>
      </c>
      <c r="J37" s="8" t="n">
        <v>21.31203</v>
      </c>
      <c r="K37" s="13" t="str">
        <f aca="false">IF(J37&gt;0,"прибыль",IF(J37&lt;0,"убыток","ноль"))</f>
        <v>прибыль</v>
      </c>
      <c r="L37" s="13" t="n">
        <f aca="false">IF(C37="",L36,IF(J37&lt;0,L36+1,0))</f>
        <v>0</v>
      </c>
      <c r="M37" s="14" t="n">
        <v>2131.2</v>
      </c>
      <c r="N37" s="9" t="n">
        <v>26447.71</v>
      </c>
      <c r="O37" s="9" t="n">
        <v>280015.36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601</v>
      </c>
      <c r="D38" s="5" t="s">
        <v>471</v>
      </c>
      <c r="E38" s="5" t="s">
        <v>81</v>
      </c>
      <c r="F38" s="11" t="n">
        <v>4377.55</v>
      </c>
      <c r="G38" s="12" t="n">
        <v>92.5817</v>
      </c>
      <c r="H38" s="12" t="n">
        <v>85.5828</v>
      </c>
      <c r="I38" s="5" t="s">
        <v>78</v>
      </c>
      <c r="J38" s="8" t="n">
        <v>12.09992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1209.99</v>
      </c>
      <c r="N38" s="9" t="n">
        <v>52968.01</v>
      </c>
      <c r="O38" s="9" t="n">
        <v>332983.37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471</v>
      </c>
      <c r="D39" s="5" t="s">
        <v>603</v>
      </c>
      <c r="E39" s="5" t="s">
        <v>77</v>
      </c>
      <c r="F39" s="11" t="n">
        <v>1461.6</v>
      </c>
      <c r="G39" s="12" t="n">
        <v>86.6983</v>
      </c>
      <c r="H39" s="12" t="n">
        <v>95.0423</v>
      </c>
      <c r="I39" s="5" t="s">
        <v>78</v>
      </c>
      <c r="J39" s="8" t="n">
        <v>6.4455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644.55</v>
      </c>
      <c r="N39" s="9" t="n">
        <v>9420.71</v>
      </c>
      <c r="O39" s="9" t="n">
        <v>342404.08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603</v>
      </c>
      <c r="D40" s="5" t="s">
        <v>350</v>
      </c>
      <c r="E40" s="5" t="s">
        <v>77</v>
      </c>
      <c r="F40" s="11" t="n">
        <v>1605.92</v>
      </c>
      <c r="G40" s="12" t="n">
        <v>88.5852</v>
      </c>
      <c r="H40" s="12" t="n">
        <v>86.5446</v>
      </c>
      <c r="I40" s="5" t="s">
        <v>78</v>
      </c>
      <c r="J40" s="8" t="n">
        <v>1.97192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197.19</v>
      </c>
      <c r="N40" s="9" t="n">
        <v>3166.75</v>
      </c>
      <c r="O40" s="9" t="n">
        <v>345570.83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350</v>
      </c>
      <c r="D41" s="5" t="s">
        <v>351</v>
      </c>
      <c r="E41" s="5" t="s">
        <v>77</v>
      </c>
      <c r="F41" s="11" t="n">
        <v>1098.72</v>
      </c>
      <c r="G41" s="12" t="n">
        <v>84.5684</v>
      </c>
      <c r="H41" s="12" t="n">
        <v>90.9997</v>
      </c>
      <c r="J41" s="8" t="n">
        <v>6.4268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642.68</v>
      </c>
      <c r="N41" s="9" t="n">
        <v>7061.27</v>
      </c>
      <c r="O41" s="9" t="n">
        <v>352632.1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351</v>
      </c>
      <c r="D42" s="5" t="s">
        <v>816</v>
      </c>
      <c r="E42" s="5" t="s">
        <v>77</v>
      </c>
      <c r="F42" s="11" t="n">
        <v>3412.76</v>
      </c>
      <c r="G42" s="12" t="n">
        <v>84.2062</v>
      </c>
      <c r="H42" s="12" t="n">
        <v>81.6634</v>
      </c>
      <c r="I42" s="5" t="s">
        <v>78</v>
      </c>
      <c r="J42" s="8" t="n">
        <v>-1.21298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1</v>
      </c>
      <c r="M42" s="14" t="n">
        <v>-121.3</v>
      </c>
      <c r="N42" s="9" t="n">
        <v>-4139.6</v>
      </c>
      <c r="O42" s="9" t="n">
        <v>348492.5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816</v>
      </c>
      <c r="D43" s="5" t="s">
        <v>995</v>
      </c>
      <c r="E43" s="5" t="s">
        <v>81</v>
      </c>
      <c r="F43" s="11" t="n">
        <v>4351.49</v>
      </c>
      <c r="G43" s="12" t="n">
        <v>81.892</v>
      </c>
      <c r="H43" s="12" t="n">
        <v>79.1377</v>
      </c>
      <c r="I43" s="5" t="s">
        <v>78</v>
      </c>
      <c r="J43" s="8" t="n">
        <v>-3.55538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2</v>
      </c>
      <c r="M43" s="14" t="n">
        <v>-355.54</v>
      </c>
      <c r="N43" s="9" t="n">
        <v>-15471.19</v>
      </c>
      <c r="O43" s="9" t="n">
        <v>333021.31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995</v>
      </c>
      <c r="D44" s="5" t="s">
        <v>360</v>
      </c>
      <c r="E44" s="5" t="s">
        <v>77</v>
      </c>
      <c r="F44" s="11" t="n">
        <v>1424.58</v>
      </c>
      <c r="G44" s="12" t="n">
        <v>79.8053</v>
      </c>
      <c r="H44" s="12" t="n">
        <v>87.7068</v>
      </c>
      <c r="I44" s="5" t="s">
        <v>78</v>
      </c>
      <c r="J44" s="8" t="n">
        <v>6.79912</v>
      </c>
      <c r="K44" s="13" t="str">
        <f aca="false">IF(J44&gt;0,"прибыль",IF(J44&lt;0,"убыток","ноль"))</f>
        <v>прибыль</v>
      </c>
      <c r="L44" s="13" t="n">
        <f aca="false">IF(C44="",L43,IF(J44&lt;0,L43+1,0))</f>
        <v>0</v>
      </c>
      <c r="M44" s="14" t="n">
        <v>679.91</v>
      </c>
      <c r="N44" s="9" t="n">
        <v>9685.88</v>
      </c>
      <c r="O44" s="9" t="n">
        <v>342707.19</v>
      </c>
    </row>
    <row r="45" customFormat="false" ht="15" hidden="false" customHeight="false" outlineLevel="0" collapsed="false">
      <c r="A45" s="6" t="n">
        <v>40</v>
      </c>
      <c r="B45" s="5" t="s">
        <v>288</v>
      </c>
      <c r="C45" s="5" t="s">
        <v>360</v>
      </c>
      <c r="D45" s="5" t="s">
        <v>693</v>
      </c>
      <c r="E45" s="5" t="s">
        <v>77</v>
      </c>
      <c r="F45" s="11" t="n">
        <v>1405.72</v>
      </c>
      <c r="G45" s="12" t="n">
        <v>82.4573</v>
      </c>
      <c r="H45" s="12" t="n">
        <v>81.7724</v>
      </c>
      <c r="I45" s="5" t="s">
        <v>78</v>
      </c>
      <c r="J45" s="8" t="n">
        <v>2.76809</v>
      </c>
      <c r="K45" s="13" t="str">
        <f aca="false">IF(J45&gt;0,"прибыль",IF(J45&lt;0,"убыток","ноль"))</f>
        <v>прибыль</v>
      </c>
      <c r="L45" s="13" t="n">
        <f aca="false">IF(C45="",L44,IF(J45&lt;0,L44+1,0))</f>
        <v>0</v>
      </c>
      <c r="M45" s="14" t="n">
        <v>276.81</v>
      </c>
      <c r="N45" s="9" t="n">
        <v>3891.15</v>
      </c>
      <c r="O45" s="9" t="n">
        <v>346598.34</v>
      </c>
    </row>
    <row r="46" customFormat="false" ht="15" hidden="false" customHeight="false" outlineLevel="0" collapsed="false">
      <c r="A46" s="6" t="n">
        <v>41</v>
      </c>
      <c r="B46" s="5" t="s">
        <v>288</v>
      </c>
      <c r="C46" s="5" t="s">
        <v>693</v>
      </c>
      <c r="D46" s="5" t="s">
        <v>366</v>
      </c>
      <c r="E46" s="5" t="s">
        <v>77</v>
      </c>
      <c r="F46" s="11" t="n">
        <v>1165.64</v>
      </c>
      <c r="G46" s="12" t="n">
        <v>78.9954</v>
      </c>
      <c r="H46" s="12" t="n">
        <v>81.3439</v>
      </c>
      <c r="I46" s="5" t="s">
        <v>78</v>
      </c>
      <c r="J46" s="8" t="n">
        <v>5.81063</v>
      </c>
      <c r="K46" s="13" t="str">
        <f aca="false">IF(J46&gt;0,"прибыль",IF(J46&lt;0,"убыток","ноль"))</f>
        <v>прибыль</v>
      </c>
      <c r="L46" s="13" t="n">
        <f aca="false">IF(C46="",L45,IF(J46&lt;0,L45+1,0))</f>
        <v>0</v>
      </c>
      <c r="M46" s="14" t="n">
        <v>581.06</v>
      </c>
      <c r="N46" s="9" t="n">
        <v>6773.12</v>
      </c>
      <c r="O46" s="9" t="n">
        <v>353371.45</v>
      </c>
    </row>
    <row r="47" customFormat="false" ht="15" hidden="false" customHeight="false" outlineLevel="0" collapsed="false">
      <c r="A47" s="6" t="n">
        <v>42</v>
      </c>
      <c r="B47" s="5" t="s">
        <v>288</v>
      </c>
      <c r="C47" s="5" t="s">
        <v>366</v>
      </c>
      <c r="D47" s="5" t="s">
        <v>608</v>
      </c>
      <c r="E47" s="5" t="s">
        <v>77</v>
      </c>
      <c r="F47" s="11" t="n">
        <v>6152.64</v>
      </c>
      <c r="G47" s="12" t="n">
        <v>77.8788</v>
      </c>
      <c r="H47" s="12" t="n">
        <v>77.1307</v>
      </c>
      <c r="I47" s="5" t="s">
        <v>78</v>
      </c>
      <c r="J47" s="8" t="n">
        <v>-1.22971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1</v>
      </c>
      <c r="M47" s="14" t="n">
        <v>-122.97</v>
      </c>
      <c r="N47" s="9" t="n">
        <v>-7565.98</v>
      </c>
      <c r="O47" s="9" t="n">
        <v>345805.47</v>
      </c>
    </row>
    <row r="48" customFormat="false" ht="15" hidden="false" customHeight="false" outlineLevel="0" collapsed="false">
      <c r="A48" s="6" t="n">
        <v>43</v>
      </c>
      <c r="B48" s="5" t="s">
        <v>288</v>
      </c>
      <c r="C48" s="5" t="s">
        <v>608</v>
      </c>
      <c r="D48" s="5" t="s">
        <v>370</v>
      </c>
      <c r="E48" s="5" t="s">
        <v>81</v>
      </c>
      <c r="F48" s="11" t="n">
        <v>1344.93</v>
      </c>
      <c r="G48" s="12" t="n">
        <v>77.1307</v>
      </c>
      <c r="H48" s="12" t="n">
        <v>82.1673</v>
      </c>
      <c r="J48" s="8" t="n">
        <v>-5.04068</v>
      </c>
      <c r="K48" s="13" t="str">
        <f aca="false">IF(J48&gt;0,"прибыль",IF(J48&lt;0,"убыток","ноль"))</f>
        <v>убыток</v>
      </c>
      <c r="L48" s="13" t="n">
        <f aca="false">IF(C48="",L47,IF(J48&lt;0,L47+1,0))</f>
        <v>2</v>
      </c>
      <c r="M48" s="14" t="n">
        <v>-504.07</v>
      </c>
      <c r="N48" s="9" t="n">
        <v>-6779.37</v>
      </c>
      <c r="O48" s="9" t="n">
        <v>339026.1</v>
      </c>
    </row>
    <row r="49" customFormat="false" ht="15" hidden="false" customHeight="false" outlineLevel="0" collapsed="false">
      <c r="A49" s="6" t="n">
        <v>44</v>
      </c>
      <c r="B49" s="5" t="s">
        <v>288</v>
      </c>
      <c r="C49" s="5" t="s">
        <v>370</v>
      </c>
      <c r="D49" s="5" t="s">
        <v>371</v>
      </c>
      <c r="E49" s="5" t="s">
        <v>81</v>
      </c>
      <c r="F49" s="11" t="n">
        <v>796.13</v>
      </c>
      <c r="G49" s="12" t="n">
        <v>77.1307</v>
      </c>
      <c r="H49" s="12" t="n">
        <v>78.6858</v>
      </c>
      <c r="I49" s="5" t="s">
        <v>78</v>
      </c>
      <c r="J49" s="8" t="n">
        <v>0.71083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71.08</v>
      </c>
      <c r="N49" s="9" t="n">
        <v>565.91</v>
      </c>
      <c r="O49" s="9" t="n">
        <v>339592.01</v>
      </c>
    </row>
    <row r="50" customFormat="false" ht="15" hidden="false" customHeight="false" outlineLevel="0" collapsed="false">
      <c r="A50" s="6" t="n">
        <v>45</v>
      </c>
      <c r="B50" s="5" t="s">
        <v>288</v>
      </c>
      <c r="C50" s="5" t="s">
        <v>371</v>
      </c>
      <c r="D50" s="5" t="s">
        <v>609</v>
      </c>
      <c r="E50" s="5" t="s">
        <v>81</v>
      </c>
      <c r="F50" s="11" t="n">
        <v>1797.1</v>
      </c>
      <c r="G50" s="12" t="n">
        <v>75.8467</v>
      </c>
      <c r="H50" s="12" t="n">
        <v>82.2412</v>
      </c>
      <c r="I50" s="5" t="s">
        <v>78</v>
      </c>
      <c r="J50" s="8" t="n">
        <v>-4.86857</v>
      </c>
      <c r="K50" s="13" t="str">
        <f aca="false">IF(J50&gt;0,"прибыль",IF(J50&lt;0,"убыток","ноль"))</f>
        <v>убыток</v>
      </c>
      <c r="L50" s="13" t="n">
        <f aca="false">IF(C50="",L49,IF(J50&lt;0,L49+1,0))</f>
        <v>1</v>
      </c>
      <c r="M50" s="14" t="n">
        <v>-486.86</v>
      </c>
      <c r="N50" s="9" t="n">
        <v>-8749.3</v>
      </c>
      <c r="O50" s="9" t="n">
        <v>330842.7</v>
      </c>
    </row>
    <row r="51" customFormat="false" ht="15" hidden="false" customHeight="false" outlineLevel="0" collapsed="false">
      <c r="A51" s="6" t="n">
        <v>46</v>
      </c>
      <c r="B51" s="5" t="s">
        <v>288</v>
      </c>
      <c r="C51" s="5" t="s">
        <v>609</v>
      </c>
      <c r="D51" s="5" t="s">
        <v>996</v>
      </c>
      <c r="E51" s="5" t="s">
        <v>81</v>
      </c>
      <c r="F51" s="11" t="n">
        <v>5003.44</v>
      </c>
      <c r="G51" s="12" t="n">
        <v>77.3851</v>
      </c>
      <c r="H51" s="12" t="n">
        <v>81.4917</v>
      </c>
      <c r="J51" s="8" t="n">
        <v>-4.11468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2</v>
      </c>
      <c r="M51" s="14" t="n">
        <v>-411.47</v>
      </c>
      <c r="N51" s="9" t="n">
        <v>-20587.56</v>
      </c>
      <c r="O51" s="9" t="n">
        <v>310255.14</v>
      </c>
    </row>
    <row r="52" customFormat="false" ht="15" hidden="false" customHeight="false" outlineLevel="0" collapsed="false">
      <c r="A52" s="6" t="n">
        <v>47</v>
      </c>
      <c r="B52" s="5" t="s">
        <v>288</v>
      </c>
      <c r="C52" s="5" t="s">
        <v>996</v>
      </c>
      <c r="D52" s="5" t="s">
        <v>997</v>
      </c>
      <c r="E52" s="5" t="s">
        <v>77</v>
      </c>
      <c r="F52" s="11" t="n">
        <v>5188.42</v>
      </c>
      <c r="G52" s="12" t="n">
        <v>81.4917</v>
      </c>
      <c r="H52" s="12" t="n">
        <v>69.4539</v>
      </c>
      <c r="I52" s="5" t="s">
        <v>78</v>
      </c>
      <c r="J52" s="8" t="n">
        <v>-8.1698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3</v>
      </c>
      <c r="M52" s="14" t="n">
        <v>-816.98</v>
      </c>
      <c r="N52" s="9" t="n">
        <v>-42388.31</v>
      </c>
      <c r="O52" s="9" t="n">
        <v>267866.83</v>
      </c>
    </row>
    <row r="53" customFormat="false" ht="15" hidden="false" customHeight="false" outlineLevel="0" collapsed="false">
      <c r="A53" s="6" t="n">
        <v>48</v>
      </c>
      <c r="B53" s="5" t="s">
        <v>288</v>
      </c>
      <c r="C53" s="5" t="s">
        <v>997</v>
      </c>
      <c r="D53" s="5" t="s">
        <v>384</v>
      </c>
      <c r="E53" s="5" t="s">
        <v>81</v>
      </c>
      <c r="F53" s="11" t="n">
        <v>2440.06</v>
      </c>
      <c r="G53" s="12" t="n">
        <v>70.1798</v>
      </c>
      <c r="H53" s="12" t="n">
        <v>69.6907</v>
      </c>
      <c r="I53" s="5" t="s">
        <v>78</v>
      </c>
      <c r="J53" s="8" t="n">
        <v>0.13658</v>
      </c>
      <c r="K53" s="13" t="str">
        <f aca="false">IF(J53&gt;0,"прибыль",IF(J53&lt;0,"убыток","ноль"))</f>
        <v>прибыль</v>
      </c>
      <c r="L53" s="13" t="n">
        <f aca="false">IF(C53="",L52,IF(J53&lt;0,L52+1,0))</f>
        <v>0</v>
      </c>
      <c r="M53" s="14" t="n">
        <v>13.66</v>
      </c>
      <c r="N53" s="9" t="n">
        <v>333.26</v>
      </c>
      <c r="O53" s="9" t="n">
        <v>268200.09</v>
      </c>
    </row>
    <row r="54" customFormat="false" ht="15" hidden="false" customHeight="false" outlineLevel="0" collapsed="false">
      <c r="A54" s="6" t="n">
        <v>49</v>
      </c>
      <c r="B54" s="5" t="s">
        <v>288</v>
      </c>
      <c r="C54" s="5" t="s">
        <v>384</v>
      </c>
      <c r="D54" s="5" t="s">
        <v>385</v>
      </c>
      <c r="E54" s="5" t="s">
        <v>81</v>
      </c>
      <c r="F54" s="11" t="n">
        <v>1361.13</v>
      </c>
      <c r="G54" s="12" t="n">
        <v>69.8325</v>
      </c>
      <c r="H54" s="12" t="n">
        <v>65.1908</v>
      </c>
      <c r="J54" s="8" t="n">
        <v>4.63841</v>
      </c>
      <c r="K54" s="13" t="str">
        <f aca="false">IF(J54&gt;0,"прибыль",IF(J54&lt;0,"убыток","ноль"))</f>
        <v>прибыль</v>
      </c>
      <c r="L54" s="13" t="n">
        <f aca="false">IF(C54="",L53,IF(J54&lt;0,L53+1,0))</f>
        <v>0</v>
      </c>
      <c r="M54" s="14" t="n">
        <v>463.84</v>
      </c>
      <c r="N54" s="9" t="n">
        <v>6313.49</v>
      </c>
      <c r="O54" s="9" t="n">
        <v>274513.58</v>
      </c>
    </row>
    <row r="55" customFormat="false" ht="15" hidden="false" customHeight="false" outlineLevel="0" collapsed="false">
      <c r="A55" s="6" t="n">
        <v>50</v>
      </c>
      <c r="B55" s="5" t="s">
        <v>288</v>
      </c>
      <c r="C55" s="5" t="s">
        <v>385</v>
      </c>
      <c r="D55" s="5" t="s">
        <v>387</v>
      </c>
      <c r="E55" s="5" t="s">
        <v>81</v>
      </c>
      <c r="F55" s="11" t="n">
        <v>1937.45</v>
      </c>
      <c r="G55" s="12" t="n">
        <v>68.8698</v>
      </c>
      <c r="H55" s="12" t="n">
        <v>73.8393</v>
      </c>
      <c r="I55" s="5" t="s">
        <v>78</v>
      </c>
      <c r="J55" s="8" t="n">
        <v>-7.85584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1</v>
      </c>
      <c r="M55" s="14" t="n">
        <v>-785.58</v>
      </c>
      <c r="N55" s="9" t="n">
        <v>-15220.3</v>
      </c>
      <c r="O55" s="9" t="n">
        <v>259293.28</v>
      </c>
    </row>
    <row r="56" customFormat="false" ht="15" hidden="false" customHeight="false" outlineLevel="0" collapsed="false">
      <c r="A56" s="6" t="n">
        <v>51</v>
      </c>
      <c r="B56" s="5" t="s">
        <v>288</v>
      </c>
      <c r="C56" s="5" t="s">
        <v>387</v>
      </c>
      <c r="D56" s="5" t="s">
        <v>388</v>
      </c>
      <c r="E56" s="5" t="s">
        <v>81</v>
      </c>
      <c r="F56" s="11" t="n">
        <v>1366.03</v>
      </c>
      <c r="G56" s="12" t="n">
        <v>65.9932</v>
      </c>
      <c r="H56" s="12" t="n">
        <v>74.7313</v>
      </c>
      <c r="J56" s="8" t="n">
        <v>-8.74179</v>
      </c>
      <c r="K56" s="13" t="str">
        <f aca="false">IF(J56&gt;0,"прибыль",IF(J56&lt;0,"убыток","ноль"))</f>
        <v>убыток</v>
      </c>
      <c r="L56" s="13" t="n">
        <f aca="false">IF(C56="",L55,IF(J56&lt;0,L55+1,0))</f>
        <v>2</v>
      </c>
      <c r="M56" s="14" t="n">
        <v>-874.18</v>
      </c>
      <c r="N56" s="9" t="n">
        <v>-11941.57</v>
      </c>
      <c r="O56" s="9" t="n">
        <v>247351.71</v>
      </c>
    </row>
    <row r="57" customFormat="false" ht="15" hidden="false" customHeight="false" outlineLevel="0" collapsed="false">
      <c r="A57" s="6" t="n">
        <v>52</v>
      </c>
      <c r="B57" s="5" t="s">
        <v>288</v>
      </c>
      <c r="C57" s="5" t="s">
        <v>388</v>
      </c>
      <c r="D57" s="5" t="s">
        <v>759</v>
      </c>
      <c r="E57" s="5" t="s">
        <v>81</v>
      </c>
      <c r="F57" s="11" t="n">
        <v>2953.54</v>
      </c>
      <c r="G57" s="12" t="n">
        <v>65.9932</v>
      </c>
      <c r="H57" s="12" t="n">
        <v>76.2958</v>
      </c>
      <c r="J57" s="8" t="n">
        <v>-10.30961</v>
      </c>
      <c r="K57" s="13" t="str">
        <f aca="false">IF(J57&gt;0,"прибыль",IF(J57&lt;0,"убыток","ноль"))</f>
        <v>убыток</v>
      </c>
      <c r="L57" s="13" t="n">
        <f aca="false">IF(C57="",L56,IF(J57&lt;0,L56+1,0))</f>
        <v>3</v>
      </c>
      <c r="M57" s="14" t="n">
        <v>-1030.96</v>
      </c>
      <c r="N57" s="9" t="n">
        <v>-30449.83</v>
      </c>
      <c r="O57" s="9" t="n">
        <v>216901.88</v>
      </c>
    </row>
    <row r="58" customFormat="false" ht="15" hidden="false" customHeight="false" outlineLevel="0" collapsed="false">
      <c r="A58" s="6" t="n">
        <v>53</v>
      </c>
      <c r="B58" s="5" t="s">
        <v>288</v>
      </c>
      <c r="C58" s="5" t="s">
        <v>759</v>
      </c>
      <c r="D58" s="5" t="s">
        <v>998</v>
      </c>
      <c r="E58" s="5" t="s">
        <v>77</v>
      </c>
      <c r="F58" s="11" t="n">
        <v>508.32</v>
      </c>
      <c r="G58" s="12" t="n">
        <v>76.2958</v>
      </c>
      <c r="H58" s="12" t="n">
        <v>68.8833</v>
      </c>
      <c r="I58" s="5" t="s">
        <v>78</v>
      </c>
      <c r="J58" s="8" t="n">
        <v>-6.9874</v>
      </c>
      <c r="K58" s="13" t="str">
        <f aca="false">IF(J58&gt;0,"прибыль",IF(J58&lt;0,"убыток","ноль"))</f>
        <v>убыток</v>
      </c>
      <c r="L58" s="13" t="n">
        <f aca="false">IF(C58="",L57,IF(J58&lt;0,L57+1,0))</f>
        <v>4</v>
      </c>
      <c r="M58" s="14" t="n">
        <v>-698.74</v>
      </c>
      <c r="N58" s="9" t="n">
        <v>-3551.83</v>
      </c>
      <c r="O58" s="9" t="n">
        <v>213350.05</v>
      </c>
    </row>
    <row r="59" customFormat="false" ht="15" hidden="false" customHeight="false" outlineLevel="0" collapsed="false">
      <c r="A59" s="6" t="n">
        <v>54</v>
      </c>
      <c r="B59" s="5" t="s">
        <v>288</v>
      </c>
      <c r="C59" s="5" t="s">
        <v>998</v>
      </c>
      <c r="D59" s="5" t="s">
        <v>397</v>
      </c>
      <c r="E59" s="5" t="s">
        <v>77</v>
      </c>
      <c r="F59" s="11" t="n">
        <v>1469.53</v>
      </c>
      <c r="G59" s="12" t="n">
        <v>71.4564</v>
      </c>
      <c r="H59" s="12" t="n">
        <v>67.6595</v>
      </c>
      <c r="I59" s="5" t="s">
        <v>78</v>
      </c>
      <c r="J59" s="8" t="n">
        <v>-0.94772</v>
      </c>
      <c r="K59" s="13" t="str">
        <f aca="false">IF(J59&gt;0,"прибыль",IF(J59&lt;0,"убыток","ноль"))</f>
        <v>убыток</v>
      </c>
      <c r="L59" s="13" t="n">
        <f aca="false">IF(C59="",L58,IF(J59&lt;0,L58+1,0))</f>
        <v>5</v>
      </c>
      <c r="M59" s="14" t="n">
        <v>-94.77</v>
      </c>
      <c r="N59" s="9" t="n">
        <v>-1392.71</v>
      </c>
      <c r="O59" s="9" t="n">
        <v>211957.34</v>
      </c>
    </row>
    <row r="60" customFormat="false" ht="15" hidden="false" customHeight="false" outlineLevel="0" collapsed="false">
      <c r="A60" s="6" t="n">
        <v>55</v>
      </c>
      <c r="B60" s="5" t="s">
        <v>288</v>
      </c>
      <c r="C60" s="5" t="s">
        <v>397</v>
      </c>
      <c r="D60" s="5" t="s">
        <v>701</v>
      </c>
      <c r="E60" s="5" t="s">
        <v>77</v>
      </c>
      <c r="F60" s="11" t="n">
        <v>5910.61</v>
      </c>
      <c r="G60" s="12" t="n">
        <v>68.5921</v>
      </c>
      <c r="H60" s="12" t="n">
        <v>62.3537</v>
      </c>
      <c r="I60" s="5" t="s">
        <v>78</v>
      </c>
      <c r="J60" s="8" t="n">
        <v>-4.92403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6</v>
      </c>
      <c r="M60" s="14" t="n">
        <v>-492.4</v>
      </c>
      <c r="N60" s="9" t="n">
        <v>-29104.03</v>
      </c>
      <c r="O60" s="9" t="n">
        <v>182853.31</v>
      </c>
    </row>
    <row r="61" customFormat="false" ht="15" hidden="false" customHeight="false" outlineLevel="0" collapsed="false">
      <c r="A61" s="6" t="n">
        <v>56</v>
      </c>
      <c r="B61" s="5" t="s">
        <v>288</v>
      </c>
      <c r="C61" s="5" t="s">
        <v>701</v>
      </c>
      <c r="D61" s="5" t="s">
        <v>405</v>
      </c>
      <c r="E61" s="5" t="s">
        <v>81</v>
      </c>
      <c r="F61" s="11" t="n">
        <v>1673.8</v>
      </c>
      <c r="G61" s="12" t="n">
        <v>62.8646</v>
      </c>
      <c r="H61" s="12" t="n">
        <v>61.9493</v>
      </c>
      <c r="I61" s="5" t="s">
        <v>78</v>
      </c>
      <c r="J61" s="8" t="n">
        <v>0.53111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53.11</v>
      </c>
      <c r="N61" s="9" t="n">
        <v>888.98</v>
      </c>
      <c r="O61" s="9" t="n">
        <v>183742.29</v>
      </c>
    </row>
    <row r="62" customFormat="false" ht="15" hidden="false" customHeight="false" outlineLevel="0" collapsed="false">
      <c r="A62" s="6" t="n">
        <v>57</v>
      </c>
      <c r="B62" s="5" t="s">
        <v>288</v>
      </c>
      <c r="C62" s="5" t="s">
        <v>405</v>
      </c>
      <c r="D62" s="5" t="s">
        <v>540</v>
      </c>
      <c r="E62" s="5" t="s">
        <v>81</v>
      </c>
      <c r="F62" s="11" t="n">
        <v>5738.61</v>
      </c>
      <c r="G62" s="12" t="n">
        <v>62.4882</v>
      </c>
      <c r="H62" s="12" t="n">
        <v>65.3773</v>
      </c>
      <c r="I62" s="5" t="s">
        <v>78</v>
      </c>
      <c r="J62" s="8" t="n">
        <v>-3.25823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1</v>
      </c>
      <c r="M62" s="14" t="n">
        <v>-325.82</v>
      </c>
      <c r="N62" s="9" t="n">
        <v>-18697.7</v>
      </c>
      <c r="O62" s="9" t="n">
        <v>165044.59</v>
      </c>
    </row>
    <row r="63" customFormat="false" ht="15" hidden="false" customHeight="false" outlineLevel="0" collapsed="false">
      <c r="A63" s="6" t="n">
        <v>58</v>
      </c>
      <c r="B63" s="5" t="s">
        <v>288</v>
      </c>
      <c r="C63" s="5" t="s">
        <v>540</v>
      </c>
      <c r="D63" s="5" t="s">
        <v>408</v>
      </c>
      <c r="E63" s="5" t="s">
        <v>77</v>
      </c>
      <c r="F63" s="11" t="n">
        <v>1595.5</v>
      </c>
      <c r="G63" s="12" t="n">
        <v>65.3773</v>
      </c>
      <c r="H63" s="12" t="n">
        <v>70.4547</v>
      </c>
      <c r="I63" s="5" t="s">
        <v>78</v>
      </c>
      <c r="J63" s="8" t="n">
        <v>9.34607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934.61</v>
      </c>
      <c r="N63" s="9" t="n">
        <v>14911.62</v>
      </c>
      <c r="O63" s="9" t="n">
        <v>179956.21</v>
      </c>
    </row>
    <row r="64" customFormat="false" ht="15" hidden="false" customHeight="false" outlineLevel="0" collapsed="false">
      <c r="A64" s="6" t="n">
        <v>59</v>
      </c>
      <c r="B64" s="5" t="s">
        <v>288</v>
      </c>
      <c r="C64" s="5" t="s">
        <v>408</v>
      </c>
      <c r="D64" s="5" t="s">
        <v>409</v>
      </c>
      <c r="E64" s="5" t="s">
        <v>77</v>
      </c>
      <c r="F64" s="11" t="n">
        <v>1103.61</v>
      </c>
      <c r="G64" s="12" t="n">
        <v>61.1052</v>
      </c>
      <c r="H64" s="12" t="n">
        <v>105.4565</v>
      </c>
      <c r="I64" s="5" t="s">
        <v>78</v>
      </c>
      <c r="J64" s="8" t="n">
        <v>37.76906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3776.91</v>
      </c>
      <c r="N64" s="9" t="n">
        <v>41682.23</v>
      </c>
      <c r="O64" s="9" t="n">
        <v>221638.44</v>
      </c>
    </row>
    <row r="65" customFormat="false" ht="15" hidden="false" customHeight="false" outlineLevel="0" collapsed="false">
      <c r="A65" s="6" t="n">
        <v>60</v>
      </c>
      <c r="B65" s="5" t="s">
        <v>288</v>
      </c>
      <c r="C65" s="5" t="s">
        <v>409</v>
      </c>
      <c r="D65" s="5" t="s">
        <v>410</v>
      </c>
      <c r="E65" s="5" t="s">
        <v>77</v>
      </c>
      <c r="F65" s="11" t="n">
        <v>722.85</v>
      </c>
      <c r="G65" s="12" t="n">
        <v>67.6822</v>
      </c>
      <c r="H65" s="12" t="n">
        <v>100.9716</v>
      </c>
      <c r="J65" s="8" t="n">
        <v>33.28431</v>
      </c>
      <c r="K65" s="13" t="str">
        <f aca="false">IF(J65&gt;0,"прибыль",IF(J65&lt;0,"убыток","ноль"))</f>
        <v>прибыль</v>
      </c>
      <c r="L65" s="13" t="n">
        <f aca="false">IF(C65="",L64,IF(J65&lt;0,L64+1,0))</f>
        <v>0</v>
      </c>
      <c r="M65" s="14" t="n">
        <v>3328.43</v>
      </c>
      <c r="N65" s="9" t="n">
        <v>24059.62</v>
      </c>
      <c r="O65" s="9" t="n">
        <v>245698.07</v>
      </c>
    </row>
    <row r="66" customFormat="false" ht="15" hidden="false" customHeight="false" outlineLevel="0" collapsed="false">
      <c r="A66" s="6" t="n">
        <v>61</v>
      </c>
      <c r="B66" s="5" t="s">
        <v>288</v>
      </c>
      <c r="C66" s="5" t="s">
        <v>410</v>
      </c>
      <c r="D66" s="5" t="s">
        <v>411</v>
      </c>
      <c r="E66" s="5" t="s">
        <v>77</v>
      </c>
      <c r="F66" s="11" t="n">
        <v>349.28</v>
      </c>
      <c r="G66" s="12" t="n">
        <v>67.6822</v>
      </c>
      <c r="H66" s="12" t="n">
        <v>103.702</v>
      </c>
      <c r="J66" s="8" t="n">
        <v>36.01456</v>
      </c>
      <c r="K66" s="13" t="str">
        <f aca="false">IF(J66&gt;0,"прибыль",IF(J66&lt;0,"убыток","ноль"))</f>
        <v>прибыль</v>
      </c>
      <c r="L66" s="13" t="n">
        <f aca="false">IF(C66="",L65,IF(J66&lt;0,L65+1,0))</f>
        <v>0</v>
      </c>
      <c r="M66" s="14" t="n">
        <v>3601.46</v>
      </c>
      <c r="N66" s="9" t="n">
        <v>12579.22</v>
      </c>
      <c r="O66" s="9" t="n">
        <v>258277.29</v>
      </c>
    </row>
    <row r="67" customFormat="false" ht="15" hidden="false" customHeight="false" outlineLevel="0" collapsed="false">
      <c r="A67" s="6" t="n">
        <v>62</v>
      </c>
      <c r="B67" s="5" t="s">
        <v>288</v>
      </c>
      <c r="C67" s="5" t="s">
        <v>411</v>
      </c>
      <c r="D67" s="5" t="s">
        <v>999</v>
      </c>
      <c r="E67" s="5" t="s">
        <v>77</v>
      </c>
      <c r="F67" s="11" t="n">
        <v>1806.48</v>
      </c>
      <c r="G67" s="12" t="n">
        <v>81.9397</v>
      </c>
      <c r="H67" s="12" t="n">
        <v>97.6722</v>
      </c>
      <c r="I67" s="5" t="s">
        <v>78</v>
      </c>
      <c r="J67" s="8" t="n">
        <v>20.56501</v>
      </c>
      <c r="K67" s="13" t="str">
        <f aca="false">IF(J67&gt;0,"прибыль",IF(J67&lt;0,"убыток","ноль"))</f>
        <v>прибыль</v>
      </c>
      <c r="L67" s="13" t="n">
        <f aca="false">IF(C67="",L66,IF(J67&lt;0,L66+1,0))</f>
        <v>0</v>
      </c>
      <c r="M67" s="14" t="n">
        <v>2056.5</v>
      </c>
      <c r="N67" s="9" t="n">
        <v>37150.23</v>
      </c>
      <c r="O67" s="9" t="n">
        <v>295427.52</v>
      </c>
    </row>
    <row r="68" customFormat="false" ht="15" hidden="false" customHeight="false" outlineLevel="0" collapsed="false">
      <c r="A68" s="6" t="n">
        <v>63</v>
      </c>
      <c r="B68" s="5" t="s">
        <v>288</v>
      </c>
      <c r="C68" s="5" t="s">
        <v>999</v>
      </c>
      <c r="D68" s="5" t="s">
        <v>622</v>
      </c>
      <c r="E68" s="5" t="s">
        <v>81</v>
      </c>
      <c r="F68" s="11" t="n">
        <v>559.98</v>
      </c>
      <c r="G68" s="12" t="n">
        <v>94.8689</v>
      </c>
      <c r="H68" s="12" t="n">
        <v>84.8639</v>
      </c>
      <c r="I68" s="5" t="s">
        <v>78</v>
      </c>
      <c r="J68" s="8" t="n">
        <v>7.92929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792.93</v>
      </c>
      <c r="N68" s="9" t="n">
        <v>4440.26</v>
      </c>
      <c r="O68" s="9" t="n">
        <v>299867.78</v>
      </c>
    </row>
    <row r="69" customFormat="false" ht="15" hidden="false" customHeight="false" outlineLevel="0" collapsed="false">
      <c r="A69" s="6" t="n">
        <v>64</v>
      </c>
      <c r="B69" s="5" t="s">
        <v>288</v>
      </c>
      <c r="C69" s="5" t="s">
        <v>622</v>
      </c>
      <c r="D69" s="5" t="s">
        <v>707</v>
      </c>
      <c r="E69" s="5" t="s">
        <v>81</v>
      </c>
      <c r="F69" s="11" t="n">
        <v>416.94</v>
      </c>
      <c r="G69" s="12" t="n">
        <v>92.8009</v>
      </c>
      <c r="H69" s="12" t="n">
        <v>92.656</v>
      </c>
      <c r="J69" s="8" t="n">
        <v>0.14031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14.03</v>
      </c>
      <c r="N69" s="9" t="n">
        <v>58.5</v>
      </c>
      <c r="O69" s="9" t="n">
        <v>299926.28</v>
      </c>
    </row>
    <row r="70" customFormat="false" ht="15" hidden="false" customHeight="false" outlineLevel="0" collapsed="false">
      <c r="A70" s="6" t="n">
        <v>65</v>
      </c>
      <c r="B70" s="5" t="s">
        <v>288</v>
      </c>
      <c r="C70" s="5" t="s">
        <v>707</v>
      </c>
      <c r="D70" s="5" t="s">
        <v>708</v>
      </c>
      <c r="E70" s="5" t="s">
        <v>81</v>
      </c>
      <c r="F70" s="11" t="n">
        <v>370.87</v>
      </c>
      <c r="G70" s="12" t="n">
        <v>92.8009</v>
      </c>
      <c r="H70" s="12" t="n">
        <v>88.0862</v>
      </c>
      <c r="I70" s="5" t="s">
        <v>78</v>
      </c>
      <c r="J70" s="8" t="n">
        <v>-0.11979</v>
      </c>
      <c r="K70" s="13" t="str">
        <f aca="false">IF(J70&gt;0,"прибыль",IF(J70&lt;0,"убыток","ноль"))</f>
        <v>убыток</v>
      </c>
      <c r="L70" s="13" t="n">
        <f aca="false">IF(C70="",L69,IF(J70&lt;0,L69+1,0))</f>
        <v>1</v>
      </c>
      <c r="M70" s="14" t="n">
        <v>-11.98</v>
      </c>
      <c r="N70" s="9" t="n">
        <v>-44.43</v>
      </c>
      <c r="O70" s="9" t="n">
        <v>299881.86</v>
      </c>
    </row>
    <row r="71" customFormat="false" ht="15" hidden="false" customHeight="false" outlineLevel="0" collapsed="false">
      <c r="A71" s="6" t="n">
        <v>66</v>
      </c>
      <c r="B71" s="5" t="s">
        <v>288</v>
      </c>
      <c r="C71" s="5" t="s">
        <v>708</v>
      </c>
      <c r="D71" s="5" t="s">
        <v>1000</v>
      </c>
      <c r="E71" s="5" t="s">
        <v>81</v>
      </c>
      <c r="F71" s="11" t="n">
        <v>1294.06</v>
      </c>
      <c r="G71" s="12" t="n">
        <v>87.9709</v>
      </c>
      <c r="H71" s="12" t="n">
        <v>92.0506</v>
      </c>
      <c r="J71" s="8" t="n">
        <v>-4.08942</v>
      </c>
      <c r="K71" s="13" t="str">
        <f aca="false">IF(J71&gt;0,"прибыль",IF(J71&lt;0,"убыток","ноль"))</f>
        <v>убыток</v>
      </c>
      <c r="L71" s="13" t="n">
        <f aca="false">IF(C71="",L70,IF(J71&lt;0,L70+1,0))</f>
        <v>2</v>
      </c>
      <c r="M71" s="14" t="n">
        <v>-408.94</v>
      </c>
      <c r="N71" s="9" t="n">
        <v>-5291.97</v>
      </c>
      <c r="O71" s="9" t="n">
        <v>294589.88</v>
      </c>
    </row>
    <row r="72" customFormat="false" ht="15" hidden="false" customHeight="false" outlineLevel="0" collapsed="false">
      <c r="A72" s="6" t="n">
        <v>67</v>
      </c>
      <c r="B72" s="5" t="s">
        <v>288</v>
      </c>
      <c r="C72" s="5" t="s">
        <v>1000</v>
      </c>
      <c r="D72" s="5" t="s">
        <v>427</v>
      </c>
      <c r="E72" s="5" t="s">
        <v>77</v>
      </c>
      <c r="F72" s="11" t="n">
        <v>518.07</v>
      </c>
      <c r="G72" s="12" t="n">
        <v>91.8591</v>
      </c>
      <c r="H72" s="12" t="n">
        <v>108.4954</v>
      </c>
      <c r="I72" s="5" t="s">
        <v>78</v>
      </c>
      <c r="J72" s="8" t="n">
        <v>14.47328</v>
      </c>
      <c r="K72" s="13" t="str">
        <f aca="false">IF(J72&gt;0,"прибыль",IF(J72&lt;0,"убыток","ноль"))</f>
        <v>прибыль</v>
      </c>
      <c r="L72" s="13" t="n">
        <f aca="false">IF(C72="",L71,IF(J72&lt;0,L71+1,0))</f>
        <v>0</v>
      </c>
      <c r="M72" s="14" t="n">
        <v>1447.33</v>
      </c>
      <c r="N72" s="9" t="n">
        <v>7498.21</v>
      </c>
      <c r="O72" s="9" t="n">
        <v>302088.09</v>
      </c>
    </row>
    <row r="73" customFormat="false" ht="15" hidden="false" customHeight="false" outlineLevel="0" collapsed="false">
      <c r="A73" s="6" t="n">
        <v>68</v>
      </c>
      <c r="B73" s="5" t="s">
        <v>288</v>
      </c>
      <c r="D73" s="5" t="s">
        <v>428</v>
      </c>
      <c r="E73" s="5" t="s">
        <v>77</v>
      </c>
      <c r="F73" s="11" t="n">
        <v>1783</v>
      </c>
      <c r="H73" s="12" t="n">
        <v>102.44</v>
      </c>
      <c r="J73" s="8" t="n">
        <v>9.54815</v>
      </c>
      <c r="K73" s="13" t="str">
        <f aca="false">IF(J73&gt;0,"прибыль",IF(J73&lt;0,"убыток","ноль"))</f>
        <v>прибыль</v>
      </c>
      <c r="L73" s="13" t="n">
        <f aca="false">IF(C73="",L72,IF(J73&lt;0,L72+1,0))</f>
        <v>0</v>
      </c>
      <c r="M73" s="14" t="n">
        <v>954.81</v>
      </c>
      <c r="N73" s="9" t="n">
        <v>17024.33</v>
      </c>
      <c r="O73" s="9" t="n">
        <v>319112.42</v>
      </c>
      <c r="P73" s="5" t="s">
        <v>429</v>
      </c>
    </row>
  </sheetData>
  <autoFilter ref="A5:P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1001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1002</v>
      </c>
      <c r="D6" s="5" t="s">
        <v>642</v>
      </c>
      <c r="E6" s="5" t="s">
        <v>77</v>
      </c>
      <c r="F6" s="11" t="n">
        <v>3920.97</v>
      </c>
      <c r="G6" s="12" t="n">
        <v>123.0853</v>
      </c>
      <c r="H6" s="12" t="n">
        <v>113.1681</v>
      </c>
      <c r="I6" s="5" t="s">
        <v>78</v>
      </c>
      <c r="J6" s="8" t="n">
        <v>-8.68317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-868.32</v>
      </c>
      <c r="N6" s="9" t="n">
        <v>-34046.5</v>
      </c>
      <c r="O6" s="9" t="n">
        <v>-34046.5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642</v>
      </c>
      <c r="D7" s="5" t="s">
        <v>643</v>
      </c>
      <c r="E7" s="5" t="s">
        <v>81</v>
      </c>
      <c r="F7" s="11" t="n">
        <v>1440.56</v>
      </c>
      <c r="G7" s="12" t="n">
        <v>112.926</v>
      </c>
      <c r="H7" s="12" t="n">
        <v>103.49</v>
      </c>
      <c r="I7" s="5" t="s">
        <v>78</v>
      </c>
      <c r="J7" s="8" t="n">
        <v>4.52632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452.63</v>
      </c>
      <c r="N7" s="9" t="n">
        <v>6520.44</v>
      </c>
      <c r="O7" s="9" t="n">
        <v>-27526.06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643</v>
      </c>
      <c r="D8" s="5" t="s">
        <v>86</v>
      </c>
      <c r="E8" s="5" t="s">
        <v>81</v>
      </c>
      <c r="F8" s="11" t="n">
        <v>1103.12</v>
      </c>
      <c r="G8" s="12" t="n">
        <v>108.0259</v>
      </c>
      <c r="H8" s="12" t="n">
        <v>90.9197</v>
      </c>
      <c r="I8" s="5" t="s">
        <v>78</v>
      </c>
      <c r="J8" s="8" t="n">
        <v>18.01569</v>
      </c>
      <c r="K8" s="13" t="str">
        <f aca="false">IF(J8&gt;0,"прибыль",IF(J8&lt;0,"убыток","ноль"))</f>
        <v>прибыль</v>
      </c>
      <c r="L8" s="13" t="n">
        <f aca="false">IF(C8="",L7,IF(J8&lt;0,L7+1,0))</f>
        <v>0</v>
      </c>
      <c r="M8" s="14" t="n">
        <v>1801.57</v>
      </c>
      <c r="N8" s="9" t="n">
        <v>19873.42</v>
      </c>
      <c r="O8" s="9" t="n">
        <v>-7652.64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86</v>
      </c>
      <c r="D9" s="5" t="s">
        <v>87</v>
      </c>
      <c r="E9" s="5" t="s">
        <v>81</v>
      </c>
      <c r="F9" s="11" t="n">
        <v>732.55</v>
      </c>
      <c r="G9" s="12" t="n">
        <v>108.9399</v>
      </c>
      <c r="H9" s="12" t="n">
        <v>97.171</v>
      </c>
      <c r="J9" s="8" t="n">
        <v>11.76403</v>
      </c>
      <c r="K9" s="13" t="str">
        <f aca="false">IF(J9&gt;0,"прибыль",IF(J9&lt;0,"убыток","ноль"))</f>
        <v>прибыль</v>
      </c>
      <c r="L9" s="13" t="n">
        <f aca="false">IF(C9="",L8,IF(J9&lt;0,L8+1,0))</f>
        <v>0</v>
      </c>
      <c r="M9" s="14" t="n">
        <v>1176.4</v>
      </c>
      <c r="N9" s="9" t="n">
        <v>8617.72</v>
      </c>
      <c r="O9" s="9" t="n">
        <v>965.08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87</v>
      </c>
      <c r="D10" s="5" t="s">
        <v>645</v>
      </c>
      <c r="E10" s="5" t="s">
        <v>81</v>
      </c>
      <c r="F10" s="11" t="n">
        <v>2543.32</v>
      </c>
      <c r="G10" s="12" t="n">
        <v>108.4705</v>
      </c>
      <c r="H10" s="12" t="n">
        <v>108.6662</v>
      </c>
      <c r="I10" s="5" t="s">
        <v>78</v>
      </c>
      <c r="J10" s="8" t="n">
        <v>-0.18713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1</v>
      </c>
      <c r="M10" s="14" t="n">
        <v>-18.71</v>
      </c>
      <c r="N10" s="9" t="n">
        <v>-475.92</v>
      </c>
      <c r="O10" s="9" t="n">
        <v>489.15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645</v>
      </c>
      <c r="D11" s="5" t="s">
        <v>91</v>
      </c>
      <c r="E11" s="5" t="s">
        <v>77</v>
      </c>
      <c r="F11" s="11" t="n">
        <v>1732.8</v>
      </c>
      <c r="G11" s="12" t="n">
        <v>112.2184</v>
      </c>
      <c r="H11" s="12" t="n">
        <v>107.7963</v>
      </c>
      <c r="I11" s="5" t="s">
        <v>78</v>
      </c>
      <c r="J11" s="8" t="n">
        <v>-1.56608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2</v>
      </c>
      <c r="M11" s="14" t="n">
        <v>-156.61</v>
      </c>
      <c r="N11" s="9" t="n">
        <v>-2713.71</v>
      </c>
      <c r="O11" s="9" t="n">
        <v>-2224.56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91</v>
      </c>
      <c r="D12" s="5" t="s">
        <v>92</v>
      </c>
      <c r="E12" s="5" t="s">
        <v>77</v>
      </c>
      <c r="F12" s="11" t="n">
        <v>757.44</v>
      </c>
      <c r="G12" s="12" t="n">
        <v>109.3501</v>
      </c>
      <c r="H12" s="12" t="n">
        <v>112.2918</v>
      </c>
      <c r="J12" s="8" t="n">
        <v>2.93616</v>
      </c>
      <c r="K12" s="13" t="str">
        <f aca="false">IF(J12&gt;0,"прибыль",IF(J12&lt;0,"убыток","ноль"))</f>
        <v>прибыль</v>
      </c>
      <c r="L12" s="13" t="n">
        <f aca="false">IF(C12="",L11,IF(J12&lt;0,L11+1,0))</f>
        <v>0</v>
      </c>
      <c r="M12" s="14" t="n">
        <v>293.62</v>
      </c>
      <c r="N12" s="9" t="n">
        <v>2223.97</v>
      </c>
      <c r="O12" s="9" t="n">
        <v>-0.6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92</v>
      </c>
      <c r="D13" s="5" t="s">
        <v>1003</v>
      </c>
      <c r="E13" s="5" t="s">
        <v>77</v>
      </c>
      <c r="F13" s="11" t="n">
        <v>3120.32</v>
      </c>
      <c r="G13" s="12" t="n">
        <v>109.4931</v>
      </c>
      <c r="H13" s="12" t="n">
        <v>108.0623</v>
      </c>
      <c r="I13" s="5" t="s">
        <v>78</v>
      </c>
      <c r="J13" s="8" t="n">
        <v>0.01192</v>
      </c>
      <c r="K13" s="13" t="str">
        <f aca="false">IF(J13&gt;0,"прибыль",IF(J13&lt;0,"убыток","ноль"))</f>
        <v>прибыль</v>
      </c>
      <c r="L13" s="13" t="n">
        <f aca="false">IF(C13="",L12,IF(J13&lt;0,L12+1,0))</f>
        <v>0</v>
      </c>
      <c r="M13" s="14" t="n">
        <v>1.19</v>
      </c>
      <c r="N13" s="9" t="n">
        <v>37.2</v>
      </c>
      <c r="O13" s="9" t="n">
        <v>36.61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1003</v>
      </c>
      <c r="D14" s="5" t="s">
        <v>98</v>
      </c>
      <c r="E14" s="5" t="s">
        <v>81</v>
      </c>
      <c r="F14" s="11" t="n">
        <v>4218.79</v>
      </c>
      <c r="G14" s="12" t="n">
        <v>108.0623</v>
      </c>
      <c r="H14" s="12" t="n">
        <v>110.8192</v>
      </c>
      <c r="J14" s="8" t="n">
        <v>-2.76605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1</v>
      </c>
      <c r="M14" s="14" t="n">
        <v>-276.6</v>
      </c>
      <c r="N14" s="9" t="n">
        <v>-11669.39</v>
      </c>
      <c r="O14" s="9" t="n">
        <v>-11632.78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98</v>
      </c>
      <c r="D15" s="5" t="s">
        <v>1004</v>
      </c>
      <c r="E15" s="5" t="s">
        <v>77</v>
      </c>
      <c r="F15" s="11" t="n">
        <v>2705.99</v>
      </c>
      <c r="G15" s="12" t="n">
        <v>110.8192</v>
      </c>
      <c r="H15" s="12" t="n">
        <v>107.2089</v>
      </c>
      <c r="J15" s="8" t="n">
        <v>-3.62087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2</v>
      </c>
      <c r="M15" s="14" t="n">
        <v>-362.09</v>
      </c>
      <c r="N15" s="9" t="n">
        <v>-9798.03</v>
      </c>
      <c r="O15" s="9" t="n">
        <v>-21430.81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1004</v>
      </c>
      <c r="D16" s="5" t="s">
        <v>1005</v>
      </c>
      <c r="E16" s="5" t="s">
        <v>81</v>
      </c>
      <c r="F16" s="11" t="n">
        <v>2670.23</v>
      </c>
      <c r="G16" s="12" t="n">
        <v>107.2089</v>
      </c>
      <c r="H16" s="12" t="n">
        <v>111.7257</v>
      </c>
      <c r="I16" s="5" t="s">
        <v>78</v>
      </c>
      <c r="J16" s="8" t="n">
        <v>-6.22949</v>
      </c>
      <c r="K16" s="13" t="str">
        <f aca="false">IF(J16&gt;0,"прибыль",IF(J16&lt;0,"убыток","ноль"))</f>
        <v>убыток</v>
      </c>
      <c r="L16" s="13" t="n">
        <f aca="false">IF(C16="",L15,IF(J16&lt;0,L15+1,0))</f>
        <v>3</v>
      </c>
      <c r="M16" s="14" t="n">
        <v>-622.95</v>
      </c>
      <c r="N16" s="9" t="n">
        <v>-16634.14</v>
      </c>
      <c r="O16" s="9" t="n">
        <v>-38064.95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1005</v>
      </c>
      <c r="D17" s="5" t="s">
        <v>1006</v>
      </c>
      <c r="E17" s="5" t="s">
        <v>77</v>
      </c>
      <c r="F17" s="11" t="n">
        <v>2294.4</v>
      </c>
      <c r="G17" s="12" t="n">
        <v>111.7257</v>
      </c>
      <c r="H17" s="12" t="n">
        <v>110.8433</v>
      </c>
      <c r="J17" s="8" t="n">
        <v>-0.89394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4</v>
      </c>
      <c r="M17" s="14" t="n">
        <v>-89.39</v>
      </c>
      <c r="N17" s="9" t="n">
        <v>-2051.06</v>
      </c>
      <c r="O17" s="9" t="n">
        <v>-40116.01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1006</v>
      </c>
      <c r="D18" s="5" t="s">
        <v>1007</v>
      </c>
      <c r="E18" s="5" t="s">
        <v>81</v>
      </c>
      <c r="F18" s="11" t="n">
        <v>2499.09</v>
      </c>
      <c r="G18" s="12" t="n">
        <v>110.8433</v>
      </c>
      <c r="H18" s="12" t="n">
        <v>110.7779</v>
      </c>
      <c r="J18" s="8" t="n">
        <v>0.05444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5.44</v>
      </c>
      <c r="N18" s="9" t="n">
        <v>136.06</v>
      </c>
      <c r="O18" s="9" t="n">
        <v>-39979.95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1007</v>
      </c>
      <c r="D19" s="5" t="s">
        <v>1008</v>
      </c>
      <c r="E19" s="5" t="s">
        <v>77</v>
      </c>
      <c r="F19" s="11" t="n">
        <v>2461.05</v>
      </c>
      <c r="G19" s="12" t="n">
        <v>110.7779</v>
      </c>
      <c r="H19" s="12" t="n">
        <v>110.9319</v>
      </c>
      <c r="J19" s="8" t="n">
        <v>0.14292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14.29</v>
      </c>
      <c r="N19" s="9" t="n">
        <v>351.72</v>
      </c>
      <c r="O19" s="9" t="n">
        <v>-39628.23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1008</v>
      </c>
      <c r="D20" s="5" t="s">
        <v>554</v>
      </c>
      <c r="E20" s="5" t="s">
        <v>81</v>
      </c>
      <c r="F20" s="11" t="n">
        <v>2458.47</v>
      </c>
      <c r="G20" s="12" t="n">
        <v>110.9319</v>
      </c>
      <c r="H20" s="12" t="n">
        <v>110.8732</v>
      </c>
      <c r="J20" s="8" t="n">
        <v>0.04732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4.73</v>
      </c>
      <c r="N20" s="9" t="n">
        <v>116.33</v>
      </c>
      <c r="O20" s="9" t="n">
        <v>-39511.9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554</v>
      </c>
      <c r="D21" s="5" t="s">
        <v>1009</v>
      </c>
      <c r="E21" s="5" t="s">
        <v>77</v>
      </c>
      <c r="F21" s="11" t="n">
        <v>2588.9</v>
      </c>
      <c r="G21" s="12" t="n">
        <v>110.8732</v>
      </c>
      <c r="H21" s="12" t="n">
        <v>109.8967</v>
      </c>
      <c r="J21" s="8" t="n">
        <v>-0.98899</v>
      </c>
      <c r="K21" s="13" t="str">
        <f aca="false">IF(J21&gt;0,"прибыль",IF(J21&lt;0,"убыток","ноль"))</f>
        <v>убыток</v>
      </c>
      <c r="L21" s="13" t="n">
        <f aca="false">IF(C21="",L20,IF(J21&lt;0,L20+1,0))</f>
        <v>1</v>
      </c>
      <c r="M21" s="14" t="n">
        <v>-98.9</v>
      </c>
      <c r="N21" s="9" t="n">
        <v>-2560.4</v>
      </c>
      <c r="O21" s="9" t="n">
        <v>-42072.3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1009</v>
      </c>
      <c r="D22" s="5" t="s">
        <v>1010</v>
      </c>
      <c r="E22" s="5" t="s">
        <v>81</v>
      </c>
      <c r="F22" s="11" t="n">
        <v>4129.55</v>
      </c>
      <c r="G22" s="12" t="n">
        <v>109.6737</v>
      </c>
      <c r="H22" s="12" t="n">
        <v>108.2589</v>
      </c>
      <c r="J22" s="8" t="n">
        <v>1.40182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140.18</v>
      </c>
      <c r="N22" s="9" t="n">
        <v>5788.89</v>
      </c>
      <c r="O22" s="9" t="n">
        <v>-36283.41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1010</v>
      </c>
      <c r="D23" s="5" t="s">
        <v>555</v>
      </c>
      <c r="E23" s="5" t="s">
        <v>77</v>
      </c>
      <c r="F23" s="11" t="n">
        <v>1067.68</v>
      </c>
      <c r="G23" s="12" t="n">
        <v>108.2589</v>
      </c>
      <c r="H23" s="12" t="n">
        <v>110.4083</v>
      </c>
      <c r="I23" s="5" t="s">
        <v>78</v>
      </c>
      <c r="J23" s="8" t="n">
        <v>3.25513</v>
      </c>
      <c r="K23" s="13" t="str">
        <f aca="false">IF(J23&gt;0,"прибыль",IF(J23&lt;0,"убыток","ноль"))</f>
        <v>прибыль</v>
      </c>
      <c r="L23" s="13" t="n">
        <f aca="false">IF(C23="",L22,IF(J23&lt;0,L22+1,0))</f>
        <v>0</v>
      </c>
      <c r="M23" s="14" t="n">
        <v>325.51</v>
      </c>
      <c r="N23" s="9" t="n">
        <v>3475.42</v>
      </c>
      <c r="O23" s="9" t="n">
        <v>-32807.98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555</v>
      </c>
      <c r="D24" s="5" t="s">
        <v>1011</v>
      </c>
      <c r="E24" s="5" t="s">
        <v>77</v>
      </c>
      <c r="F24" s="11" t="n">
        <v>3988.6</v>
      </c>
      <c r="G24" s="12" t="n">
        <v>107.1477</v>
      </c>
      <c r="H24" s="12" t="n">
        <v>110.4487</v>
      </c>
      <c r="J24" s="8" t="n">
        <v>3.28989</v>
      </c>
      <c r="K24" s="13" t="str">
        <f aca="false">IF(J24&gt;0,"прибыль",IF(J24&lt;0,"убыток","ноль"))</f>
        <v>прибыль</v>
      </c>
      <c r="L24" s="13" t="n">
        <f aca="false">IF(C24="",L23,IF(J24&lt;0,L23+1,0))</f>
        <v>0</v>
      </c>
      <c r="M24" s="14" t="n">
        <v>328.99</v>
      </c>
      <c r="N24" s="9" t="n">
        <v>13122.08</v>
      </c>
      <c r="O24" s="9" t="n">
        <v>-19685.9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1011</v>
      </c>
      <c r="D25" s="5" t="s">
        <v>1012</v>
      </c>
      <c r="E25" s="5" t="s">
        <v>81</v>
      </c>
      <c r="F25" s="11" t="n">
        <v>3982.74</v>
      </c>
      <c r="G25" s="12" t="n">
        <v>110.4487</v>
      </c>
      <c r="H25" s="12" t="n">
        <v>111.2793</v>
      </c>
      <c r="I25" s="5" t="s">
        <v>78</v>
      </c>
      <c r="J25" s="8" t="n">
        <v>-0.25287</v>
      </c>
      <c r="K25" s="13" t="str">
        <f aca="false">IF(J25&gt;0,"прибыль",IF(J25&lt;0,"убыток","ноль"))</f>
        <v>убыток</v>
      </c>
      <c r="L25" s="13" t="n">
        <f aca="false">IF(C25="",L24,IF(J25&lt;0,L24+1,0))</f>
        <v>1</v>
      </c>
      <c r="M25" s="14" t="n">
        <v>-25.29</v>
      </c>
      <c r="N25" s="9" t="n">
        <v>-1007.1</v>
      </c>
      <c r="O25" s="9" t="n">
        <v>-20693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1012</v>
      </c>
      <c r="D26" s="5" t="s">
        <v>103</v>
      </c>
      <c r="E26" s="5" t="s">
        <v>77</v>
      </c>
      <c r="F26" s="11" t="n">
        <v>1718.4</v>
      </c>
      <c r="G26" s="12" t="n">
        <v>114.5827</v>
      </c>
      <c r="H26" s="12" t="n">
        <v>115.1254</v>
      </c>
      <c r="I26" s="5" t="s">
        <v>78</v>
      </c>
      <c r="J26" s="8" t="n">
        <v>1.23034</v>
      </c>
      <c r="K26" s="13" t="str">
        <f aca="false">IF(J26&gt;0,"прибыль",IF(J26&lt;0,"убыток","ноль"))</f>
        <v>прибыль</v>
      </c>
      <c r="L26" s="13" t="n">
        <f aca="false">IF(C26="",L25,IF(J26&lt;0,L25+1,0))</f>
        <v>0</v>
      </c>
      <c r="M26" s="14" t="n">
        <v>123.03</v>
      </c>
      <c r="N26" s="9" t="n">
        <v>2114.22</v>
      </c>
      <c r="O26" s="9" t="n">
        <v>-18578.79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103</v>
      </c>
      <c r="D27" s="5" t="s">
        <v>1013</v>
      </c>
      <c r="E27" s="5" t="s">
        <v>77</v>
      </c>
      <c r="F27" s="11" t="n">
        <v>5796.87</v>
      </c>
      <c r="G27" s="12" t="n">
        <v>113.8778</v>
      </c>
      <c r="H27" s="12" t="n">
        <v>108.5769</v>
      </c>
      <c r="I27" s="5" t="s">
        <v>78</v>
      </c>
      <c r="J27" s="8" t="n">
        <v>-5.80109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1</v>
      </c>
      <c r="M27" s="14" t="n">
        <v>-580.11</v>
      </c>
      <c r="N27" s="9" t="n">
        <v>-33628.13</v>
      </c>
      <c r="O27" s="9" t="n">
        <v>-52206.92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1013</v>
      </c>
      <c r="D28" s="5" t="s">
        <v>1014</v>
      </c>
      <c r="E28" s="5" t="s">
        <v>81</v>
      </c>
      <c r="F28" s="11" t="n">
        <v>5787.19</v>
      </c>
      <c r="G28" s="12" t="n">
        <v>108.5769</v>
      </c>
      <c r="H28" s="12" t="n">
        <v>109.3517</v>
      </c>
      <c r="J28" s="8" t="n">
        <v>-0.78588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2</v>
      </c>
      <c r="M28" s="14" t="n">
        <v>-78.59</v>
      </c>
      <c r="N28" s="9" t="n">
        <v>-4548.01</v>
      </c>
      <c r="O28" s="9" t="n">
        <v>-56754.93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1014</v>
      </c>
      <c r="D29" s="5" t="s">
        <v>1015</v>
      </c>
      <c r="E29" s="5" t="s">
        <v>77</v>
      </c>
      <c r="F29" s="11" t="n">
        <v>5996.78</v>
      </c>
      <c r="G29" s="12" t="n">
        <v>109.3517</v>
      </c>
      <c r="H29" s="12" t="n">
        <v>109.9121</v>
      </c>
      <c r="J29" s="8" t="n">
        <v>0.54885</v>
      </c>
      <c r="K29" s="13" t="str">
        <f aca="false">IF(J29&gt;0,"прибыль",IF(J29&lt;0,"убыток","ноль"))</f>
        <v>прибыль</v>
      </c>
      <c r="L29" s="13" t="n">
        <f aca="false">IF(C29="",L28,IF(J29&lt;0,L28+1,0))</f>
        <v>0</v>
      </c>
      <c r="M29" s="14" t="n">
        <v>54.89</v>
      </c>
      <c r="N29" s="9" t="n">
        <v>3291.35</v>
      </c>
      <c r="O29" s="9" t="n">
        <v>-53463.58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1015</v>
      </c>
      <c r="D30" s="5" t="s">
        <v>105</v>
      </c>
      <c r="E30" s="5" t="s">
        <v>81</v>
      </c>
      <c r="F30" s="11" t="n">
        <v>1590.31</v>
      </c>
      <c r="G30" s="12" t="n">
        <v>109.9121</v>
      </c>
      <c r="H30" s="12" t="n">
        <v>107.3781</v>
      </c>
      <c r="J30" s="8" t="n">
        <v>2.52864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252.86</v>
      </c>
      <c r="N30" s="9" t="n">
        <v>4021.32</v>
      </c>
      <c r="O30" s="9" t="n">
        <v>-49442.26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105</v>
      </c>
      <c r="D31" s="5" t="s">
        <v>106</v>
      </c>
      <c r="E31" s="5" t="s">
        <v>81</v>
      </c>
      <c r="F31" s="11" t="n">
        <v>1094.33</v>
      </c>
      <c r="G31" s="12" t="n">
        <v>109.9121</v>
      </c>
      <c r="H31" s="12" t="n">
        <v>100.3583</v>
      </c>
      <c r="J31" s="8" t="n">
        <v>9.54885</v>
      </c>
      <c r="K31" s="13" t="str">
        <f aca="false">IF(J31&gt;0,"прибыль",IF(J31&lt;0,"убыток","ноль"))</f>
        <v>прибыль</v>
      </c>
      <c r="L31" s="13" t="n">
        <f aca="false">IF(C31="",L30,IF(J31&lt;0,L30+1,0))</f>
        <v>0</v>
      </c>
      <c r="M31" s="14" t="n">
        <v>954.89</v>
      </c>
      <c r="N31" s="9" t="n">
        <v>10449.64</v>
      </c>
      <c r="O31" s="9" t="n">
        <v>-38992.62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106</v>
      </c>
      <c r="D32" s="5" t="s">
        <v>107</v>
      </c>
      <c r="E32" s="5" t="s">
        <v>81</v>
      </c>
      <c r="F32" s="11" t="n">
        <v>1053.02</v>
      </c>
      <c r="G32" s="12" t="n">
        <v>108.4889</v>
      </c>
      <c r="H32" s="12" t="n">
        <v>103.2269</v>
      </c>
      <c r="I32" s="5" t="s">
        <v>78</v>
      </c>
      <c r="J32" s="8" t="n">
        <v>5.81044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581.04</v>
      </c>
      <c r="N32" s="9" t="n">
        <v>6118.5</v>
      </c>
      <c r="O32" s="9" t="n">
        <v>-32874.12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107</v>
      </c>
      <c r="D33" s="5" t="s">
        <v>1016</v>
      </c>
      <c r="E33" s="5" t="s">
        <v>81</v>
      </c>
      <c r="F33" s="11" t="n">
        <v>4121.97</v>
      </c>
      <c r="G33" s="12" t="n">
        <v>109.0488</v>
      </c>
      <c r="H33" s="12" t="n">
        <v>107.9233</v>
      </c>
      <c r="I33" s="5" t="s">
        <v>78</v>
      </c>
      <c r="J33" s="8" t="n">
        <v>2.54731</v>
      </c>
      <c r="K33" s="13" t="str">
        <f aca="false">IF(J33&gt;0,"прибыль",IF(J33&lt;0,"убыток","ноль"))</f>
        <v>прибыль</v>
      </c>
      <c r="L33" s="13" t="n">
        <f aca="false">IF(C33="",L32,IF(J33&lt;0,L32+1,0))</f>
        <v>0</v>
      </c>
      <c r="M33" s="14" t="n">
        <v>254.73</v>
      </c>
      <c r="N33" s="9" t="n">
        <v>10499.95</v>
      </c>
      <c r="O33" s="9" t="n">
        <v>-22374.17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1016</v>
      </c>
      <c r="D34" s="5" t="s">
        <v>111</v>
      </c>
      <c r="E34" s="5" t="s">
        <v>77</v>
      </c>
      <c r="F34" s="11" t="n">
        <v>2499.24</v>
      </c>
      <c r="G34" s="12" t="n">
        <v>108.5908</v>
      </c>
      <c r="H34" s="12" t="n">
        <v>114.261</v>
      </c>
      <c r="I34" s="5" t="s">
        <v>78</v>
      </c>
      <c r="J34" s="8" t="n">
        <v>7.27804</v>
      </c>
      <c r="K34" s="13" t="str">
        <f aca="false">IF(J34&gt;0,"прибыль",IF(J34&lt;0,"убыток","ноль"))</f>
        <v>прибыль</v>
      </c>
      <c r="L34" s="13" t="n">
        <f aca="false">IF(C34="",L33,IF(J34&lt;0,L33+1,0))</f>
        <v>0</v>
      </c>
      <c r="M34" s="14" t="n">
        <v>727.8</v>
      </c>
      <c r="N34" s="9" t="n">
        <v>18189.6</v>
      </c>
      <c r="O34" s="9" t="n">
        <v>-4184.57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111</v>
      </c>
      <c r="D35" s="5" t="s">
        <v>112</v>
      </c>
      <c r="E35" s="5" t="s">
        <v>77</v>
      </c>
      <c r="F35" s="11" t="n">
        <v>881.86</v>
      </c>
      <c r="G35" s="12" t="n">
        <v>106.9711</v>
      </c>
      <c r="H35" s="12" t="n">
        <v>107.7106</v>
      </c>
      <c r="I35" s="5" t="s">
        <v>78</v>
      </c>
      <c r="J35" s="8" t="n">
        <v>3.06058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306.06</v>
      </c>
      <c r="N35" s="9" t="n">
        <v>2699.01</v>
      </c>
      <c r="O35" s="9" t="n">
        <v>-1485.56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112</v>
      </c>
      <c r="D36" s="5" t="s">
        <v>1017</v>
      </c>
      <c r="E36" s="5" t="s">
        <v>77</v>
      </c>
      <c r="F36" s="11" t="n">
        <v>4653.48</v>
      </c>
      <c r="G36" s="12" t="n">
        <v>106.3734</v>
      </c>
      <c r="H36" s="12" t="n">
        <v>103.6225</v>
      </c>
      <c r="I36" s="5" t="s">
        <v>78</v>
      </c>
      <c r="J36" s="8" t="n">
        <v>-0.88321</v>
      </c>
      <c r="K36" s="13" t="str">
        <f aca="false">IF(J36&gt;0,"прибыль",IF(J36&lt;0,"убыток","ноль"))</f>
        <v>убыток</v>
      </c>
      <c r="L36" s="13" t="n">
        <f aca="false">IF(C36="",L35,IF(J36&lt;0,L35+1,0))</f>
        <v>1</v>
      </c>
      <c r="M36" s="14" t="n">
        <v>-88.32</v>
      </c>
      <c r="N36" s="9" t="n">
        <v>-4109.97</v>
      </c>
      <c r="O36" s="9" t="n">
        <v>-5595.53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1017</v>
      </c>
      <c r="D37" s="5" t="s">
        <v>1018</v>
      </c>
      <c r="E37" s="5" t="s">
        <v>81</v>
      </c>
      <c r="F37" s="11" t="n">
        <v>4136.67</v>
      </c>
      <c r="G37" s="12" t="n">
        <v>103.6225</v>
      </c>
      <c r="H37" s="12" t="n">
        <v>105.3511</v>
      </c>
      <c r="J37" s="8" t="n">
        <v>-1.73891</v>
      </c>
      <c r="K37" s="13" t="str">
        <f aca="false">IF(J37&gt;0,"прибыль",IF(J37&lt;0,"убыток","ноль"))</f>
        <v>убыток</v>
      </c>
      <c r="L37" s="13" t="n">
        <f aca="false">IF(C37="",L36,IF(J37&lt;0,L36+1,0))</f>
        <v>2</v>
      </c>
      <c r="M37" s="14" t="n">
        <v>-173.89</v>
      </c>
      <c r="N37" s="9" t="n">
        <v>-7193.28</v>
      </c>
      <c r="O37" s="9" t="n">
        <v>-12788.82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1018</v>
      </c>
      <c r="D38" s="5" t="s">
        <v>1019</v>
      </c>
      <c r="E38" s="5" t="s">
        <v>77</v>
      </c>
      <c r="F38" s="11" t="n">
        <v>3929.82</v>
      </c>
      <c r="G38" s="12" t="n">
        <v>105.3511</v>
      </c>
      <c r="H38" s="12" t="n">
        <v>110.9185</v>
      </c>
      <c r="I38" s="5" t="s">
        <v>78</v>
      </c>
      <c r="J38" s="8" t="n">
        <v>5.82869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582.87</v>
      </c>
      <c r="N38" s="9" t="n">
        <v>22905.69</v>
      </c>
      <c r="O38" s="9" t="n">
        <v>10116.88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1019</v>
      </c>
      <c r="D39" s="5" t="s">
        <v>1020</v>
      </c>
      <c r="E39" s="5" t="s">
        <v>81</v>
      </c>
      <c r="F39" s="11" t="n">
        <v>3418.08</v>
      </c>
      <c r="G39" s="12" t="n">
        <v>110.9185</v>
      </c>
      <c r="H39" s="12" t="n">
        <v>111.1369</v>
      </c>
      <c r="J39" s="8" t="n">
        <v>-0.22994</v>
      </c>
      <c r="K39" s="13" t="str">
        <f aca="false">IF(J39&gt;0,"прибыль",IF(J39&lt;0,"убыток","ноль"))</f>
        <v>убыток</v>
      </c>
      <c r="L39" s="13" t="n">
        <f aca="false">IF(C39="",L38,IF(J39&lt;0,L38+1,0))</f>
        <v>1</v>
      </c>
      <c r="M39" s="14" t="n">
        <v>-22.99</v>
      </c>
      <c r="N39" s="9" t="n">
        <v>-785.94</v>
      </c>
      <c r="O39" s="9" t="n">
        <v>9330.94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1020</v>
      </c>
      <c r="D40" s="5" t="s">
        <v>560</v>
      </c>
      <c r="E40" s="5" t="s">
        <v>77</v>
      </c>
      <c r="F40" s="11" t="n">
        <v>3667.77</v>
      </c>
      <c r="G40" s="12" t="n">
        <v>111.1369</v>
      </c>
      <c r="H40" s="12" t="n">
        <v>109.9555</v>
      </c>
      <c r="J40" s="8" t="n">
        <v>-1.19262</v>
      </c>
      <c r="K40" s="13" t="str">
        <f aca="false">IF(J40&gt;0,"прибыль",IF(J40&lt;0,"убыток","ноль"))</f>
        <v>убыток</v>
      </c>
      <c r="L40" s="13" t="n">
        <f aca="false">IF(C40="",L39,IF(J40&lt;0,L39+1,0))</f>
        <v>2</v>
      </c>
      <c r="M40" s="14" t="n">
        <v>-119.26</v>
      </c>
      <c r="N40" s="9" t="n">
        <v>-4374.26</v>
      </c>
      <c r="O40" s="9" t="n">
        <v>4956.67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560</v>
      </c>
      <c r="D41" s="5" t="s">
        <v>1021</v>
      </c>
      <c r="E41" s="5" t="s">
        <v>81</v>
      </c>
      <c r="F41" s="11" t="n">
        <v>3791.17</v>
      </c>
      <c r="G41" s="12" t="n">
        <v>109.9555</v>
      </c>
      <c r="H41" s="12" t="n">
        <v>111.5079</v>
      </c>
      <c r="J41" s="8" t="n">
        <v>-1.56428</v>
      </c>
      <c r="K41" s="13" t="str">
        <f aca="false">IF(J41&gt;0,"прибыль",IF(J41&lt;0,"убыток","ноль"))</f>
        <v>убыток</v>
      </c>
      <c r="L41" s="13" t="n">
        <f aca="false">IF(C41="",L40,IF(J41&lt;0,L40+1,0))</f>
        <v>3</v>
      </c>
      <c r="M41" s="14" t="n">
        <v>-156.43</v>
      </c>
      <c r="N41" s="9" t="n">
        <v>-5930.47</v>
      </c>
      <c r="O41" s="9" t="n">
        <v>-973.8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1021</v>
      </c>
      <c r="D42" s="5" t="s">
        <v>1022</v>
      </c>
      <c r="E42" s="5" t="s">
        <v>77</v>
      </c>
      <c r="F42" s="11" t="n">
        <v>4346.43</v>
      </c>
      <c r="G42" s="12" t="n">
        <v>111.5079</v>
      </c>
      <c r="H42" s="12" t="n">
        <v>106.5614</v>
      </c>
      <c r="I42" s="5" t="s">
        <v>78</v>
      </c>
      <c r="J42" s="8" t="n">
        <v>-3.17454</v>
      </c>
      <c r="K42" s="13" t="str">
        <f aca="false">IF(J42&gt;0,"прибыль",IF(J42&lt;0,"убыток","ноль"))</f>
        <v>убыток</v>
      </c>
      <c r="L42" s="13" t="n">
        <f aca="false">IF(C42="",L41,IF(J42&lt;0,L41+1,0))</f>
        <v>4</v>
      </c>
      <c r="M42" s="14" t="n">
        <v>-317.45</v>
      </c>
      <c r="N42" s="9" t="n">
        <v>-13797.91</v>
      </c>
      <c r="O42" s="9" t="n">
        <v>-14771.71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1022</v>
      </c>
      <c r="D43" s="5" t="s">
        <v>1023</v>
      </c>
      <c r="E43" s="5" t="s">
        <v>81</v>
      </c>
      <c r="F43" s="11" t="n">
        <v>4117</v>
      </c>
      <c r="G43" s="12" t="n">
        <v>106.5614</v>
      </c>
      <c r="H43" s="12" t="n">
        <v>107.0099</v>
      </c>
      <c r="J43" s="8" t="n">
        <v>-0.45911</v>
      </c>
      <c r="K43" s="13" t="str">
        <f aca="false">IF(J43&gt;0,"прибыль",IF(J43&lt;0,"убыток","ноль"))</f>
        <v>убыток</v>
      </c>
      <c r="L43" s="13" t="n">
        <f aca="false">IF(C43="",L42,IF(J43&lt;0,L42+1,0))</f>
        <v>5</v>
      </c>
      <c r="M43" s="14" t="n">
        <v>-45.91</v>
      </c>
      <c r="N43" s="9" t="n">
        <v>-1890.17</v>
      </c>
      <c r="O43" s="9" t="n">
        <v>-16661.88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1023</v>
      </c>
      <c r="D44" s="5" t="s">
        <v>1024</v>
      </c>
      <c r="E44" s="5" t="s">
        <v>77</v>
      </c>
      <c r="F44" s="11" t="n">
        <v>4020.94</v>
      </c>
      <c r="G44" s="12" t="n">
        <v>107.0099</v>
      </c>
      <c r="H44" s="12" t="n">
        <v>106.971</v>
      </c>
      <c r="J44" s="8" t="n">
        <v>-0.04967</v>
      </c>
      <c r="K44" s="13" t="str">
        <f aca="false">IF(J44&gt;0,"прибыль",IF(J44&lt;0,"убыток","ноль"))</f>
        <v>убыток</v>
      </c>
      <c r="L44" s="13" t="n">
        <f aca="false">IF(C44="",L43,IF(J44&lt;0,L43+1,0))</f>
        <v>6</v>
      </c>
      <c r="M44" s="14" t="n">
        <v>-4.97</v>
      </c>
      <c r="N44" s="9" t="n">
        <v>-199.71</v>
      </c>
      <c r="O44" s="9" t="n">
        <v>-16861.59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1024</v>
      </c>
      <c r="D45" s="5" t="s">
        <v>1025</v>
      </c>
      <c r="E45" s="5" t="s">
        <v>81</v>
      </c>
      <c r="F45" s="11" t="n">
        <v>4127.37</v>
      </c>
      <c r="G45" s="12" t="n">
        <v>106.971</v>
      </c>
      <c r="H45" s="12" t="n">
        <v>106.4684</v>
      </c>
      <c r="I45" s="5" t="s">
        <v>78</v>
      </c>
      <c r="J45" s="8" t="n">
        <v>-0.17747</v>
      </c>
      <c r="K45" s="13" t="str">
        <f aca="false">IF(J45&gt;0,"прибыль",IF(J45&lt;0,"убыток","ноль"))</f>
        <v>убыток</v>
      </c>
      <c r="L45" s="13" t="n">
        <f aca="false">IF(C45="",L44,IF(J45&lt;0,L44+1,0))</f>
        <v>7</v>
      </c>
      <c r="M45" s="14" t="n">
        <v>-17.75</v>
      </c>
      <c r="N45" s="9" t="n">
        <v>-732.5</v>
      </c>
      <c r="O45" s="9" t="n">
        <v>-17594.09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1025</v>
      </c>
      <c r="D46" s="5" t="s">
        <v>854</v>
      </c>
      <c r="E46" s="5" t="s">
        <v>77</v>
      </c>
      <c r="F46" s="11" t="n">
        <v>4129.51</v>
      </c>
      <c r="G46" s="12" t="n">
        <v>106.4684</v>
      </c>
      <c r="H46" s="12" t="n">
        <v>106.3145</v>
      </c>
      <c r="J46" s="8" t="n">
        <v>-0.1648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8</v>
      </c>
      <c r="M46" s="14" t="n">
        <v>-16.48</v>
      </c>
      <c r="N46" s="9" t="n">
        <v>-680.53</v>
      </c>
      <c r="O46" s="9" t="n">
        <v>-18274.63</v>
      </c>
    </row>
    <row r="47" customFormat="false" ht="15" hidden="false" customHeight="false" outlineLevel="0" collapsed="false">
      <c r="A47" s="6" t="n">
        <v>42</v>
      </c>
      <c r="B47" s="5" t="s">
        <v>74</v>
      </c>
      <c r="C47" s="5" t="s">
        <v>854</v>
      </c>
      <c r="D47" s="5" t="s">
        <v>1026</v>
      </c>
      <c r="E47" s="5" t="s">
        <v>81</v>
      </c>
      <c r="F47" s="11" t="n">
        <v>4351.12</v>
      </c>
      <c r="G47" s="12" t="n">
        <v>106.3145</v>
      </c>
      <c r="H47" s="12" t="n">
        <v>108.3181</v>
      </c>
      <c r="J47" s="8" t="n">
        <v>-2.01427</v>
      </c>
      <c r="K47" s="13" t="str">
        <f aca="false">IF(J47&gt;0,"прибыль",IF(J47&lt;0,"убыток","ноль"))</f>
        <v>убыток</v>
      </c>
      <c r="L47" s="13" t="n">
        <f aca="false">IF(C47="",L46,IF(J47&lt;0,L46+1,0))</f>
        <v>9</v>
      </c>
      <c r="M47" s="14" t="n">
        <v>-201.43</v>
      </c>
      <c r="N47" s="9" t="n">
        <v>-8764.33</v>
      </c>
      <c r="O47" s="9" t="n">
        <v>-27038.96</v>
      </c>
    </row>
    <row r="48" customFormat="false" ht="15" hidden="false" customHeight="false" outlineLevel="0" collapsed="false">
      <c r="A48" s="6" t="n">
        <v>43</v>
      </c>
      <c r="B48" s="5" t="s">
        <v>74</v>
      </c>
      <c r="C48" s="5" t="s">
        <v>1026</v>
      </c>
      <c r="D48" s="5" t="s">
        <v>122</v>
      </c>
      <c r="E48" s="5" t="s">
        <v>77</v>
      </c>
      <c r="F48" s="11" t="n">
        <v>1378.37</v>
      </c>
      <c r="G48" s="12" t="n">
        <v>107.4777</v>
      </c>
      <c r="H48" s="12" t="n">
        <v>109.3032</v>
      </c>
      <c r="J48" s="8" t="n">
        <v>1.81047</v>
      </c>
      <c r="K48" s="13" t="str">
        <f aca="false">IF(J48&gt;0,"прибыль",IF(J48&lt;0,"убыток","ноль"))</f>
        <v>прибыль</v>
      </c>
      <c r="L48" s="13" t="n">
        <f aca="false">IF(C48="",L47,IF(J48&lt;0,L47+1,0))</f>
        <v>0</v>
      </c>
      <c r="M48" s="14" t="n">
        <v>181.05</v>
      </c>
      <c r="N48" s="9" t="n">
        <v>2495.5</v>
      </c>
      <c r="O48" s="9" t="n">
        <v>-24543.45</v>
      </c>
    </row>
    <row r="49" customFormat="false" ht="15" hidden="false" customHeight="false" outlineLevel="0" collapsed="false">
      <c r="A49" s="6" t="n">
        <v>44</v>
      </c>
      <c r="B49" s="5" t="s">
        <v>74</v>
      </c>
      <c r="C49" s="5" t="s">
        <v>122</v>
      </c>
      <c r="D49" s="5" t="s">
        <v>1027</v>
      </c>
      <c r="E49" s="5" t="s">
        <v>77</v>
      </c>
      <c r="F49" s="11" t="n">
        <v>5285.33</v>
      </c>
      <c r="G49" s="12" t="n">
        <v>107.4777</v>
      </c>
      <c r="H49" s="12" t="n">
        <v>109.0987</v>
      </c>
      <c r="I49" s="5" t="s">
        <v>78</v>
      </c>
      <c r="J49" s="8" t="n">
        <v>1.28436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128.44</v>
      </c>
      <c r="N49" s="9" t="n">
        <v>6788.25</v>
      </c>
      <c r="O49" s="9" t="n">
        <v>-17755.2</v>
      </c>
    </row>
    <row r="50" customFormat="false" ht="15" hidden="false" customHeight="false" outlineLevel="0" collapsed="false">
      <c r="A50" s="6" t="n">
        <v>45</v>
      </c>
      <c r="B50" s="5" t="s">
        <v>74</v>
      </c>
      <c r="C50" s="5" t="s">
        <v>1027</v>
      </c>
      <c r="D50" s="5" t="s">
        <v>1028</v>
      </c>
      <c r="E50" s="5" t="s">
        <v>81</v>
      </c>
      <c r="F50" s="11" t="n">
        <v>4795.78</v>
      </c>
      <c r="G50" s="12" t="n">
        <v>109.0987</v>
      </c>
      <c r="H50" s="12" t="n">
        <v>108.4864</v>
      </c>
      <c r="J50" s="8" t="n">
        <v>0.60081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60.08</v>
      </c>
      <c r="N50" s="9" t="n">
        <v>2881.33</v>
      </c>
      <c r="O50" s="9" t="n">
        <v>-14873.87</v>
      </c>
    </row>
    <row r="51" customFormat="false" ht="15" hidden="false" customHeight="false" outlineLevel="0" collapsed="false">
      <c r="A51" s="6" t="n">
        <v>46</v>
      </c>
      <c r="B51" s="5" t="s">
        <v>74</v>
      </c>
      <c r="C51" s="5" t="s">
        <v>1028</v>
      </c>
      <c r="D51" s="5" t="s">
        <v>652</v>
      </c>
      <c r="E51" s="5" t="s">
        <v>77</v>
      </c>
      <c r="F51" s="11" t="n">
        <v>5298.14</v>
      </c>
      <c r="G51" s="12" t="n">
        <v>108.4864</v>
      </c>
      <c r="H51" s="12" t="n">
        <v>107.3323</v>
      </c>
      <c r="J51" s="8" t="n">
        <v>-1.16468</v>
      </c>
      <c r="K51" s="13" t="str">
        <f aca="false">IF(J51&gt;0,"прибыль",IF(J51&lt;0,"убыток","ноль"))</f>
        <v>убыток</v>
      </c>
      <c r="L51" s="13" t="n">
        <f aca="false">IF(C51="",L50,IF(J51&lt;0,L50+1,0))</f>
        <v>1</v>
      </c>
      <c r="M51" s="14" t="n">
        <v>-116.47</v>
      </c>
      <c r="N51" s="9" t="n">
        <v>-6170.62</v>
      </c>
      <c r="O51" s="9" t="n">
        <v>-21044.49</v>
      </c>
    </row>
    <row r="52" customFormat="false" ht="15" hidden="false" customHeight="false" outlineLevel="0" collapsed="false">
      <c r="A52" s="6" t="n">
        <v>47</v>
      </c>
      <c r="B52" s="5" t="s">
        <v>74</v>
      </c>
      <c r="C52" s="5" t="s">
        <v>652</v>
      </c>
      <c r="D52" s="5" t="s">
        <v>1029</v>
      </c>
      <c r="E52" s="5" t="s">
        <v>81</v>
      </c>
      <c r="F52" s="11" t="n">
        <v>5131.75</v>
      </c>
      <c r="G52" s="12" t="n">
        <v>107.3323</v>
      </c>
      <c r="H52" s="12" t="n">
        <v>108.6706</v>
      </c>
      <c r="J52" s="8" t="n">
        <v>-1.34887</v>
      </c>
      <c r="K52" s="13" t="str">
        <f aca="false">IF(J52&gt;0,"прибыль",IF(J52&lt;0,"убыток","ноль"))</f>
        <v>убыток</v>
      </c>
      <c r="L52" s="13" t="n">
        <f aca="false">IF(C52="",L51,IF(J52&lt;0,L51+1,0))</f>
        <v>2</v>
      </c>
      <c r="M52" s="14" t="n">
        <v>-134.89</v>
      </c>
      <c r="N52" s="9" t="n">
        <v>-6922.07</v>
      </c>
      <c r="O52" s="9" t="n">
        <v>-27966.55</v>
      </c>
    </row>
    <row r="53" customFormat="false" ht="15" hidden="false" customHeight="false" outlineLevel="0" collapsed="false">
      <c r="A53" s="6" t="n">
        <v>48</v>
      </c>
      <c r="B53" s="5" t="s">
        <v>74</v>
      </c>
      <c r="C53" s="5" t="s">
        <v>1029</v>
      </c>
      <c r="D53" s="5" t="s">
        <v>125</v>
      </c>
      <c r="E53" s="5" t="s">
        <v>77</v>
      </c>
      <c r="F53" s="11" t="n">
        <v>4956.14</v>
      </c>
      <c r="G53" s="12" t="n">
        <v>108.6706</v>
      </c>
      <c r="H53" s="12" t="n">
        <v>106.2033</v>
      </c>
      <c r="I53" s="5" t="s">
        <v>78</v>
      </c>
      <c r="J53" s="8" t="n">
        <v>-0.26558</v>
      </c>
      <c r="K53" s="13" t="str">
        <f aca="false">IF(J53&gt;0,"прибыль",IF(J53&lt;0,"убыток","ноль"))</f>
        <v>убыток</v>
      </c>
      <c r="L53" s="13" t="n">
        <f aca="false">IF(C53="",L52,IF(J53&lt;0,L52+1,0))</f>
        <v>3</v>
      </c>
      <c r="M53" s="14" t="n">
        <v>-26.56</v>
      </c>
      <c r="N53" s="9" t="n">
        <v>-1316.25</v>
      </c>
      <c r="O53" s="9" t="n">
        <v>-29282.8</v>
      </c>
    </row>
    <row r="54" customFormat="false" ht="15" hidden="false" customHeight="false" outlineLevel="0" collapsed="false">
      <c r="A54" s="6" t="n">
        <v>49</v>
      </c>
      <c r="B54" s="5" t="s">
        <v>74</v>
      </c>
      <c r="C54" s="5" t="s">
        <v>125</v>
      </c>
      <c r="D54" s="5" t="s">
        <v>1030</v>
      </c>
      <c r="E54" s="5" t="s">
        <v>81</v>
      </c>
      <c r="F54" s="11" t="n">
        <v>5194.22</v>
      </c>
      <c r="G54" s="12" t="n">
        <v>106.2033</v>
      </c>
      <c r="H54" s="12" t="n">
        <v>106.3554</v>
      </c>
      <c r="J54" s="8" t="n">
        <v>-0.16297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4</v>
      </c>
      <c r="M54" s="14" t="n">
        <v>-16.3</v>
      </c>
      <c r="N54" s="9" t="n">
        <v>-846.51</v>
      </c>
      <c r="O54" s="9" t="n">
        <v>-30129.31</v>
      </c>
    </row>
    <row r="55" customFormat="false" ht="15" hidden="false" customHeight="false" outlineLevel="0" collapsed="false">
      <c r="A55" s="6" t="n">
        <v>50</v>
      </c>
      <c r="B55" s="5" t="s">
        <v>74</v>
      </c>
      <c r="C55" s="5" t="s">
        <v>1030</v>
      </c>
      <c r="D55" s="5" t="s">
        <v>131</v>
      </c>
      <c r="E55" s="5" t="s">
        <v>77</v>
      </c>
      <c r="F55" s="11" t="n">
        <v>5316.79</v>
      </c>
      <c r="G55" s="12" t="n">
        <v>106.3554</v>
      </c>
      <c r="H55" s="12" t="n">
        <v>107.3986</v>
      </c>
      <c r="I55" s="5" t="s">
        <v>78</v>
      </c>
      <c r="J55" s="8" t="n">
        <v>0.2789</v>
      </c>
      <c r="K55" s="13" t="str">
        <f aca="false">IF(J55&gt;0,"прибыль",IF(J55&lt;0,"убыток","ноль"))</f>
        <v>прибыль</v>
      </c>
      <c r="L55" s="13" t="n">
        <f aca="false">IF(C55="",L54,IF(J55&lt;0,L54+1,0))</f>
        <v>0</v>
      </c>
      <c r="M55" s="14" t="n">
        <v>27.89</v>
      </c>
      <c r="N55" s="9" t="n">
        <v>1482.86</v>
      </c>
      <c r="O55" s="9" t="n">
        <v>-28646.45</v>
      </c>
    </row>
    <row r="56" customFormat="false" ht="15" hidden="false" customHeight="false" outlineLevel="0" collapsed="false">
      <c r="A56" s="6" t="n">
        <v>51</v>
      </c>
      <c r="B56" s="5" t="s">
        <v>74</v>
      </c>
      <c r="C56" s="5" t="s">
        <v>131</v>
      </c>
      <c r="D56" s="5" t="s">
        <v>132</v>
      </c>
      <c r="E56" s="5" t="s">
        <v>81</v>
      </c>
      <c r="F56" s="11" t="n">
        <v>5959.2</v>
      </c>
      <c r="G56" s="12" t="n">
        <v>107.3986</v>
      </c>
      <c r="H56" s="12" t="n">
        <v>108.4696</v>
      </c>
      <c r="J56" s="8" t="n">
        <v>-1.0822</v>
      </c>
      <c r="K56" s="13" t="str">
        <f aca="false">IF(J56&gt;0,"прибыль",IF(J56&lt;0,"убыток","ноль"))</f>
        <v>убыток</v>
      </c>
      <c r="L56" s="13" t="n">
        <f aca="false">IF(C56="",L55,IF(J56&lt;0,L55+1,0))</f>
        <v>1</v>
      </c>
      <c r="M56" s="14" t="n">
        <v>-108.22</v>
      </c>
      <c r="N56" s="9" t="n">
        <v>-6449.06</v>
      </c>
      <c r="O56" s="9" t="n">
        <v>-35095.51</v>
      </c>
    </row>
    <row r="57" customFormat="false" ht="15" hidden="false" customHeight="false" outlineLevel="0" collapsed="false">
      <c r="A57" s="6" t="n">
        <v>52</v>
      </c>
      <c r="B57" s="5" t="s">
        <v>74</v>
      </c>
      <c r="C57" s="5" t="s">
        <v>132</v>
      </c>
      <c r="D57" s="5" t="s">
        <v>133</v>
      </c>
      <c r="E57" s="5" t="s">
        <v>77</v>
      </c>
      <c r="F57" s="11" t="n">
        <v>5013.58</v>
      </c>
      <c r="G57" s="12" t="n">
        <v>109.0788</v>
      </c>
      <c r="H57" s="12" t="n">
        <v>113.2917</v>
      </c>
      <c r="I57" s="5" t="s">
        <v>78</v>
      </c>
      <c r="J57" s="8" t="n">
        <v>4.76601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476.6</v>
      </c>
      <c r="N57" s="9" t="n">
        <v>23894.78</v>
      </c>
      <c r="O57" s="9" t="n">
        <v>-11200.73</v>
      </c>
    </row>
    <row r="58" customFormat="false" ht="15" hidden="false" customHeight="false" outlineLevel="0" collapsed="false">
      <c r="A58" s="6" t="n">
        <v>53</v>
      </c>
      <c r="B58" s="5" t="s">
        <v>74</v>
      </c>
      <c r="C58" s="5" t="s">
        <v>133</v>
      </c>
      <c r="D58" s="5" t="s">
        <v>1031</v>
      </c>
      <c r="E58" s="5" t="s">
        <v>77</v>
      </c>
      <c r="F58" s="11" t="n">
        <v>5274.22</v>
      </c>
      <c r="G58" s="12" t="n">
        <v>108.5157</v>
      </c>
      <c r="H58" s="12" t="n">
        <v>108.5783</v>
      </c>
      <c r="I58" s="5" t="s">
        <v>78</v>
      </c>
      <c r="J58" s="8" t="n">
        <v>0.33032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33.03</v>
      </c>
      <c r="N58" s="9" t="n">
        <v>1742.17</v>
      </c>
      <c r="O58" s="9" t="n">
        <v>-9458.56</v>
      </c>
    </row>
    <row r="59" customFormat="false" ht="15" hidden="false" customHeight="false" outlineLevel="0" collapsed="false">
      <c r="A59" s="6" t="n">
        <v>54</v>
      </c>
      <c r="B59" s="5" t="s">
        <v>74</v>
      </c>
      <c r="C59" s="5" t="s">
        <v>1031</v>
      </c>
      <c r="D59" s="5" t="s">
        <v>135</v>
      </c>
      <c r="E59" s="5" t="s">
        <v>81</v>
      </c>
      <c r="F59" s="11" t="n">
        <v>1725.67</v>
      </c>
      <c r="G59" s="12" t="n">
        <v>108.0151</v>
      </c>
      <c r="H59" s="12" t="n">
        <v>102.4106</v>
      </c>
      <c r="I59" s="5" t="s">
        <v>78</v>
      </c>
      <c r="J59" s="8" t="n">
        <v>9.1178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911.78</v>
      </c>
      <c r="N59" s="9" t="n">
        <v>15734.27</v>
      </c>
      <c r="O59" s="9" t="n">
        <v>6275.7</v>
      </c>
    </row>
    <row r="60" customFormat="false" ht="15" hidden="false" customHeight="false" outlineLevel="0" collapsed="false">
      <c r="A60" s="6" t="n">
        <v>55</v>
      </c>
      <c r="B60" s="5" t="s">
        <v>74</v>
      </c>
      <c r="C60" s="5" t="s">
        <v>135</v>
      </c>
      <c r="D60" s="5" t="s">
        <v>136</v>
      </c>
      <c r="E60" s="5" t="s">
        <v>81</v>
      </c>
      <c r="F60" s="11" t="n">
        <v>1821.46</v>
      </c>
      <c r="G60" s="12" t="n">
        <v>105.9065</v>
      </c>
      <c r="H60" s="12" t="n">
        <v>85.2819</v>
      </c>
      <c r="I60" s="5" t="s">
        <v>78</v>
      </c>
      <c r="J60" s="8" t="n">
        <v>23.23391</v>
      </c>
      <c r="K60" s="13" t="str">
        <f aca="false">IF(J60&gt;0,"прибыль",IF(J60&lt;0,"убыток","ноль"))</f>
        <v>прибыль</v>
      </c>
      <c r="L60" s="13" t="n">
        <f aca="false">IF(C60="",L59,IF(J60&lt;0,L59+1,0))</f>
        <v>0</v>
      </c>
      <c r="M60" s="14" t="n">
        <v>2323.39</v>
      </c>
      <c r="N60" s="9" t="n">
        <v>42319.66</v>
      </c>
      <c r="O60" s="9" t="n">
        <v>48595.37</v>
      </c>
    </row>
    <row r="61" customFormat="false" ht="15" hidden="false" customHeight="false" outlineLevel="0" collapsed="false">
      <c r="A61" s="6" t="n">
        <v>56</v>
      </c>
      <c r="B61" s="5" t="s">
        <v>74</v>
      </c>
      <c r="C61" s="5" t="s">
        <v>136</v>
      </c>
      <c r="D61" s="5" t="s">
        <v>137</v>
      </c>
      <c r="E61" s="5" t="s">
        <v>81</v>
      </c>
      <c r="F61" s="11" t="n">
        <v>1014.8</v>
      </c>
      <c r="G61" s="12" t="n">
        <v>108.5262</v>
      </c>
      <c r="H61" s="12" t="n">
        <v>87.1156</v>
      </c>
      <c r="I61" s="5" t="s">
        <v>78</v>
      </c>
      <c r="J61" s="8" t="n">
        <v>23.64026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2364.03</v>
      </c>
      <c r="N61" s="9" t="n">
        <v>23990.2</v>
      </c>
      <c r="O61" s="9" t="n">
        <v>72585.57</v>
      </c>
    </row>
    <row r="62" customFormat="false" ht="15" hidden="false" customHeight="false" outlineLevel="0" collapsed="false">
      <c r="A62" s="6" t="n">
        <v>57</v>
      </c>
      <c r="B62" s="5" t="s">
        <v>74</v>
      </c>
      <c r="C62" s="5" t="s">
        <v>137</v>
      </c>
      <c r="D62" s="5" t="s">
        <v>138</v>
      </c>
      <c r="E62" s="5" t="s">
        <v>81</v>
      </c>
      <c r="F62" s="11" t="n">
        <v>1102.04</v>
      </c>
      <c r="G62" s="12" t="n">
        <v>103.5025</v>
      </c>
      <c r="H62" s="12" t="n">
        <v>72.5912</v>
      </c>
      <c r="I62" s="5" t="s">
        <v>78</v>
      </c>
      <c r="J62" s="8" t="n">
        <v>33.29971</v>
      </c>
      <c r="K62" s="13" t="str">
        <f aca="false">IF(J62&gt;0,"прибыль",IF(J62&lt;0,"убыток","ноль"))</f>
        <v>прибыль</v>
      </c>
      <c r="L62" s="13" t="n">
        <f aca="false">IF(C62="",L61,IF(J62&lt;0,L61+1,0))</f>
        <v>0</v>
      </c>
      <c r="M62" s="14" t="n">
        <v>3329.97</v>
      </c>
      <c r="N62" s="9" t="n">
        <v>36697.5</v>
      </c>
      <c r="O62" s="9" t="n">
        <v>109283.07</v>
      </c>
    </row>
    <row r="63" customFormat="false" ht="15" hidden="false" customHeight="false" outlineLevel="0" collapsed="false">
      <c r="A63" s="6" t="n">
        <v>58</v>
      </c>
      <c r="B63" s="5" t="s">
        <v>74</v>
      </c>
      <c r="C63" s="5" t="s">
        <v>138</v>
      </c>
      <c r="D63" s="5" t="s">
        <v>1032</v>
      </c>
      <c r="E63" s="5" t="s">
        <v>81</v>
      </c>
      <c r="F63" s="11" t="n">
        <v>3914.61</v>
      </c>
      <c r="G63" s="12" t="n">
        <v>105.899</v>
      </c>
      <c r="H63" s="12" t="n">
        <v>63.7051</v>
      </c>
      <c r="J63" s="8" t="n">
        <v>42.19073</v>
      </c>
      <c r="K63" s="13" t="str">
        <f aca="false">IF(J63&gt;0,"прибыль",IF(J63&lt;0,"убыток","ноль"))</f>
        <v>прибыль</v>
      </c>
      <c r="L63" s="13" t="n">
        <f aca="false">IF(C63="",L62,IF(J63&lt;0,L62+1,0))</f>
        <v>0</v>
      </c>
      <c r="M63" s="14" t="n">
        <v>4219.07</v>
      </c>
      <c r="N63" s="9" t="n">
        <v>165160.24</v>
      </c>
      <c r="O63" s="9" t="n">
        <v>274443.31</v>
      </c>
    </row>
    <row r="64" customFormat="false" ht="15" hidden="false" customHeight="false" outlineLevel="0" collapsed="false">
      <c r="A64" s="6" t="n">
        <v>59</v>
      </c>
      <c r="B64" s="5" t="s">
        <v>74</v>
      </c>
      <c r="C64" s="5" t="s">
        <v>567</v>
      </c>
      <c r="D64" s="5" t="s">
        <v>1033</v>
      </c>
      <c r="E64" s="5" t="s">
        <v>77</v>
      </c>
      <c r="F64" s="11" t="n">
        <v>9219.43</v>
      </c>
      <c r="G64" s="12" t="n">
        <v>59.9878</v>
      </c>
      <c r="H64" s="12" t="n">
        <v>64.3073</v>
      </c>
      <c r="I64" s="5" t="s">
        <v>78</v>
      </c>
      <c r="J64" s="8" t="n">
        <v>0.64691</v>
      </c>
      <c r="K64" s="13" t="str">
        <f aca="false">IF(J64&gt;0,"прибыль",IF(J64&lt;0,"убыток","ноль"))</f>
        <v>прибыль</v>
      </c>
      <c r="L64" s="13" t="n">
        <f aca="false">IF(C64="",L63,IF(J64&lt;0,L63+1,0))</f>
        <v>0</v>
      </c>
      <c r="M64" s="14" t="n">
        <v>64.69</v>
      </c>
      <c r="N64" s="9" t="n">
        <v>5964.13</v>
      </c>
      <c r="O64" s="9" t="n">
        <v>280407.45</v>
      </c>
    </row>
    <row r="65" customFormat="false" ht="15" hidden="false" customHeight="false" outlineLevel="0" collapsed="false">
      <c r="A65" s="6" t="n">
        <v>60</v>
      </c>
      <c r="B65" s="5" t="s">
        <v>74</v>
      </c>
      <c r="C65" s="5" t="s">
        <v>1034</v>
      </c>
      <c r="D65" s="5" t="s">
        <v>1035</v>
      </c>
      <c r="E65" s="5" t="s">
        <v>77</v>
      </c>
      <c r="F65" s="11" t="n">
        <v>8640.16</v>
      </c>
      <c r="G65" s="12" t="n">
        <v>64.9935</v>
      </c>
      <c r="H65" s="12" t="n">
        <v>63.9183</v>
      </c>
      <c r="J65" s="8" t="n">
        <v>-1.08166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1</v>
      </c>
      <c r="M65" s="14" t="n">
        <v>-108.17</v>
      </c>
      <c r="N65" s="9" t="n">
        <v>-9345.72</v>
      </c>
      <c r="O65" s="9" t="n">
        <v>271061.73</v>
      </c>
    </row>
    <row r="66" customFormat="false" ht="15" hidden="false" customHeight="false" outlineLevel="0" collapsed="false">
      <c r="A66" s="6" t="n">
        <v>61</v>
      </c>
      <c r="B66" s="5" t="s">
        <v>74</v>
      </c>
      <c r="C66" s="5" t="s">
        <v>151</v>
      </c>
      <c r="D66" s="5" t="s">
        <v>1036</v>
      </c>
      <c r="E66" s="5" t="s">
        <v>77</v>
      </c>
      <c r="F66" s="11" t="n">
        <v>7343.96</v>
      </c>
      <c r="G66" s="12" t="n">
        <v>65.4129</v>
      </c>
      <c r="H66" s="12" t="n">
        <v>63.6995</v>
      </c>
      <c r="J66" s="8" t="n">
        <v>-1.71992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2</v>
      </c>
      <c r="M66" s="14" t="n">
        <v>-171.99</v>
      </c>
      <c r="N66" s="9" t="n">
        <v>-12631.06</v>
      </c>
      <c r="O66" s="9" t="n">
        <v>258430.67</v>
      </c>
    </row>
    <row r="67" customFormat="false" ht="15" hidden="false" customHeight="false" outlineLevel="0" collapsed="false">
      <c r="A67" s="6" t="n">
        <v>62</v>
      </c>
      <c r="B67" s="5" t="s">
        <v>74</v>
      </c>
      <c r="C67" s="5" t="s">
        <v>1037</v>
      </c>
      <c r="D67" s="5" t="s">
        <v>155</v>
      </c>
      <c r="E67" s="5" t="s">
        <v>77</v>
      </c>
      <c r="F67" s="11" t="n">
        <v>7334.65</v>
      </c>
      <c r="G67" s="12" t="n">
        <v>63.2413</v>
      </c>
      <c r="H67" s="12" t="n">
        <v>63.456</v>
      </c>
      <c r="I67" s="5" t="s">
        <v>78</v>
      </c>
      <c r="J67" s="8" t="n">
        <v>-0.91275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3</v>
      </c>
      <c r="M67" s="14" t="n">
        <v>-91.27</v>
      </c>
      <c r="N67" s="9" t="n">
        <v>-6694.69</v>
      </c>
      <c r="O67" s="9" t="n">
        <v>251735.98</v>
      </c>
    </row>
    <row r="68" customFormat="false" ht="15" hidden="false" customHeight="false" outlineLevel="0" collapsed="false">
      <c r="A68" s="6" t="n">
        <v>63</v>
      </c>
      <c r="B68" s="5" t="s">
        <v>74</v>
      </c>
      <c r="C68" s="5" t="s">
        <v>1038</v>
      </c>
      <c r="D68" s="5" t="s">
        <v>1039</v>
      </c>
      <c r="E68" s="5" t="s">
        <v>77</v>
      </c>
      <c r="F68" s="11" t="n">
        <v>7423.69</v>
      </c>
      <c r="G68" s="12" t="n">
        <v>63.4519</v>
      </c>
      <c r="H68" s="12" t="n">
        <v>60.1284</v>
      </c>
      <c r="J68" s="8" t="n">
        <v>-3.32974</v>
      </c>
      <c r="K68" s="13" t="str">
        <f aca="false">IF(J68&gt;0,"прибыль",IF(J68&lt;0,"убыток","ноль"))</f>
        <v>убыток</v>
      </c>
      <c r="L68" s="13" t="n">
        <f aca="false">IF(C68="",L67,IF(J68&lt;0,L67+1,0))</f>
        <v>4</v>
      </c>
      <c r="M68" s="14" t="n">
        <v>-332.97</v>
      </c>
      <c r="N68" s="9" t="n">
        <v>-24718.96</v>
      </c>
      <c r="O68" s="9" t="n">
        <v>227017.01</v>
      </c>
    </row>
    <row r="69" customFormat="false" ht="15" hidden="false" customHeight="false" outlineLevel="0" collapsed="false">
      <c r="A69" s="6" t="n">
        <v>64</v>
      </c>
      <c r="B69" s="5" t="s">
        <v>74</v>
      </c>
      <c r="C69" s="5" t="s">
        <v>661</v>
      </c>
      <c r="D69" s="5" t="s">
        <v>663</v>
      </c>
      <c r="E69" s="5" t="s">
        <v>77</v>
      </c>
      <c r="F69" s="11" t="n">
        <v>4061.63</v>
      </c>
      <c r="G69" s="12" t="n">
        <v>39.4345</v>
      </c>
      <c r="H69" s="12" t="n">
        <v>41.6705</v>
      </c>
      <c r="I69" s="5" t="s">
        <v>78</v>
      </c>
      <c r="J69" s="8" t="n">
        <v>3.22185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322.19</v>
      </c>
      <c r="N69" s="9" t="n">
        <v>13085.98</v>
      </c>
      <c r="O69" s="9" t="n">
        <v>240102.99</v>
      </c>
    </row>
    <row r="70" customFormat="false" ht="15" hidden="false" customHeight="false" outlineLevel="0" collapsed="false">
      <c r="A70" s="6" t="n">
        <v>65</v>
      </c>
      <c r="B70" s="5" t="s">
        <v>74</v>
      </c>
      <c r="C70" s="5" t="s">
        <v>663</v>
      </c>
      <c r="D70" s="5" t="s">
        <v>170</v>
      </c>
      <c r="E70" s="5" t="s">
        <v>77</v>
      </c>
      <c r="F70" s="11" t="n">
        <v>4693.29</v>
      </c>
      <c r="G70" s="12" t="n">
        <v>42.2969</v>
      </c>
      <c r="H70" s="12" t="n">
        <v>49.2282</v>
      </c>
      <c r="I70" s="5" t="s">
        <v>78</v>
      </c>
      <c r="J70" s="8" t="n">
        <v>7.38621</v>
      </c>
      <c r="K70" s="13" t="str">
        <f aca="false">IF(J70&gt;0,"прибыль",IF(J70&lt;0,"убыток","ноль"))</f>
        <v>прибыль</v>
      </c>
      <c r="L70" s="13" t="n">
        <f aca="false">IF(C70="",L69,IF(J70&lt;0,L69+1,0))</f>
        <v>0</v>
      </c>
      <c r="M70" s="14" t="n">
        <v>738.62</v>
      </c>
      <c r="N70" s="9" t="n">
        <v>34665.57</v>
      </c>
      <c r="O70" s="9" t="n">
        <v>274768.56</v>
      </c>
    </row>
    <row r="71" customFormat="false" ht="15" hidden="false" customHeight="false" outlineLevel="0" collapsed="false">
      <c r="A71" s="6" t="n">
        <v>66</v>
      </c>
      <c r="B71" s="5" t="s">
        <v>74</v>
      </c>
      <c r="C71" s="5" t="s">
        <v>170</v>
      </c>
      <c r="D71" s="5" t="s">
        <v>171</v>
      </c>
      <c r="E71" s="5" t="s">
        <v>77</v>
      </c>
      <c r="F71" s="11" t="n">
        <v>2169.08</v>
      </c>
      <c r="G71" s="12" t="n">
        <v>41.8371</v>
      </c>
      <c r="H71" s="12" t="n">
        <v>48.6752</v>
      </c>
      <c r="J71" s="8" t="n">
        <v>6.83573</v>
      </c>
      <c r="K71" s="13" t="str">
        <f aca="false">IF(J71&gt;0,"прибыль",IF(J71&lt;0,"убыток","ноль"))</f>
        <v>прибыль</v>
      </c>
      <c r="L71" s="13" t="n">
        <f aca="false">IF(C71="",L70,IF(J71&lt;0,L70+1,0))</f>
        <v>0</v>
      </c>
      <c r="M71" s="14" t="n">
        <v>683.57</v>
      </c>
      <c r="N71" s="9" t="n">
        <v>14827.24</v>
      </c>
      <c r="O71" s="9" t="n">
        <v>289595.8</v>
      </c>
    </row>
    <row r="72" customFormat="false" ht="15" hidden="false" customHeight="false" outlineLevel="0" collapsed="false">
      <c r="A72" s="6" t="n">
        <v>67</v>
      </c>
      <c r="B72" s="5" t="s">
        <v>74</v>
      </c>
      <c r="C72" s="5" t="s">
        <v>171</v>
      </c>
      <c r="D72" s="5" t="s">
        <v>1040</v>
      </c>
      <c r="E72" s="5" t="s">
        <v>77</v>
      </c>
      <c r="F72" s="11" t="n">
        <v>7643.45</v>
      </c>
      <c r="G72" s="12" t="n">
        <v>41.8371</v>
      </c>
      <c r="H72" s="12" t="n">
        <v>44.7122</v>
      </c>
      <c r="I72" s="5" t="s">
        <v>78</v>
      </c>
      <c r="J72" s="8" t="n">
        <v>2.26006</v>
      </c>
      <c r="K72" s="13" t="str">
        <f aca="false">IF(J72&gt;0,"прибыль",IF(J72&lt;0,"убыток","ноль"))</f>
        <v>прибыль</v>
      </c>
      <c r="L72" s="13" t="n">
        <f aca="false">IF(C72="",L71,IF(J72&lt;0,L71+1,0))</f>
        <v>0</v>
      </c>
      <c r="M72" s="14" t="n">
        <v>226.01</v>
      </c>
      <c r="N72" s="9" t="n">
        <v>17274.66</v>
      </c>
      <c r="O72" s="9" t="n">
        <v>306870.46</v>
      </c>
    </row>
    <row r="73" customFormat="false" ht="15" hidden="false" customHeight="false" outlineLevel="0" collapsed="false">
      <c r="A73" s="6" t="n">
        <v>68</v>
      </c>
      <c r="B73" s="5" t="s">
        <v>74</v>
      </c>
      <c r="C73" s="5" t="s">
        <v>1041</v>
      </c>
      <c r="D73" s="5" t="s">
        <v>176</v>
      </c>
      <c r="E73" s="5" t="s">
        <v>77</v>
      </c>
      <c r="F73" s="11" t="n">
        <v>9080.6</v>
      </c>
      <c r="G73" s="12" t="n">
        <v>49.096</v>
      </c>
      <c r="H73" s="12" t="n">
        <v>49.043</v>
      </c>
      <c r="J73" s="8" t="n">
        <v>-0.05795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1</v>
      </c>
      <c r="M73" s="14" t="n">
        <v>-5.8</v>
      </c>
      <c r="N73" s="9" t="n">
        <v>-526.26</v>
      </c>
      <c r="O73" s="9" t="n">
        <v>306344.2</v>
      </c>
    </row>
    <row r="74" customFormat="false" ht="15" hidden="false" customHeight="false" outlineLevel="0" collapsed="false">
      <c r="A74" s="6" t="n">
        <v>69</v>
      </c>
      <c r="B74" s="5" t="s">
        <v>74</v>
      </c>
      <c r="C74" s="5" t="s">
        <v>1042</v>
      </c>
      <c r="D74" s="5" t="s">
        <v>1043</v>
      </c>
      <c r="E74" s="5" t="s">
        <v>77</v>
      </c>
      <c r="F74" s="11" t="n">
        <v>9473.13</v>
      </c>
      <c r="G74" s="12" t="n">
        <v>48.6338</v>
      </c>
      <c r="H74" s="12" t="n">
        <v>47.7079</v>
      </c>
      <c r="J74" s="8" t="n">
        <v>-0.93077</v>
      </c>
      <c r="K74" s="13" t="str">
        <f aca="false">IF(J74&gt;0,"прибыль",IF(J74&lt;0,"убыток","ноль"))</f>
        <v>убыток</v>
      </c>
      <c r="L74" s="13" t="n">
        <f aca="false">IF(C74="",L73,IF(J74&lt;0,L73+1,0))</f>
        <v>2</v>
      </c>
      <c r="M74" s="14" t="n">
        <v>-93.08</v>
      </c>
      <c r="N74" s="9" t="n">
        <v>-8817.31</v>
      </c>
      <c r="O74" s="9" t="n">
        <v>297526.89</v>
      </c>
    </row>
    <row r="75" customFormat="false" ht="15" hidden="false" customHeight="false" outlineLevel="0" collapsed="false">
      <c r="A75" s="6" t="n">
        <v>70</v>
      </c>
      <c r="B75" s="5" t="s">
        <v>74</v>
      </c>
      <c r="C75" s="5" t="s">
        <v>1044</v>
      </c>
      <c r="D75" s="5" t="s">
        <v>1045</v>
      </c>
      <c r="E75" s="5" t="s">
        <v>77</v>
      </c>
      <c r="F75" s="11" t="n">
        <v>14222.47</v>
      </c>
      <c r="G75" s="12" t="n">
        <v>48.8275</v>
      </c>
      <c r="H75" s="12" t="n">
        <v>46.2438</v>
      </c>
      <c r="I75" s="5" t="s">
        <v>78</v>
      </c>
      <c r="J75" s="8" t="n">
        <v>-3.86297</v>
      </c>
      <c r="K75" s="13" t="str">
        <f aca="false">IF(J75&gt;0,"прибыль",IF(J75&lt;0,"убыток","ноль"))</f>
        <v>убыток</v>
      </c>
      <c r="L75" s="13" t="n">
        <f aca="false">IF(C75="",L74,IF(J75&lt;0,L74+1,0))</f>
        <v>3</v>
      </c>
      <c r="M75" s="14" t="n">
        <v>-386.3</v>
      </c>
      <c r="N75" s="9" t="n">
        <v>-54940.99</v>
      </c>
      <c r="O75" s="9" t="n">
        <v>242585.89</v>
      </c>
    </row>
    <row r="76" customFormat="false" ht="15" hidden="false" customHeight="false" outlineLevel="0" collapsed="false">
      <c r="A76" s="6" t="n">
        <v>71</v>
      </c>
      <c r="B76" s="5" t="s">
        <v>74</v>
      </c>
      <c r="C76" s="5" t="s">
        <v>1046</v>
      </c>
      <c r="D76" s="5" t="s">
        <v>1047</v>
      </c>
      <c r="E76" s="5" t="s">
        <v>77</v>
      </c>
      <c r="F76" s="11" t="n">
        <v>8699.35</v>
      </c>
      <c r="G76" s="12" t="n">
        <v>49.0683</v>
      </c>
      <c r="H76" s="12" t="n">
        <v>46.4509</v>
      </c>
      <c r="J76" s="8" t="n">
        <v>-2.62213</v>
      </c>
      <c r="K76" s="13" t="str">
        <f aca="false">IF(J76&gt;0,"прибыль",IF(J76&lt;0,"убыток","ноль"))</f>
        <v>убыток</v>
      </c>
      <c r="L76" s="13" t="n">
        <f aca="false">IF(C76="",L75,IF(J76&lt;0,L75+1,0))</f>
        <v>4</v>
      </c>
      <c r="M76" s="14" t="n">
        <v>-262.21</v>
      </c>
      <c r="N76" s="9" t="n">
        <v>-22810.83</v>
      </c>
      <c r="O76" s="9" t="n">
        <v>219775.07</v>
      </c>
    </row>
    <row r="77" customFormat="false" ht="15" hidden="false" customHeight="false" outlineLevel="0" collapsed="false">
      <c r="A77" s="6" t="n">
        <v>72</v>
      </c>
      <c r="B77" s="5" t="s">
        <v>74</v>
      </c>
      <c r="C77" s="5" t="s">
        <v>185</v>
      </c>
      <c r="D77" s="5" t="s">
        <v>1048</v>
      </c>
      <c r="E77" s="5" t="s">
        <v>77</v>
      </c>
      <c r="F77" s="11" t="n">
        <v>13609.77</v>
      </c>
      <c r="G77" s="12" t="n">
        <v>51.8929</v>
      </c>
      <c r="H77" s="12" t="n">
        <v>56.2176</v>
      </c>
      <c r="I77" s="5" t="s">
        <v>78</v>
      </c>
      <c r="J77" s="8" t="n">
        <v>0.44204</v>
      </c>
      <c r="K77" s="13" t="str">
        <f aca="false">IF(J77&gt;0,"прибыль",IF(J77&lt;0,"убыток","ноль"))</f>
        <v>прибыль</v>
      </c>
      <c r="L77" s="13" t="n">
        <f aca="false">IF(C77="",L76,IF(J77&lt;0,L76+1,0))</f>
        <v>0</v>
      </c>
      <c r="M77" s="14" t="n">
        <v>44.2</v>
      </c>
      <c r="N77" s="9" t="n">
        <v>6016.04</v>
      </c>
      <c r="O77" s="9" t="n">
        <v>225791.11</v>
      </c>
    </row>
    <row r="78" customFormat="false" ht="15" hidden="false" customHeight="false" outlineLevel="0" collapsed="false">
      <c r="A78" s="6" t="n">
        <v>73</v>
      </c>
      <c r="B78" s="5" t="s">
        <v>74</v>
      </c>
      <c r="C78" s="5" t="s">
        <v>1049</v>
      </c>
      <c r="D78" s="5" t="s">
        <v>1050</v>
      </c>
      <c r="E78" s="5" t="s">
        <v>77</v>
      </c>
      <c r="F78" s="11" t="n">
        <v>13263.59</v>
      </c>
      <c r="G78" s="12" t="n">
        <v>56.7921</v>
      </c>
      <c r="H78" s="12" t="n">
        <v>54.814</v>
      </c>
      <c r="J78" s="8" t="n">
        <v>-1.98373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1</v>
      </c>
      <c r="M78" s="14" t="n">
        <v>-198.37</v>
      </c>
      <c r="N78" s="9" t="n">
        <v>-26311.34</v>
      </c>
      <c r="O78" s="9" t="n">
        <v>199479.77</v>
      </c>
    </row>
    <row r="79" customFormat="false" ht="15" hidden="false" customHeight="false" outlineLevel="0" collapsed="false">
      <c r="A79" s="6" t="n">
        <v>74</v>
      </c>
      <c r="B79" s="5" t="s">
        <v>74</v>
      </c>
      <c r="C79" s="5" t="s">
        <v>189</v>
      </c>
      <c r="D79" s="5" t="s">
        <v>1051</v>
      </c>
      <c r="E79" s="5" t="s">
        <v>77</v>
      </c>
      <c r="F79" s="11" t="n">
        <v>10448.88</v>
      </c>
      <c r="G79" s="12" t="n">
        <v>55.2512</v>
      </c>
      <c r="H79" s="12" t="n">
        <v>55.551</v>
      </c>
      <c r="J79" s="8" t="n">
        <v>0.29422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29.42</v>
      </c>
      <c r="N79" s="9" t="n">
        <v>3074.27</v>
      </c>
      <c r="O79" s="9" t="n">
        <v>202554.05</v>
      </c>
    </row>
    <row r="80" customFormat="false" ht="15" hidden="false" customHeight="false" outlineLevel="0" collapsed="false">
      <c r="A80" s="6" t="n">
        <v>75</v>
      </c>
      <c r="B80" s="5" t="s">
        <v>74</v>
      </c>
      <c r="C80" s="5" t="s">
        <v>1052</v>
      </c>
      <c r="D80" s="5" t="s">
        <v>1053</v>
      </c>
      <c r="E80" s="5" t="s">
        <v>77</v>
      </c>
      <c r="F80" s="11" t="n">
        <v>11468.26</v>
      </c>
      <c r="G80" s="12" t="n">
        <v>55.6773</v>
      </c>
      <c r="H80" s="12" t="n">
        <v>54.1525</v>
      </c>
      <c r="J80" s="8" t="n">
        <v>-1.53027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1</v>
      </c>
      <c r="M80" s="14" t="n">
        <v>-153.03</v>
      </c>
      <c r="N80" s="9" t="n">
        <v>-17549.54</v>
      </c>
      <c r="O80" s="9" t="n">
        <v>185004.51</v>
      </c>
    </row>
    <row r="81" customFormat="false" ht="15" hidden="false" customHeight="false" outlineLevel="0" collapsed="false">
      <c r="A81" s="6" t="n">
        <v>76</v>
      </c>
      <c r="B81" s="5" t="s">
        <v>74</v>
      </c>
      <c r="C81" s="5" t="s">
        <v>1054</v>
      </c>
      <c r="D81" s="5" t="s">
        <v>1055</v>
      </c>
      <c r="E81" s="5" t="s">
        <v>77</v>
      </c>
      <c r="F81" s="11" t="n">
        <v>14693.11</v>
      </c>
      <c r="G81" s="12" t="n">
        <v>54.3154</v>
      </c>
      <c r="H81" s="12" t="n">
        <v>55.525</v>
      </c>
      <c r="I81" s="5" t="s">
        <v>78</v>
      </c>
      <c r="J81" s="8" t="n">
        <v>0.35519</v>
      </c>
      <c r="K81" s="13" t="str">
        <f aca="false">IF(J81&gt;0,"прибыль",IF(J81&lt;0,"убыток","ноль"))</f>
        <v>прибыль</v>
      </c>
      <c r="L81" s="13" t="n">
        <f aca="false">IF(C81="",L80,IF(J81&lt;0,L80+1,0))</f>
        <v>0</v>
      </c>
      <c r="M81" s="14" t="n">
        <v>35.52</v>
      </c>
      <c r="N81" s="9" t="n">
        <v>5218.83</v>
      </c>
      <c r="O81" s="9" t="n">
        <v>190223.35</v>
      </c>
    </row>
    <row r="82" customFormat="false" ht="15" hidden="false" customHeight="false" outlineLevel="0" collapsed="false">
      <c r="A82" s="6" t="n">
        <v>77</v>
      </c>
      <c r="B82" s="5" t="s">
        <v>74</v>
      </c>
      <c r="C82" s="5" t="s">
        <v>1056</v>
      </c>
      <c r="D82" s="5" t="s">
        <v>1057</v>
      </c>
      <c r="E82" s="5" t="s">
        <v>77</v>
      </c>
      <c r="F82" s="11" t="n">
        <v>14813.29</v>
      </c>
      <c r="G82" s="12" t="n">
        <v>55.7582</v>
      </c>
      <c r="H82" s="12" t="n">
        <v>55.9314</v>
      </c>
      <c r="J82" s="8" t="n">
        <v>0.16763</v>
      </c>
      <c r="K82" s="13" t="str">
        <f aca="false">IF(J82&gt;0,"прибыль",IF(J82&lt;0,"убыток","ноль"))</f>
        <v>прибыль</v>
      </c>
      <c r="L82" s="13" t="n">
        <f aca="false">IF(C82="",L81,IF(J82&lt;0,L81+1,0))</f>
        <v>0</v>
      </c>
      <c r="M82" s="14" t="n">
        <v>16.76</v>
      </c>
      <c r="N82" s="9" t="n">
        <v>2483.13</v>
      </c>
      <c r="O82" s="9" t="n">
        <v>192706.48</v>
      </c>
    </row>
    <row r="83" customFormat="false" ht="15" hidden="false" customHeight="false" outlineLevel="0" collapsed="false">
      <c r="A83" s="6" t="n">
        <v>78</v>
      </c>
      <c r="B83" s="5" t="s">
        <v>74</v>
      </c>
      <c r="C83" s="5" t="s">
        <v>1058</v>
      </c>
      <c r="D83" s="5" t="s">
        <v>577</v>
      </c>
      <c r="E83" s="5" t="s">
        <v>77</v>
      </c>
      <c r="F83" s="11" t="n">
        <v>9304.76</v>
      </c>
      <c r="G83" s="12" t="n">
        <v>52.7672</v>
      </c>
      <c r="H83" s="12" t="n">
        <v>51.9122</v>
      </c>
      <c r="I83" s="5" t="s">
        <v>78</v>
      </c>
      <c r="J83" s="8" t="n">
        <v>0.42321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42.32</v>
      </c>
      <c r="N83" s="9" t="n">
        <v>3937.86</v>
      </c>
      <c r="O83" s="9" t="n">
        <v>196644.34</v>
      </c>
    </row>
    <row r="84" customFormat="false" ht="15" hidden="false" customHeight="false" outlineLevel="0" collapsed="false">
      <c r="A84" s="6" t="n">
        <v>79</v>
      </c>
      <c r="B84" s="5" t="s">
        <v>74</v>
      </c>
      <c r="C84" s="5" t="s">
        <v>1059</v>
      </c>
      <c r="D84" s="5" t="s">
        <v>1060</v>
      </c>
      <c r="E84" s="5" t="s">
        <v>77</v>
      </c>
      <c r="F84" s="11" t="n">
        <v>11145.96</v>
      </c>
      <c r="G84" s="12" t="n">
        <v>52.8377</v>
      </c>
      <c r="H84" s="12" t="n">
        <v>51.7617</v>
      </c>
      <c r="J84" s="8" t="n">
        <v>-1.08122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1</v>
      </c>
      <c r="M84" s="14" t="n">
        <v>-108.12</v>
      </c>
      <c r="N84" s="9" t="n">
        <v>-12051.23</v>
      </c>
      <c r="O84" s="9" t="n">
        <v>184593.11</v>
      </c>
    </row>
    <row r="85" customFormat="false" ht="15" hidden="false" customHeight="false" outlineLevel="0" collapsed="false">
      <c r="A85" s="6" t="n">
        <v>80</v>
      </c>
      <c r="B85" s="5" t="s">
        <v>74</v>
      </c>
      <c r="C85" s="5" t="s">
        <v>1061</v>
      </c>
      <c r="D85" s="5" t="s">
        <v>1062</v>
      </c>
      <c r="E85" s="5" t="s">
        <v>77</v>
      </c>
      <c r="F85" s="11" t="n">
        <v>10272.49</v>
      </c>
      <c r="G85" s="12" t="n">
        <v>52.8812</v>
      </c>
      <c r="H85" s="12" t="n">
        <v>51.6474</v>
      </c>
      <c r="J85" s="8" t="n">
        <v>-1.239</v>
      </c>
      <c r="K85" s="13" t="str">
        <f aca="false">IF(J85&gt;0,"прибыль",IF(J85&lt;0,"убыток","ноль"))</f>
        <v>убыток</v>
      </c>
      <c r="L85" s="13" t="n">
        <f aca="false">IF(C85="",L84,IF(J85&lt;0,L84+1,0))</f>
        <v>2</v>
      </c>
      <c r="M85" s="14" t="n">
        <v>-123.9</v>
      </c>
      <c r="N85" s="9" t="n">
        <v>-12727.66</v>
      </c>
      <c r="O85" s="9" t="n">
        <v>171865.45</v>
      </c>
    </row>
    <row r="86" customFormat="false" ht="15" hidden="false" customHeight="false" outlineLevel="0" collapsed="false">
      <c r="A86" s="6" t="n">
        <v>81</v>
      </c>
      <c r="B86" s="5" t="s">
        <v>74</v>
      </c>
      <c r="C86" s="5" t="s">
        <v>1063</v>
      </c>
      <c r="D86" s="5" t="s">
        <v>578</v>
      </c>
      <c r="E86" s="5" t="s">
        <v>77</v>
      </c>
      <c r="F86" s="11" t="n">
        <v>2859.24</v>
      </c>
      <c r="G86" s="12" t="n">
        <v>53.3473</v>
      </c>
      <c r="H86" s="12" t="n">
        <v>57.8302</v>
      </c>
      <c r="I86" s="5" t="s">
        <v>78</v>
      </c>
      <c r="J86" s="8" t="n">
        <v>5.42637</v>
      </c>
      <c r="K86" s="13" t="str">
        <f aca="false">IF(J86&gt;0,"прибыль",IF(J86&lt;0,"убыток","ноль"))</f>
        <v>прибыль</v>
      </c>
      <c r="L86" s="13" t="n">
        <f aca="false">IF(C86="",L85,IF(J86&lt;0,L85+1,0))</f>
        <v>0</v>
      </c>
      <c r="M86" s="14" t="n">
        <v>542.64</v>
      </c>
      <c r="N86" s="9" t="n">
        <v>15515.29</v>
      </c>
      <c r="O86" s="9" t="n">
        <v>187380.74</v>
      </c>
    </row>
    <row r="87" customFormat="false" ht="15" hidden="false" customHeight="false" outlineLevel="0" collapsed="false">
      <c r="A87" s="6" t="n">
        <v>82</v>
      </c>
      <c r="B87" s="5" t="s">
        <v>74</v>
      </c>
      <c r="C87" s="5" t="s">
        <v>578</v>
      </c>
      <c r="D87" s="5" t="s">
        <v>579</v>
      </c>
      <c r="E87" s="5" t="s">
        <v>77</v>
      </c>
      <c r="F87" s="11" t="n">
        <v>2958.92</v>
      </c>
      <c r="G87" s="12" t="n">
        <v>53.463</v>
      </c>
      <c r="H87" s="12" t="n">
        <v>62.6497</v>
      </c>
      <c r="I87" s="5" t="s">
        <v>78</v>
      </c>
      <c r="J87" s="8" t="n">
        <v>10.06134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1006.13</v>
      </c>
      <c r="N87" s="9" t="n">
        <v>29770.73</v>
      </c>
      <c r="O87" s="9" t="n">
        <v>217151.47</v>
      </c>
    </row>
    <row r="88" customFormat="false" ht="15" hidden="false" customHeight="false" outlineLevel="0" collapsed="false">
      <c r="A88" s="6" t="n">
        <v>83</v>
      </c>
      <c r="B88" s="5" t="s">
        <v>74</v>
      </c>
      <c r="C88" s="5" t="s">
        <v>579</v>
      </c>
      <c r="D88" s="5" t="s">
        <v>1064</v>
      </c>
      <c r="E88" s="5" t="s">
        <v>77</v>
      </c>
      <c r="F88" s="11" t="n">
        <v>11255.14</v>
      </c>
      <c r="G88" s="12" t="n">
        <v>52.5824</v>
      </c>
      <c r="H88" s="12" t="n">
        <v>66.3855</v>
      </c>
      <c r="J88" s="8" t="n">
        <v>13.79984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1379.98</v>
      </c>
      <c r="N88" s="9" t="n">
        <v>155319.2</v>
      </c>
      <c r="O88" s="9" t="n">
        <v>372470.67</v>
      </c>
    </row>
    <row r="89" customFormat="false" ht="15" hidden="false" customHeight="false" outlineLevel="0" collapsed="false">
      <c r="A89" s="6" t="n">
        <v>84</v>
      </c>
      <c r="B89" s="5" t="s">
        <v>74</v>
      </c>
      <c r="C89" s="5" t="s">
        <v>204</v>
      </c>
      <c r="D89" s="5" t="s">
        <v>1065</v>
      </c>
      <c r="E89" s="5" t="s">
        <v>77</v>
      </c>
      <c r="F89" s="11" t="n">
        <v>12691.83</v>
      </c>
      <c r="G89" s="12" t="n">
        <v>70.1478</v>
      </c>
      <c r="H89" s="12" t="n">
        <v>70.3275</v>
      </c>
      <c r="J89" s="8" t="n">
        <v>0.17274</v>
      </c>
      <c r="K89" s="13" t="str">
        <f aca="false">IF(J89&gt;0,"прибыль",IF(J89&lt;0,"убыток","ноль"))</f>
        <v>прибыль</v>
      </c>
      <c r="L89" s="13" t="n">
        <f aca="false">IF(C89="",L88,IF(J89&lt;0,L88+1,0))</f>
        <v>0</v>
      </c>
      <c r="M89" s="14" t="n">
        <v>17.27</v>
      </c>
      <c r="N89" s="9" t="n">
        <v>2192.42</v>
      </c>
      <c r="O89" s="9" t="n">
        <v>374663.1</v>
      </c>
    </row>
    <row r="90" customFormat="false" ht="15" hidden="false" customHeight="false" outlineLevel="0" collapsed="false">
      <c r="A90" s="6" t="n">
        <v>85</v>
      </c>
      <c r="B90" s="5" t="s">
        <v>74</v>
      </c>
      <c r="C90" s="5" t="s">
        <v>1066</v>
      </c>
      <c r="D90" s="5" t="s">
        <v>1067</v>
      </c>
      <c r="E90" s="5" t="s">
        <v>77</v>
      </c>
      <c r="F90" s="11" t="n">
        <v>2921.69</v>
      </c>
      <c r="G90" s="12" t="n">
        <v>69.3741</v>
      </c>
      <c r="H90" s="12" t="n">
        <v>64.8877</v>
      </c>
      <c r="I90" s="5" t="s">
        <v>78</v>
      </c>
      <c r="J90" s="8" t="n">
        <v>-5.31971</v>
      </c>
      <c r="K90" s="13" t="str">
        <f aca="false">IF(J90&gt;0,"прибыль",IF(J90&lt;0,"убыток","ноль"))</f>
        <v>убыток</v>
      </c>
      <c r="L90" s="13" t="n">
        <f aca="false">IF(C90="",L89,IF(J90&lt;0,L89+1,0))</f>
        <v>1</v>
      </c>
      <c r="M90" s="14" t="n">
        <v>-531.97</v>
      </c>
      <c r="N90" s="9" t="n">
        <v>-15542.52</v>
      </c>
      <c r="O90" s="9" t="n">
        <v>359120.57</v>
      </c>
    </row>
    <row r="91" customFormat="false" ht="15" hidden="false" customHeight="false" outlineLevel="0" collapsed="false">
      <c r="A91" s="6" t="n">
        <v>86</v>
      </c>
      <c r="B91" s="5" t="s">
        <v>74</v>
      </c>
      <c r="C91" s="5" t="s">
        <v>1067</v>
      </c>
      <c r="D91" s="5" t="s">
        <v>1068</v>
      </c>
      <c r="E91" s="5" t="s">
        <v>77</v>
      </c>
      <c r="F91" s="11" t="n">
        <v>11156.69</v>
      </c>
      <c r="G91" s="12" t="n">
        <v>70.1876</v>
      </c>
      <c r="H91" s="12" t="n">
        <v>65.5333</v>
      </c>
      <c r="I91" s="5" t="s">
        <v>78</v>
      </c>
      <c r="J91" s="8" t="n">
        <v>-3.03425</v>
      </c>
      <c r="K91" s="13" t="str">
        <f aca="false">IF(J91&gt;0,"прибыль",IF(J91&lt;0,"убыток","ноль"))</f>
        <v>убыток</v>
      </c>
      <c r="L91" s="13" t="n">
        <f aca="false">IF(C91="",L90,IF(J91&lt;0,L90+1,0))</f>
        <v>2</v>
      </c>
      <c r="M91" s="14" t="n">
        <v>-303.43</v>
      </c>
      <c r="N91" s="9" t="n">
        <v>-33852.23</v>
      </c>
      <c r="O91" s="9" t="n">
        <v>325268.34</v>
      </c>
    </row>
    <row r="92" customFormat="false" ht="15" hidden="false" customHeight="false" outlineLevel="0" collapsed="false">
      <c r="A92" s="6" t="n">
        <v>87</v>
      </c>
      <c r="B92" s="5" t="s">
        <v>74</v>
      </c>
      <c r="C92" s="5" t="s">
        <v>1069</v>
      </c>
      <c r="D92" s="5" t="s">
        <v>1070</v>
      </c>
      <c r="E92" s="5" t="s">
        <v>77</v>
      </c>
      <c r="F92" s="11" t="n">
        <v>10159.83</v>
      </c>
      <c r="G92" s="12" t="n">
        <v>65.5455</v>
      </c>
      <c r="H92" s="12" t="n">
        <v>64.8272</v>
      </c>
      <c r="J92" s="8" t="n">
        <v>-0.72481</v>
      </c>
      <c r="K92" s="13" t="str">
        <f aca="false">IF(J92&gt;0,"прибыль",IF(J92&lt;0,"убыток","ноль"))</f>
        <v>убыток</v>
      </c>
      <c r="L92" s="13" t="n">
        <f aca="false">IF(C92="",L91,IF(J92&lt;0,L91+1,0))</f>
        <v>3</v>
      </c>
      <c r="M92" s="14" t="n">
        <v>-72.48</v>
      </c>
      <c r="N92" s="9" t="n">
        <v>-7363.91</v>
      </c>
      <c r="O92" s="9" t="n">
        <v>317904.43</v>
      </c>
    </row>
    <row r="93" customFormat="false" ht="15" hidden="false" customHeight="false" outlineLevel="0" collapsed="false">
      <c r="A93" s="6" t="n">
        <v>88</v>
      </c>
      <c r="B93" s="5" t="s">
        <v>74</v>
      </c>
      <c r="C93" s="5" t="s">
        <v>1071</v>
      </c>
      <c r="D93" s="5" t="s">
        <v>1072</v>
      </c>
      <c r="E93" s="5" t="s">
        <v>77</v>
      </c>
      <c r="F93" s="11" t="n">
        <v>11813.65</v>
      </c>
      <c r="G93" s="12" t="n">
        <v>64.7489</v>
      </c>
      <c r="H93" s="12" t="n">
        <v>65.021</v>
      </c>
      <c r="J93" s="8" t="n">
        <v>0.26564</v>
      </c>
      <c r="K93" s="13" t="str">
        <f aca="false">IF(J93&gt;0,"прибыль",IF(J93&lt;0,"убыток","ноль"))</f>
        <v>прибыль</v>
      </c>
      <c r="L93" s="13" t="n">
        <f aca="false">IF(C93="",L92,IF(J93&lt;0,L92+1,0))</f>
        <v>0</v>
      </c>
      <c r="M93" s="14" t="n">
        <v>26.56</v>
      </c>
      <c r="N93" s="9" t="n">
        <v>3138.2</v>
      </c>
      <c r="O93" s="9" t="n">
        <v>321042.63</v>
      </c>
    </row>
    <row r="94" customFormat="false" ht="15" hidden="false" customHeight="false" outlineLevel="0" collapsed="false">
      <c r="A94" s="6" t="n">
        <v>89</v>
      </c>
      <c r="B94" s="5" t="s">
        <v>74</v>
      </c>
      <c r="C94" s="5" t="s">
        <v>1073</v>
      </c>
      <c r="D94" s="5" t="s">
        <v>1074</v>
      </c>
      <c r="E94" s="5" t="s">
        <v>77</v>
      </c>
      <c r="F94" s="11" t="n">
        <v>12293</v>
      </c>
      <c r="G94" s="12" t="n">
        <v>66.1678</v>
      </c>
      <c r="H94" s="12" t="n">
        <v>67.6079</v>
      </c>
      <c r="J94" s="8" t="n">
        <v>1.43345</v>
      </c>
      <c r="K94" s="13" t="str">
        <f aca="false">IF(J94&gt;0,"прибыль",IF(J94&lt;0,"убыток","ноль"))</f>
        <v>прибыль</v>
      </c>
      <c r="L94" s="13" t="n">
        <f aca="false">IF(C94="",L93,IF(J94&lt;0,L93+1,0))</f>
        <v>0</v>
      </c>
      <c r="M94" s="14" t="n">
        <v>143.34</v>
      </c>
      <c r="N94" s="9" t="n">
        <v>17621.35</v>
      </c>
      <c r="O94" s="9" t="n">
        <v>338663.99</v>
      </c>
    </row>
    <row r="95" customFormat="false" ht="15" hidden="false" customHeight="false" outlineLevel="0" collapsed="false">
      <c r="A95" s="6" t="n">
        <v>90</v>
      </c>
      <c r="B95" s="5" t="s">
        <v>74</v>
      </c>
      <c r="C95" s="5" t="s">
        <v>1075</v>
      </c>
      <c r="D95" s="5" t="s">
        <v>1076</v>
      </c>
      <c r="E95" s="5" t="s">
        <v>77</v>
      </c>
      <c r="F95" s="11" t="n">
        <v>10806.49</v>
      </c>
      <c r="G95" s="12" t="n">
        <v>67.0933</v>
      </c>
      <c r="H95" s="12" t="n">
        <v>68.534</v>
      </c>
      <c r="J95" s="8" t="n">
        <v>1.43396</v>
      </c>
      <c r="K95" s="13" t="str">
        <f aca="false">IF(J95&gt;0,"прибыль",IF(J95&lt;0,"убыток","ноль"))</f>
        <v>прибыль</v>
      </c>
      <c r="L95" s="13" t="n">
        <f aca="false">IF(C95="",L94,IF(J95&lt;0,L94+1,0))</f>
        <v>0</v>
      </c>
      <c r="M95" s="14" t="n">
        <v>143.4</v>
      </c>
      <c r="N95" s="9" t="n">
        <v>15496.09</v>
      </c>
      <c r="O95" s="9" t="n">
        <v>354160.08</v>
      </c>
    </row>
    <row r="96" customFormat="false" ht="15" hidden="false" customHeight="false" outlineLevel="0" collapsed="false">
      <c r="A96" s="6" t="n">
        <v>91</v>
      </c>
      <c r="B96" s="5" t="s">
        <v>74</v>
      </c>
      <c r="C96" s="5" t="s">
        <v>225</v>
      </c>
      <c r="D96" s="5" t="s">
        <v>227</v>
      </c>
      <c r="E96" s="5" t="s">
        <v>81</v>
      </c>
      <c r="F96" s="11" t="n">
        <v>11898.27</v>
      </c>
      <c r="G96" s="12" t="n">
        <v>72.2986</v>
      </c>
      <c r="H96" s="12" t="n">
        <v>71.8713</v>
      </c>
      <c r="J96" s="8" t="n">
        <v>0.42007</v>
      </c>
      <c r="K96" s="13" t="str">
        <f aca="false">IF(J96&gt;0,"прибыль",IF(J96&lt;0,"убыток","ноль"))</f>
        <v>прибыль</v>
      </c>
      <c r="L96" s="13" t="n">
        <f aca="false">IF(C96="",L95,IF(J96&lt;0,L95+1,0))</f>
        <v>0</v>
      </c>
      <c r="M96" s="14" t="n">
        <v>42.01</v>
      </c>
      <c r="N96" s="9" t="n">
        <v>4998.11</v>
      </c>
      <c r="O96" s="9" t="n">
        <v>359158.19</v>
      </c>
    </row>
    <row r="97" customFormat="false" ht="15" hidden="false" customHeight="false" outlineLevel="0" collapsed="false">
      <c r="A97" s="6" t="n">
        <v>92</v>
      </c>
      <c r="B97" s="5" t="s">
        <v>74</v>
      </c>
      <c r="C97" s="5" t="s">
        <v>1077</v>
      </c>
      <c r="D97" s="5" t="s">
        <v>1078</v>
      </c>
      <c r="E97" s="5" t="s">
        <v>81</v>
      </c>
      <c r="F97" s="11" t="n">
        <v>7170.9</v>
      </c>
      <c r="G97" s="12" t="n">
        <v>76.232</v>
      </c>
      <c r="H97" s="12" t="n">
        <v>75.5247</v>
      </c>
      <c r="J97" s="8" t="n">
        <v>0.69975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69.97</v>
      </c>
      <c r="N97" s="9" t="n">
        <v>5017.83</v>
      </c>
      <c r="O97" s="9" t="n">
        <v>364176.02</v>
      </c>
    </row>
    <row r="98" customFormat="false" ht="15" hidden="false" customHeight="false" outlineLevel="0" collapsed="false">
      <c r="A98" s="6" t="n">
        <v>93</v>
      </c>
      <c r="B98" s="5" t="s">
        <v>74</v>
      </c>
      <c r="C98" s="5" t="s">
        <v>893</v>
      </c>
      <c r="D98" s="5" t="s">
        <v>894</v>
      </c>
      <c r="E98" s="5" t="s">
        <v>81</v>
      </c>
      <c r="F98" s="11" t="n">
        <v>1686.84</v>
      </c>
      <c r="G98" s="12" t="n">
        <v>72.5586</v>
      </c>
      <c r="H98" s="12" t="n">
        <v>60.614</v>
      </c>
      <c r="J98" s="8" t="n">
        <v>11.92468</v>
      </c>
      <c r="K98" s="13" t="str">
        <f aca="false">IF(J98&gt;0,"прибыль",IF(J98&lt;0,"убыток","ноль"))</f>
        <v>прибыль</v>
      </c>
      <c r="L98" s="13" t="n">
        <f aca="false">IF(C98="",L97,IF(J98&lt;0,L97+1,0))</f>
        <v>0</v>
      </c>
      <c r="M98" s="14" t="n">
        <v>1192.47</v>
      </c>
      <c r="N98" s="9" t="n">
        <v>20115.07</v>
      </c>
      <c r="O98" s="9" t="n">
        <v>384291.09</v>
      </c>
    </row>
    <row r="99" customFormat="false" ht="15" hidden="false" customHeight="false" outlineLevel="0" collapsed="false">
      <c r="A99" s="6" t="n">
        <v>94</v>
      </c>
      <c r="B99" s="5" t="s">
        <v>74</v>
      </c>
      <c r="C99" s="5" t="s">
        <v>894</v>
      </c>
      <c r="D99" s="5" t="s">
        <v>236</v>
      </c>
      <c r="E99" s="5" t="s">
        <v>81</v>
      </c>
      <c r="F99" s="11" t="n">
        <v>2741.28</v>
      </c>
      <c r="G99" s="12" t="n">
        <v>67.9044</v>
      </c>
      <c r="H99" s="12" t="n">
        <v>55.0112</v>
      </c>
      <c r="I99" s="5" t="s">
        <v>78</v>
      </c>
      <c r="J99" s="8" t="n">
        <v>16.75361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1675.36</v>
      </c>
      <c r="N99" s="9" t="n">
        <v>45926.35</v>
      </c>
      <c r="O99" s="9" t="n">
        <v>430217.44</v>
      </c>
    </row>
    <row r="100" customFormat="false" ht="15" hidden="false" customHeight="false" outlineLevel="0" collapsed="false">
      <c r="A100" s="6" t="n">
        <v>95</v>
      </c>
      <c r="B100" s="5" t="s">
        <v>74</v>
      </c>
      <c r="C100" s="5" t="s">
        <v>236</v>
      </c>
      <c r="D100" s="5" t="s">
        <v>1079</v>
      </c>
      <c r="E100" s="5" t="s">
        <v>81</v>
      </c>
      <c r="F100" s="11" t="n">
        <v>10266.97</v>
      </c>
      <c r="G100" s="12" t="n">
        <v>63.4732</v>
      </c>
      <c r="H100" s="12" t="n">
        <v>66.0248</v>
      </c>
      <c r="I100" s="5" t="s">
        <v>78</v>
      </c>
      <c r="J100" s="8" t="n">
        <v>2.01135</v>
      </c>
      <c r="K100" s="13" t="str">
        <f aca="false">IF(J100&gt;0,"прибыль",IF(J100&lt;0,"убыток","ноль"))</f>
        <v>прибыль</v>
      </c>
      <c r="L100" s="13" t="n">
        <f aca="false">IF(C100="",L99,IF(J100&lt;0,L99+1,0))</f>
        <v>0</v>
      </c>
      <c r="M100" s="14" t="n">
        <v>201.14</v>
      </c>
      <c r="N100" s="9" t="n">
        <v>20650.52</v>
      </c>
      <c r="O100" s="9" t="n">
        <v>450867.96</v>
      </c>
    </row>
    <row r="101" customFormat="false" ht="15" hidden="false" customHeight="false" outlineLevel="0" collapsed="false">
      <c r="A101" s="6" t="n">
        <v>96</v>
      </c>
      <c r="B101" s="5" t="s">
        <v>74</v>
      </c>
      <c r="C101" s="5" t="s">
        <v>1080</v>
      </c>
      <c r="D101" s="5" t="s">
        <v>1081</v>
      </c>
      <c r="E101" s="5" t="s">
        <v>81</v>
      </c>
      <c r="F101" s="11" t="n">
        <v>7943.15</v>
      </c>
      <c r="G101" s="12" t="n">
        <v>64.3685</v>
      </c>
      <c r="H101" s="12" t="n">
        <v>61.5475</v>
      </c>
      <c r="I101" s="5" t="s">
        <v>78</v>
      </c>
      <c r="J101" s="8" t="n">
        <v>-0.79109</v>
      </c>
      <c r="K101" s="13" t="str">
        <f aca="false">IF(J101&gt;0,"прибыль",IF(J101&lt;0,"убыток","ноль"))</f>
        <v>убыток</v>
      </c>
      <c r="L101" s="13" t="n">
        <f aca="false">IF(C101="",L100,IF(J101&lt;0,L100+1,0))</f>
        <v>1</v>
      </c>
      <c r="M101" s="14" t="n">
        <v>-79.11</v>
      </c>
      <c r="N101" s="9" t="n">
        <v>-6283.75</v>
      </c>
      <c r="O101" s="9" t="n">
        <v>444584.21</v>
      </c>
    </row>
    <row r="102" customFormat="false" ht="15" hidden="false" customHeight="false" outlineLevel="0" collapsed="false">
      <c r="A102" s="6" t="n">
        <v>97</v>
      </c>
      <c r="B102" s="5" t="s">
        <v>74</v>
      </c>
      <c r="C102" s="5" t="s">
        <v>1082</v>
      </c>
      <c r="D102" s="5" t="s">
        <v>1083</v>
      </c>
      <c r="E102" s="5" t="s">
        <v>81</v>
      </c>
      <c r="F102" s="11" t="n">
        <v>8265</v>
      </c>
      <c r="G102" s="12" t="n">
        <v>60.5954</v>
      </c>
      <c r="H102" s="12" t="n">
        <v>62.4099</v>
      </c>
      <c r="J102" s="8" t="n">
        <v>-1.82066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2</v>
      </c>
      <c r="M102" s="14" t="n">
        <v>-182.07</v>
      </c>
      <c r="N102" s="9" t="n">
        <v>-15047.74</v>
      </c>
      <c r="O102" s="9" t="n">
        <v>429536.46</v>
      </c>
    </row>
    <row r="103" customFormat="false" ht="15" hidden="false" customHeight="false" outlineLevel="0" collapsed="false">
      <c r="A103" s="6" t="n">
        <v>98</v>
      </c>
      <c r="B103" s="5" t="s">
        <v>74</v>
      </c>
      <c r="C103" s="5" t="s">
        <v>1084</v>
      </c>
      <c r="D103" s="5" t="s">
        <v>1085</v>
      </c>
      <c r="E103" s="5" t="s">
        <v>81</v>
      </c>
      <c r="F103" s="11" t="n">
        <v>7866.91</v>
      </c>
      <c r="G103" s="12" t="n">
        <v>61.2823</v>
      </c>
      <c r="H103" s="12" t="n">
        <v>62.4224</v>
      </c>
      <c r="J103" s="8" t="n">
        <v>-1.14624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3</v>
      </c>
      <c r="M103" s="14" t="n">
        <v>-114.62</v>
      </c>
      <c r="N103" s="9" t="n">
        <v>-9017.38</v>
      </c>
      <c r="O103" s="9" t="n">
        <v>420519.09</v>
      </c>
    </row>
    <row r="104" customFormat="false" ht="15" hidden="false" customHeight="false" outlineLevel="0" collapsed="false">
      <c r="A104" s="6" t="n">
        <v>99</v>
      </c>
      <c r="B104" s="5" t="s">
        <v>74</v>
      </c>
      <c r="C104" s="5" t="s">
        <v>1086</v>
      </c>
      <c r="D104" s="5" t="s">
        <v>1087</v>
      </c>
      <c r="E104" s="5" t="s">
        <v>81</v>
      </c>
      <c r="F104" s="11" t="n">
        <v>8594.63</v>
      </c>
      <c r="G104" s="12" t="n">
        <v>63.8566</v>
      </c>
      <c r="H104" s="12" t="n">
        <v>64.6428</v>
      </c>
      <c r="J104" s="8" t="n">
        <v>-0.79264</v>
      </c>
      <c r="K104" s="13" t="str">
        <f aca="false">IF(J104&gt;0,"прибыль",IF(J104&lt;0,"убыток","ноль"))</f>
        <v>убыток</v>
      </c>
      <c r="L104" s="13" t="n">
        <f aca="false">IF(C104="",L103,IF(J104&lt;0,L103+1,0))</f>
        <v>4</v>
      </c>
      <c r="M104" s="14" t="n">
        <v>-79.26</v>
      </c>
      <c r="N104" s="9" t="n">
        <v>-6812.41</v>
      </c>
      <c r="O104" s="9" t="n">
        <v>413706.68</v>
      </c>
    </row>
    <row r="105" customFormat="false" ht="15" hidden="false" customHeight="false" outlineLevel="0" collapsed="false">
      <c r="A105" s="6" t="n">
        <v>100</v>
      </c>
      <c r="B105" s="5" t="s">
        <v>74</v>
      </c>
      <c r="C105" s="5" t="s">
        <v>1088</v>
      </c>
      <c r="D105" s="5" t="s">
        <v>1089</v>
      </c>
      <c r="E105" s="5" t="s">
        <v>81</v>
      </c>
      <c r="F105" s="11" t="n">
        <v>10571.82</v>
      </c>
      <c r="G105" s="12" t="n">
        <v>64.4847</v>
      </c>
      <c r="H105" s="12" t="n">
        <v>61.2204</v>
      </c>
      <c r="I105" s="5" t="s">
        <v>78</v>
      </c>
      <c r="J105" s="8" t="n">
        <v>-0.73743</v>
      </c>
      <c r="K105" s="13" t="str">
        <f aca="false">IF(J105&gt;0,"прибыль",IF(J105&lt;0,"убыток","ноль"))</f>
        <v>убыток</v>
      </c>
      <c r="L105" s="13" t="n">
        <f aca="false">IF(C105="",L104,IF(J105&lt;0,L104+1,0))</f>
        <v>5</v>
      </c>
      <c r="M105" s="14" t="n">
        <v>-73.74</v>
      </c>
      <c r="N105" s="9" t="n">
        <v>-7796.02</v>
      </c>
      <c r="O105" s="9" t="n">
        <v>405910.67</v>
      </c>
    </row>
    <row r="106" customFormat="false" ht="15" hidden="false" customHeight="false" outlineLevel="0" collapsed="false">
      <c r="A106" s="6" t="n">
        <v>101</v>
      </c>
      <c r="B106" s="5" t="s">
        <v>74</v>
      </c>
      <c r="C106" s="5" t="s">
        <v>1090</v>
      </c>
      <c r="D106" s="5" t="s">
        <v>1091</v>
      </c>
      <c r="E106" s="5" t="s">
        <v>81</v>
      </c>
      <c r="F106" s="11" t="n">
        <v>10861.25</v>
      </c>
      <c r="G106" s="12" t="n">
        <v>59.9391</v>
      </c>
      <c r="H106" s="12" t="n">
        <v>59.2581</v>
      </c>
      <c r="J106" s="8" t="n">
        <v>0.67496</v>
      </c>
      <c r="K106" s="13" t="str">
        <f aca="false">IF(J106&gt;0,"прибыль",IF(J106&lt;0,"убыток","ноль"))</f>
        <v>прибыль</v>
      </c>
      <c r="L106" s="13" t="n">
        <f aca="false">IF(C106="",L105,IF(J106&lt;0,L105+1,0))</f>
        <v>0</v>
      </c>
      <c r="M106" s="14" t="n">
        <v>67.5</v>
      </c>
      <c r="N106" s="9" t="n">
        <v>7330.94</v>
      </c>
      <c r="O106" s="9" t="n">
        <v>413241.61</v>
      </c>
    </row>
    <row r="107" customFormat="false" ht="15" hidden="false" customHeight="false" outlineLevel="0" collapsed="false">
      <c r="A107" s="6" t="n">
        <v>102</v>
      </c>
      <c r="B107" s="5" t="s">
        <v>74</v>
      </c>
      <c r="C107" s="5" t="s">
        <v>1092</v>
      </c>
      <c r="D107" s="5" t="s">
        <v>1093</v>
      </c>
      <c r="E107" s="5" t="s">
        <v>81</v>
      </c>
      <c r="F107" s="11" t="n">
        <v>4563.35</v>
      </c>
      <c r="G107" s="12" t="n">
        <v>57.4005</v>
      </c>
      <c r="H107" s="12" t="n">
        <v>58.3002</v>
      </c>
      <c r="J107" s="8" t="n">
        <v>-0.90543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1</v>
      </c>
      <c r="M107" s="14" t="n">
        <v>-90.54</v>
      </c>
      <c r="N107" s="9" t="n">
        <v>-4131.8</v>
      </c>
      <c r="O107" s="9" t="n">
        <v>409109.81</v>
      </c>
    </row>
    <row r="108" customFormat="false" ht="15" hidden="false" customHeight="false" outlineLevel="0" collapsed="false">
      <c r="A108" s="6" t="n">
        <v>103</v>
      </c>
      <c r="B108" s="5" t="s">
        <v>74</v>
      </c>
      <c r="C108" s="5" t="s">
        <v>902</v>
      </c>
      <c r="D108" s="5" t="s">
        <v>903</v>
      </c>
      <c r="E108" s="5" t="s">
        <v>81</v>
      </c>
      <c r="F108" s="11" t="n">
        <v>11933.6</v>
      </c>
      <c r="G108" s="12" t="n">
        <v>60.9626</v>
      </c>
      <c r="H108" s="12" t="n">
        <v>63.084</v>
      </c>
      <c r="J108" s="8" t="n">
        <v>-2.12757</v>
      </c>
      <c r="K108" s="13" t="str">
        <f aca="false">IF(J108&gt;0,"прибыль",IF(J108&lt;0,"убыток","ноль"))</f>
        <v>убыток</v>
      </c>
      <c r="L108" s="13" t="n">
        <f aca="false">IF(C108="",L107,IF(J108&lt;0,L107+1,0))</f>
        <v>2</v>
      </c>
      <c r="M108" s="14" t="n">
        <v>-212.76</v>
      </c>
      <c r="N108" s="9" t="n">
        <v>-25389.6</v>
      </c>
      <c r="O108" s="9" t="n">
        <v>383720.21</v>
      </c>
    </row>
    <row r="109" customFormat="false" ht="15" hidden="false" customHeight="false" outlineLevel="0" collapsed="false">
      <c r="A109" s="6" t="n">
        <v>104</v>
      </c>
      <c r="B109" s="5" t="s">
        <v>74</v>
      </c>
      <c r="C109" s="5" t="s">
        <v>1094</v>
      </c>
      <c r="D109" s="5" t="s">
        <v>1095</v>
      </c>
      <c r="E109" s="5" t="s">
        <v>81</v>
      </c>
      <c r="F109" s="11" t="n">
        <v>10125.08</v>
      </c>
      <c r="G109" s="12" t="n">
        <v>64.2947</v>
      </c>
      <c r="H109" s="12" t="n">
        <v>63.9255</v>
      </c>
      <c r="J109" s="8" t="n">
        <v>0.36279</v>
      </c>
      <c r="K109" s="13" t="str">
        <f aca="false">IF(J109&gt;0,"прибыль",IF(J109&lt;0,"убыток","ноль"))</f>
        <v>прибыль</v>
      </c>
      <c r="L109" s="13" t="n">
        <f aca="false">IF(C109="",L108,IF(J109&lt;0,L108+1,0))</f>
        <v>0</v>
      </c>
      <c r="M109" s="14" t="n">
        <v>36.28</v>
      </c>
      <c r="N109" s="9" t="n">
        <v>3673.29</v>
      </c>
      <c r="O109" s="9" t="n">
        <v>387393.5</v>
      </c>
    </row>
    <row r="110" customFormat="false" ht="15" hidden="false" customHeight="false" outlineLevel="0" collapsed="false">
      <c r="A110" s="6" t="n">
        <v>105</v>
      </c>
      <c r="B110" s="5" t="s">
        <v>74</v>
      </c>
      <c r="C110" s="5" t="s">
        <v>267</v>
      </c>
      <c r="D110" s="5" t="s">
        <v>1096</v>
      </c>
      <c r="E110" s="5" t="s">
        <v>81</v>
      </c>
      <c r="F110" s="11" t="n">
        <v>10692.85</v>
      </c>
      <c r="G110" s="12" t="n">
        <v>58.9787</v>
      </c>
      <c r="H110" s="12" t="n">
        <v>59.7023</v>
      </c>
      <c r="J110" s="8" t="n">
        <v>-0.72958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1</v>
      </c>
      <c r="M110" s="14" t="n">
        <v>-72.96</v>
      </c>
      <c r="N110" s="9" t="n">
        <v>-7801.31</v>
      </c>
      <c r="O110" s="9" t="n">
        <v>379592.19</v>
      </c>
    </row>
    <row r="111" customFormat="false" ht="15" hidden="false" customHeight="false" outlineLevel="0" collapsed="false">
      <c r="A111" s="6" t="n">
        <v>106</v>
      </c>
      <c r="B111" s="5" t="s">
        <v>74</v>
      </c>
      <c r="C111" s="5" t="s">
        <v>1097</v>
      </c>
      <c r="D111" s="5" t="s">
        <v>590</v>
      </c>
      <c r="E111" s="5" t="s">
        <v>81</v>
      </c>
      <c r="F111" s="11" t="n">
        <v>14257.96</v>
      </c>
      <c r="G111" s="12" t="n">
        <v>58.1312</v>
      </c>
      <c r="H111" s="12" t="n">
        <v>55.653</v>
      </c>
      <c r="I111" s="5" t="s">
        <v>78</v>
      </c>
      <c r="J111" s="8" t="n">
        <v>-1.46333</v>
      </c>
      <c r="K111" s="13" t="str">
        <f aca="false">IF(J111&gt;0,"прибыль",IF(J111&lt;0,"убыток","ноль"))</f>
        <v>убыток</v>
      </c>
      <c r="L111" s="13" t="n">
        <f aca="false">IF(C111="",L110,IF(J111&lt;0,L110+1,0))</f>
        <v>2</v>
      </c>
      <c r="M111" s="14" t="n">
        <v>-146.33</v>
      </c>
      <c r="N111" s="9" t="n">
        <v>-20864.09</v>
      </c>
      <c r="O111" s="9" t="n">
        <v>358728.1</v>
      </c>
    </row>
    <row r="112" customFormat="false" ht="15" hidden="false" customHeight="false" outlineLevel="0" collapsed="false">
      <c r="A112" s="6" t="n">
        <v>107</v>
      </c>
      <c r="B112" s="5" t="s">
        <v>74</v>
      </c>
      <c r="C112" s="5" t="s">
        <v>1098</v>
      </c>
      <c r="D112" s="5" t="s">
        <v>268</v>
      </c>
      <c r="E112" s="5" t="s">
        <v>81</v>
      </c>
      <c r="F112" s="11" t="n">
        <v>12997.98</v>
      </c>
      <c r="G112" s="12" t="n">
        <v>55.0676</v>
      </c>
      <c r="H112" s="12" t="n">
        <v>56.1846</v>
      </c>
      <c r="J112" s="8" t="n">
        <v>-1.12257</v>
      </c>
      <c r="K112" s="13" t="str">
        <f aca="false">IF(J112&gt;0,"прибыль",IF(J112&lt;0,"убыток","ноль"))</f>
        <v>убыток</v>
      </c>
      <c r="L112" s="13" t="n">
        <f aca="false">IF(C112="",L111,IF(J112&lt;0,L111+1,0))</f>
        <v>3</v>
      </c>
      <c r="M112" s="14" t="n">
        <v>-112.26</v>
      </c>
      <c r="N112" s="9" t="n">
        <v>-14591.18</v>
      </c>
      <c r="O112" s="9" t="n">
        <v>344136.92</v>
      </c>
    </row>
    <row r="113" customFormat="false" ht="15" hidden="false" customHeight="false" outlineLevel="0" collapsed="false">
      <c r="A113" s="6" t="n">
        <v>108</v>
      </c>
      <c r="B113" s="5" t="s">
        <v>74</v>
      </c>
      <c r="C113" s="5" t="s">
        <v>1099</v>
      </c>
      <c r="D113" s="5" t="s">
        <v>270</v>
      </c>
      <c r="E113" s="5" t="s">
        <v>81</v>
      </c>
      <c r="F113" s="11" t="n">
        <v>2231.85</v>
      </c>
      <c r="G113" s="12" t="n">
        <v>54.625</v>
      </c>
      <c r="H113" s="12" t="n">
        <v>37.8975</v>
      </c>
      <c r="I113" s="5" t="s">
        <v>78</v>
      </c>
      <c r="J113" s="8" t="n">
        <v>18.95634</v>
      </c>
      <c r="K113" s="13" t="str">
        <f aca="false">IF(J113&gt;0,"прибыль",IF(J113&lt;0,"убыток","ноль"))</f>
        <v>прибыль</v>
      </c>
      <c r="L113" s="13" t="n">
        <f aca="false">IF(C113="",L112,IF(J113&lt;0,L112+1,0))</f>
        <v>0</v>
      </c>
      <c r="M113" s="14" t="n">
        <v>1895.63</v>
      </c>
      <c r="N113" s="9" t="n">
        <v>42307.74</v>
      </c>
      <c r="O113" s="9" t="n">
        <v>386444.66</v>
      </c>
    </row>
    <row r="114" customFormat="false" ht="15" hidden="false" customHeight="false" outlineLevel="0" collapsed="false">
      <c r="A114" s="6" t="n">
        <v>109</v>
      </c>
      <c r="B114" s="5" t="s">
        <v>74</v>
      </c>
      <c r="C114" s="5" t="s">
        <v>270</v>
      </c>
      <c r="D114" s="5" t="s">
        <v>1100</v>
      </c>
      <c r="E114" s="5" t="s">
        <v>81</v>
      </c>
      <c r="F114" s="11" t="n">
        <v>5427.31</v>
      </c>
      <c r="G114" s="12" t="n">
        <v>56.8654</v>
      </c>
      <c r="H114" s="12" t="n">
        <v>35.8231</v>
      </c>
      <c r="J114" s="8" t="n">
        <v>21.04056</v>
      </c>
      <c r="K114" s="13" t="str">
        <f aca="false">IF(J114&gt;0,"прибыль",IF(J114&lt;0,"убыток","ноль"))</f>
        <v>прибыль</v>
      </c>
      <c r="L114" s="13" t="n">
        <f aca="false">IF(C114="",L113,IF(J114&lt;0,L113+1,0))</f>
        <v>0</v>
      </c>
      <c r="M114" s="14" t="n">
        <v>2104.06</v>
      </c>
      <c r="N114" s="9" t="n">
        <v>114193.54</v>
      </c>
      <c r="O114" s="9" t="n">
        <v>500638.2</v>
      </c>
    </row>
    <row r="115" customFormat="false" ht="15" hidden="false" customHeight="false" outlineLevel="0" collapsed="false">
      <c r="A115" s="6" t="n">
        <v>110</v>
      </c>
      <c r="B115" s="5" t="s">
        <v>74</v>
      </c>
      <c r="C115" s="5" t="s">
        <v>1101</v>
      </c>
      <c r="D115" s="5" t="s">
        <v>1102</v>
      </c>
      <c r="E115" s="5" t="s">
        <v>77</v>
      </c>
      <c r="F115" s="11" t="n">
        <v>6624.86</v>
      </c>
      <c r="G115" s="12" t="n">
        <v>41.2926</v>
      </c>
      <c r="H115" s="12" t="n">
        <v>38.0778</v>
      </c>
      <c r="J115" s="8" t="n">
        <v>-3.21871</v>
      </c>
      <c r="K115" s="13" t="str">
        <f aca="false">IF(J115&gt;0,"прибыль",IF(J115&lt;0,"убыток","ноль"))</f>
        <v>убыток</v>
      </c>
      <c r="L115" s="13" t="n">
        <f aca="false">IF(C115="",L114,IF(J115&lt;0,L114+1,0))</f>
        <v>1</v>
      </c>
      <c r="M115" s="14" t="n">
        <v>-321.87</v>
      </c>
      <c r="N115" s="9" t="n">
        <v>-21323.46</v>
      </c>
      <c r="O115" s="9" t="n">
        <v>479314.74</v>
      </c>
    </row>
    <row r="116" customFormat="false" ht="15" hidden="false" customHeight="false" outlineLevel="0" collapsed="false">
      <c r="A116" s="6" t="n">
        <v>111</v>
      </c>
      <c r="B116" s="5" t="s">
        <v>74</v>
      </c>
      <c r="C116" s="5" t="s">
        <v>431</v>
      </c>
      <c r="D116" s="5" t="s">
        <v>1103</v>
      </c>
      <c r="E116" s="5" t="s">
        <v>77</v>
      </c>
      <c r="F116" s="11" t="n">
        <v>7735.41</v>
      </c>
      <c r="G116" s="12" t="n">
        <v>40.0685</v>
      </c>
      <c r="H116" s="12" t="n">
        <v>42.7262</v>
      </c>
      <c r="I116" s="5" t="s">
        <v>78</v>
      </c>
      <c r="J116" s="8" t="n">
        <v>2.11782</v>
      </c>
      <c r="K116" s="13" t="str">
        <f aca="false">IF(J116&gt;0,"прибыль",IF(J116&lt;0,"убыток","ноль"))</f>
        <v>прибыль</v>
      </c>
      <c r="L116" s="13" t="n">
        <f aca="false">IF(C116="",L115,IF(J116&lt;0,L115+1,0))</f>
        <v>0</v>
      </c>
      <c r="M116" s="14" t="n">
        <v>211.78</v>
      </c>
      <c r="N116" s="9" t="n">
        <v>16382.22</v>
      </c>
      <c r="O116" s="9" t="n">
        <v>495696.96</v>
      </c>
    </row>
    <row r="117" customFormat="false" ht="15" hidden="false" customHeight="false" outlineLevel="0" collapsed="false">
      <c r="A117" s="6" t="n">
        <v>112</v>
      </c>
      <c r="B117" s="5" t="s">
        <v>74</v>
      </c>
      <c r="C117" s="5" t="s">
        <v>713</v>
      </c>
      <c r="D117" s="5" t="s">
        <v>280</v>
      </c>
      <c r="E117" s="5" t="s">
        <v>77</v>
      </c>
      <c r="F117" s="11" t="n">
        <v>4687.28</v>
      </c>
      <c r="G117" s="12" t="n">
        <v>43.5469</v>
      </c>
      <c r="H117" s="12" t="n">
        <v>42.2961</v>
      </c>
      <c r="I117" s="5" t="s">
        <v>78</v>
      </c>
      <c r="J117" s="8" t="n">
        <v>-2.40773</v>
      </c>
      <c r="K117" s="13" t="str">
        <f aca="false">IF(J117&gt;0,"прибыль",IF(J117&lt;0,"убыток","ноль"))</f>
        <v>убыток</v>
      </c>
      <c r="L117" s="13" t="n">
        <f aca="false">IF(C117="",L116,IF(J117&lt;0,L116+1,0))</f>
        <v>1</v>
      </c>
      <c r="M117" s="14" t="n">
        <v>-240.77</v>
      </c>
      <c r="N117" s="9" t="n">
        <v>-11285.69</v>
      </c>
      <c r="O117" s="9" t="n">
        <v>484411.27</v>
      </c>
    </row>
    <row r="118" customFormat="false" ht="15" hidden="false" customHeight="false" outlineLevel="0" collapsed="false">
      <c r="A118" s="6" t="n">
        <v>113</v>
      </c>
      <c r="B118" s="5" t="s">
        <v>74</v>
      </c>
      <c r="C118" s="5" t="s">
        <v>280</v>
      </c>
      <c r="D118" s="5" t="s">
        <v>1104</v>
      </c>
      <c r="E118" s="5" t="s">
        <v>77</v>
      </c>
      <c r="F118" s="11" t="n">
        <v>14927.61</v>
      </c>
      <c r="G118" s="12" t="n">
        <v>44.6923</v>
      </c>
      <c r="H118" s="12" t="n">
        <v>41.8668</v>
      </c>
      <c r="J118" s="8" t="n">
        <v>-2.82763</v>
      </c>
      <c r="K118" s="13" t="str">
        <f aca="false">IF(J118&gt;0,"прибыль",IF(J118&lt;0,"убыток","ноль"))</f>
        <v>убыток</v>
      </c>
      <c r="L118" s="13" t="n">
        <f aca="false">IF(C118="",L117,IF(J118&lt;0,L117+1,0))</f>
        <v>2</v>
      </c>
      <c r="M118" s="14" t="n">
        <v>-282.76</v>
      </c>
      <c r="N118" s="9" t="n">
        <v>-42209.7</v>
      </c>
      <c r="O118" s="9" t="n">
        <v>442201.57</v>
      </c>
    </row>
    <row r="119" customFormat="false" ht="15" hidden="false" customHeight="false" outlineLevel="0" collapsed="false">
      <c r="A119" s="6" t="n">
        <v>114</v>
      </c>
      <c r="B119" s="5" t="s">
        <v>74</v>
      </c>
      <c r="C119" s="5" t="s">
        <v>434</v>
      </c>
      <c r="D119" s="5" t="s">
        <v>435</v>
      </c>
      <c r="E119" s="5" t="s">
        <v>77</v>
      </c>
      <c r="F119" s="11" t="n">
        <v>13144.91</v>
      </c>
      <c r="G119" s="12" t="n">
        <v>39.8974</v>
      </c>
      <c r="H119" s="12" t="n">
        <v>40.651</v>
      </c>
      <c r="J119" s="8" t="n">
        <v>0.74955</v>
      </c>
      <c r="K119" s="13" t="str">
        <f aca="false">IF(J119&gt;0,"прибыль",IF(J119&lt;0,"убыток","ноль"))</f>
        <v>прибыль</v>
      </c>
      <c r="L119" s="13" t="n">
        <f aca="false">IF(C119="",L118,IF(J119&lt;0,L118+1,0))</f>
        <v>0</v>
      </c>
      <c r="M119" s="14" t="n">
        <v>74.96</v>
      </c>
      <c r="N119" s="9" t="n">
        <v>9852.78</v>
      </c>
      <c r="O119" s="9" t="n">
        <v>452054.36</v>
      </c>
    </row>
    <row r="120" customFormat="false" ht="15" hidden="false" customHeight="false" outlineLevel="0" collapsed="false">
      <c r="A120" s="6" t="n">
        <v>115</v>
      </c>
      <c r="B120" s="5" t="s">
        <v>74</v>
      </c>
      <c r="C120" s="5" t="s">
        <v>444</v>
      </c>
      <c r="D120" s="5" t="s">
        <v>287</v>
      </c>
      <c r="E120" s="5" t="s">
        <v>77</v>
      </c>
      <c r="F120" s="11" t="n">
        <v>4698.91</v>
      </c>
      <c r="G120" s="12" t="n">
        <v>49.0614</v>
      </c>
      <c r="H120" s="12" t="n">
        <v>53.5854</v>
      </c>
      <c r="I120" s="5" t="s">
        <v>78</v>
      </c>
      <c r="J120" s="8" t="n">
        <v>4.60841</v>
      </c>
      <c r="K120" s="13" t="str">
        <f aca="false">IF(J120&gt;0,"прибыль",IF(J120&lt;0,"убыток","ноль"))</f>
        <v>прибыль</v>
      </c>
      <c r="L120" s="13" t="n">
        <f aca="false">IF(C120="",L119,IF(J120&lt;0,L119+1,0))</f>
        <v>0</v>
      </c>
      <c r="M120" s="14" t="n">
        <v>460.84</v>
      </c>
      <c r="N120" s="9" t="n">
        <v>21654.51</v>
      </c>
      <c r="O120" s="9" t="n">
        <v>473708.86</v>
      </c>
    </row>
    <row r="121" customFormat="false" ht="15" hidden="false" customHeight="false" outlineLevel="0" collapsed="false">
      <c r="A121" s="6" t="n">
        <v>116</v>
      </c>
      <c r="B121" s="5" t="s">
        <v>288</v>
      </c>
      <c r="C121" s="5" t="s">
        <v>287</v>
      </c>
      <c r="D121" s="5" t="s">
        <v>289</v>
      </c>
      <c r="E121" s="5" t="s">
        <v>77</v>
      </c>
      <c r="F121" s="11" t="n">
        <v>2600.1</v>
      </c>
      <c r="G121" s="12" t="n">
        <v>51.2582</v>
      </c>
      <c r="H121" s="12" t="n">
        <v>67.022</v>
      </c>
      <c r="I121" s="5" t="s">
        <v>78</v>
      </c>
      <c r="J121" s="8" t="n">
        <v>15.26197</v>
      </c>
      <c r="K121" s="13" t="str">
        <f aca="false">IF(J121&gt;0,"прибыль",IF(J121&lt;0,"убыток","ноль"))</f>
        <v>прибыль</v>
      </c>
      <c r="L121" s="13" t="n">
        <f aca="false">IF(C121="",L120,IF(J121&lt;0,L120+1,0))</f>
        <v>0</v>
      </c>
      <c r="M121" s="14" t="n">
        <v>1526.2</v>
      </c>
      <c r="N121" s="9" t="n">
        <v>39682.62</v>
      </c>
      <c r="O121" s="9" t="n">
        <v>513391.48</v>
      </c>
    </row>
    <row r="122" customFormat="false" ht="15" hidden="false" customHeight="false" outlineLevel="0" collapsed="false">
      <c r="A122" s="6" t="n">
        <v>117</v>
      </c>
      <c r="B122" s="5" t="s">
        <v>288</v>
      </c>
      <c r="C122" s="5" t="s">
        <v>289</v>
      </c>
      <c r="D122" s="5" t="s">
        <v>290</v>
      </c>
      <c r="E122" s="5" t="s">
        <v>77</v>
      </c>
      <c r="F122" s="11" t="n">
        <v>2582.33</v>
      </c>
      <c r="G122" s="12" t="n">
        <v>51.7534</v>
      </c>
      <c r="H122" s="12" t="n">
        <v>67.1081</v>
      </c>
      <c r="I122" s="5" t="s">
        <v>78</v>
      </c>
      <c r="J122" s="8" t="n">
        <v>17.42275</v>
      </c>
      <c r="K122" s="13" t="str">
        <f aca="false">IF(J122&gt;0,"прибыль",IF(J122&lt;0,"убыток","ноль"))</f>
        <v>прибыль</v>
      </c>
      <c r="L122" s="13" t="n">
        <f aca="false">IF(C122="",L121,IF(J122&lt;0,L121+1,0))</f>
        <v>0</v>
      </c>
      <c r="M122" s="14" t="n">
        <v>1742.28</v>
      </c>
      <c r="N122" s="9" t="n">
        <v>44991.34</v>
      </c>
      <c r="O122" s="9" t="n">
        <v>558382.82</v>
      </c>
    </row>
    <row r="123" customFormat="false" ht="15" hidden="false" customHeight="false" outlineLevel="0" collapsed="false">
      <c r="A123" s="6" t="n">
        <v>118</v>
      </c>
      <c r="B123" s="5" t="s">
        <v>288</v>
      </c>
      <c r="C123" s="5" t="s">
        <v>290</v>
      </c>
      <c r="D123" s="5" t="s">
        <v>291</v>
      </c>
      <c r="E123" s="5" t="s">
        <v>77</v>
      </c>
      <c r="F123" s="11" t="n">
        <v>2266.31</v>
      </c>
      <c r="G123" s="12" t="n">
        <v>49.682</v>
      </c>
      <c r="H123" s="12" t="n">
        <v>62.7629</v>
      </c>
      <c r="J123" s="8" t="n">
        <v>13.07774</v>
      </c>
      <c r="K123" s="13" t="str">
        <f aca="false">IF(J123&gt;0,"прибыль",IF(J123&lt;0,"убыток","ноль"))</f>
        <v>прибыль</v>
      </c>
      <c r="L123" s="13" t="n">
        <f aca="false">IF(C123="",L122,IF(J123&lt;0,L122+1,0))</f>
        <v>0</v>
      </c>
      <c r="M123" s="14" t="n">
        <v>1307.77</v>
      </c>
      <c r="N123" s="9" t="n">
        <v>29638.23</v>
      </c>
      <c r="O123" s="9" t="n">
        <v>588021.05</v>
      </c>
    </row>
    <row r="124" customFormat="false" ht="15" hidden="false" customHeight="false" outlineLevel="0" collapsed="false">
      <c r="A124" s="6" t="n">
        <v>119</v>
      </c>
      <c r="B124" s="5" t="s">
        <v>288</v>
      </c>
      <c r="C124" s="5" t="s">
        <v>291</v>
      </c>
      <c r="D124" s="5" t="s">
        <v>292</v>
      </c>
      <c r="E124" s="5" t="s">
        <v>77</v>
      </c>
      <c r="F124" s="11" t="n">
        <v>1239.21</v>
      </c>
      <c r="G124" s="12" t="n">
        <v>49.682</v>
      </c>
      <c r="H124" s="12" t="n">
        <v>64.2656</v>
      </c>
      <c r="J124" s="8" t="n">
        <v>14.58035</v>
      </c>
      <c r="K124" s="13" t="str">
        <f aca="false">IF(J124&gt;0,"прибыль",IF(J124&lt;0,"убыток","ноль"))</f>
        <v>прибыль</v>
      </c>
      <c r="L124" s="13" t="n">
        <f aca="false">IF(C124="",L123,IF(J124&lt;0,L123+1,0))</f>
        <v>0</v>
      </c>
      <c r="M124" s="14" t="n">
        <v>1458.03</v>
      </c>
      <c r="N124" s="9" t="n">
        <v>18068.18</v>
      </c>
      <c r="O124" s="9" t="n">
        <v>606089.22</v>
      </c>
    </row>
    <row r="125" customFormat="false" ht="15" hidden="false" customHeight="false" outlineLevel="0" collapsed="false">
      <c r="A125" s="6" t="n">
        <v>120</v>
      </c>
      <c r="B125" s="5" t="s">
        <v>288</v>
      </c>
      <c r="C125" s="5" t="s">
        <v>292</v>
      </c>
      <c r="D125" s="5" t="s">
        <v>593</v>
      </c>
      <c r="E125" s="5" t="s">
        <v>77</v>
      </c>
      <c r="F125" s="11" t="n">
        <v>2296.84</v>
      </c>
      <c r="G125" s="12" t="n">
        <v>58.4544</v>
      </c>
      <c r="H125" s="12" t="n">
        <v>66.655</v>
      </c>
      <c r="I125" s="5" t="s">
        <v>78</v>
      </c>
      <c r="J125" s="8" t="n">
        <v>7.69093</v>
      </c>
      <c r="K125" s="13" t="str">
        <f aca="false">IF(J125&gt;0,"прибыль",IF(J125&lt;0,"убыток","ноль"))</f>
        <v>прибыль</v>
      </c>
      <c r="L125" s="13" t="n">
        <f aca="false">IF(C125="",L124,IF(J125&lt;0,L124+1,0))</f>
        <v>0</v>
      </c>
      <c r="M125" s="14" t="n">
        <v>769.09</v>
      </c>
      <c r="N125" s="9" t="n">
        <v>17664.85</v>
      </c>
      <c r="O125" s="9" t="n">
        <v>623754.07</v>
      </c>
    </row>
    <row r="126" customFormat="false" ht="15" hidden="false" customHeight="false" outlineLevel="0" collapsed="false">
      <c r="A126" s="6" t="n">
        <v>121</v>
      </c>
      <c r="B126" s="5" t="s">
        <v>288</v>
      </c>
      <c r="C126" s="5" t="s">
        <v>593</v>
      </c>
      <c r="D126" s="5" t="s">
        <v>297</v>
      </c>
      <c r="E126" s="5" t="s">
        <v>77</v>
      </c>
      <c r="F126" s="11" t="n">
        <v>5405.83</v>
      </c>
      <c r="G126" s="12" t="n">
        <v>67.1813</v>
      </c>
      <c r="H126" s="12" t="n">
        <v>74.7837</v>
      </c>
      <c r="I126" s="5" t="s">
        <v>78</v>
      </c>
      <c r="J126" s="8" t="n">
        <v>7.32604</v>
      </c>
      <c r="K126" s="13" t="str">
        <f aca="false">IF(J126&gt;0,"прибыль",IF(J126&lt;0,"убыток","ноль"))</f>
        <v>прибыль</v>
      </c>
      <c r="L126" s="13" t="n">
        <f aca="false">IF(C126="",L125,IF(J126&lt;0,L125+1,0))</f>
        <v>0</v>
      </c>
      <c r="M126" s="14" t="n">
        <v>732.6</v>
      </c>
      <c r="N126" s="9" t="n">
        <v>39603.35</v>
      </c>
      <c r="O126" s="9" t="n">
        <v>663357.42</v>
      </c>
    </row>
    <row r="127" customFormat="false" ht="15" hidden="false" customHeight="false" outlineLevel="0" collapsed="false">
      <c r="A127" s="6" t="n">
        <v>122</v>
      </c>
      <c r="B127" s="5" t="s">
        <v>288</v>
      </c>
      <c r="C127" s="5" t="s">
        <v>297</v>
      </c>
      <c r="D127" s="5" t="s">
        <v>298</v>
      </c>
      <c r="E127" s="5" t="s">
        <v>77</v>
      </c>
      <c r="F127" s="11" t="n">
        <v>3446.9</v>
      </c>
      <c r="G127" s="12" t="n">
        <v>67.4479</v>
      </c>
      <c r="H127" s="12" t="n">
        <v>68.6246</v>
      </c>
      <c r="J127" s="8" t="n">
        <v>1.17332</v>
      </c>
      <c r="K127" s="13" t="str">
        <f aca="false">IF(J127&gt;0,"прибыль",IF(J127&lt;0,"убыток","ноль"))</f>
        <v>прибыль</v>
      </c>
      <c r="L127" s="13" t="n">
        <f aca="false">IF(C127="",L126,IF(J127&lt;0,L126+1,0))</f>
        <v>0</v>
      </c>
      <c r="M127" s="14" t="n">
        <v>117.33</v>
      </c>
      <c r="N127" s="9" t="n">
        <v>4044.31</v>
      </c>
      <c r="O127" s="9" t="n">
        <v>667401.73</v>
      </c>
    </row>
    <row r="128" customFormat="false" ht="15" hidden="false" customHeight="false" outlineLevel="0" collapsed="false">
      <c r="A128" s="6" t="n">
        <v>123</v>
      </c>
      <c r="B128" s="5" t="s">
        <v>288</v>
      </c>
      <c r="C128" s="5" t="s">
        <v>298</v>
      </c>
      <c r="D128" s="5" t="s">
        <v>594</v>
      </c>
      <c r="E128" s="5" t="s">
        <v>77</v>
      </c>
      <c r="F128" s="11" t="n">
        <v>1616.76</v>
      </c>
      <c r="G128" s="12" t="n">
        <v>67.4479</v>
      </c>
      <c r="H128" s="12" t="n">
        <v>73.5143</v>
      </c>
      <c r="J128" s="8" t="n">
        <v>6.06275</v>
      </c>
      <c r="K128" s="13" t="str">
        <f aca="false">IF(J128&gt;0,"прибыль",IF(J128&lt;0,"убыток","ноль"))</f>
        <v>прибыль</v>
      </c>
      <c r="L128" s="13" t="n">
        <f aca="false">IF(C128="",L127,IF(J128&lt;0,L127+1,0))</f>
        <v>0</v>
      </c>
      <c r="M128" s="14" t="n">
        <v>606.28</v>
      </c>
      <c r="N128" s="9" t="n">
        <v>9802.05</v>
      </c>
      <c r="O128" s="9" t="n">
        <v>677203.78</v>
      </c>
    </row>
    <row r="129" customFormat="false" ht="15" hidden="false" customHeight="false" outlineLevel="0" collapsed="false">
      <c r="A129" s="6" t="n">
        <v>124</v>
      </c>
      <c r="B129" s="5" t="s">
        <v>288</v>
      </c>
      <c r="C129" s="5" t="s">
        <v>594</v>
      </c>
      <c r="D129" s="5" t="s">
        <v>1105</v>
      </c>
      <c r="E129" s="5" t="s">
        <v>77</v>
      </c>
      <c r="F129" s="11" t="n">
        <v>9573.04</v>
      </c>
      <c r="G129" s="12" t="n">
        <v>69.1238</v>
      </c>
      <c r="H129" s="12" t="n">
        <v>66.6542</v>
      </c>
      <c r="I129" s="5" t="s">
        <v>78</v>
      </c>
      <c r="J129" s="8" t="n">
        <v>0.44287</v>
      </c>
      <c r="K129" s="13" t="str">
        <f aca="false">IF(J129&gt;0,"прибыль",IF(J129&lt;0,"убыток","ноль"))</f>
        <v>прибыль</v>
      </c>
      <c r="L129" s="13" t="n">
        <f aca="false">IF(C129="",L128,IF(J129&lt;0,L128+1,0))</f>
        <v>0</v>
      </c>
      <c r="M129" s="14" t="n">
        <v>44.29</v>
      </c>
      <c r="N129" s="9" t="n">
        <v>4239.57</v>
      </c>
      <c r="O129" s="9" t="n">
        <v>681443.35</v>
      </c>
    </row>
    <row r="130" customFormat="false" ht="15" hidden="false" customHeight="false" outlineLevel="0" collapsed="false">
      <c r="A130" s="6" t="n">
        <v>125</v>
      </c>
      <c r="B130" s="5" t="s">
        <v>288</v>
      </c>
      <c r="C130" s="5" t="s">
        <v>303</v>
      </c>
      <c r="D130" s="5" t="s">
        <v>1106</v>
      </c>
      <c r="E130" s="5" t="s">
        <v>77</v>
      </c>
      <c r="F130" s="11" t="n">
        <v>8554.61</v>
      </c>
      <c r="G130" s="12" t="n">
        <v>70.1305</v>
      </c>
      <c r="H130" s="12" t="n">
        <v>86.1352</v>
      </c>
      <c r="I130" s="5" t="s">
        <v>78</v>
      </c>
      <c r="J130" s="8" t="n">
        <v>16.93696</v>
      </c>
      <c r="K130" s="13" t="str">
        <f aca="false">IF(J130&gt;0,"прибыль",IF(J130&lt;0,"убыток","ноль"))</f>
        <v>прибыль</v>
      </c>
      <c r="L130" s="13" t="n">
        <f aca="false">IF(C130="",L129,IF(J130&lt;0,L129+1,0))</f>
        <v>0</v>
      </c>
      <c r="M130" s="14" t="n">
        <v>1693.7</v>
      </c>
      <c r="N130" s="9" t="n">
        <v>144889.04</v>
      </c>
      <c r="O130" s="9" t="n">
        <v>826332.39</v>
      </c>
    </row>
    <row r="131" customFormat="false" ht="15" hidden="false" customHeight="false" outlineLevel="0" collapsed="false">
      <c r="A131" s="6" t="n">
        <v>126</v>
      </c>
      <c r="B131" s="5" t="s">
        <v>288</v>
      </c>
      <c r="C131" s="5" t="s">
        <v>1107</v>
      </c>
      <c r="D131" s="5" t="s">
        <v>1108</v>
      </c>
      <c r="E131" s="5" t="s">
        <v>77</v>
      </c>
      <c r="F131" s="11" t="n">
        <v>8489.03</v>
      </c>
      <c r="G131" s="12" t="n">
        <v>84.2102</v>
      </c>
      <c r="H131" s="12" t="n">
        <v>84.4794</v>
      </c>
      <c r="J131" s="8" t="n">
        <v>0.2608</v>
      </c>
      <c r="K131" s="13" t="str">
        <f aca="false">IF(J131&gt;0,"прибыль",IF(J131&lt;0,"убыток","ноль"))</f>
        <v>прибыль</v>
      </c>
      <c r="L131" s="13" t="n">
        <f aca="false">IF(C131="",L130,IF(J131&lt;0,L130+1,0))</f>
        <v>0</v>
      </c>
      <c r="M131" s="14" t="n">
        <v>26.08</v>
      </c>
      <c r="N131" s="9" t="n">
        <v>2213.92</v>
      </c>
      <c r="O131" s="9" t="n">
        <v>828546.31</v>
      </c>
    </row>
    <row r="132" customFormat="false" ht="15" hidden="false" customHeight="false" outlineLevel="0" collapsed="false">
      <c r="A132" s="6" t="n">
        <v>127</v>
      </c>
      <c r="B132" s="5" t="s">
        <v>288</v>
      </c>
      <c r="C132" s="5" t="s">
        <v>307</v>
      </c>
      <c r="D132" s="5" t="s">
        <v>788</v>
      </c>
      <c r="E132" s="5" t="s">
        <v>81</v>
      </c>
      <c r="F132" s="11" t="n">
        <v>4101.9</v>
      </c>
      <c r="G132" s="12" t="n">
        <v>72.3915</v>
      </c>
      <c r="H132" s="12" t="n">
        <v>73.6608</v>
      </c>
      <c r="I132" s="5" t="s">
        <v>78</v>
      </c>
      <c r="J132" s="8" t="n">
        <v>-3.04169</v>
      </c>
      <c r="K132" s="13" t="str">
        <f aca="false">IF(J132&gt;0,"прибыль",IF(J132&lt;0,"убыток","ноль"))</f>
        <v>убыток</v>
      </c>
      <c r="L132" s="13" t="n">
        <f aca="false">IF(C132="",L131,IF(J132&lt;0,L131+1,0))</f>
        <v>1</v>
      </c>
      <c r="M132" s="14" t="n">
        <v>-304.17</v>
      </c>
      <c r="N132" s="9" t="n">
        <v>-12476.69</v>
      </c>
      <c r="O132" s="9" t="n">
        <v>816069.62</v>
      </c>
    </row>
    <row r="133" customFormat="false" ht="15" hidden="false" customHeight="false" outlineLevel="0" collapsed="false">
      <c r="A133" s="6" t="n">
        <v>128</v>
      </c>
      <c r="B133" s="5" t="s">
        <v>288</v>
      </c>
      <c r="C133" s="5" t="s">
        <v>1109</v>
      </c>
      <c r="D133" s="5" t="s">
        <v>1110</v>
      </c>
      <c r="E133" s="5" t="s">
        <v>81</v>
      </c>
      <c r="F133" s="11" t="n">
        <v>3561.13</v>
      </c>
      <c r="G133" s="12" t="n">
        <v>73.9968</v>
      </c>
      <c r="H133" s="12" t="n">
        <v>75.5569</v>
      </c>
      <c r="J133" s="8" t="n">
        <v>-1.56754</v>
      </c>
      <c r="K133" s="13" t="str">
        <f aca="false">IF(J133&gt;0,"прибыль",IF(J133&lt;0,"убыток","ноль"))</f>
        <v>убыток</v>
      </c>
      <c r="L133" s="13" t="n">
        <f aca="false">IF(C133="",L132,IF(J133&lt;0,L132+1,0))</f>
        <v>2</v>
      </c>
      <c r="M133" s="14" t="n">
        <v>-156.75</v>
      </c>
      <c r="N133" s="9" t="n">
        <v>-5582.22</v>
      </c>
      <c r="O133" s="9" t="n">
        <v>810487.4</v>
      </c>
    </row>
    <row r="134" customFormat="false" ht="15" hidden="false" customHeight="false" outlineLevel="0" collapsed="false">
      <c r="A134" s="6" t="n">
        <v>129</v>
      </c>
      <c r="B134" s="5" t="s">
        <v>288</v>
      </c>
      <c r="C134" s="5" t="s">
        <v>1111</v>
      </c>
      <c r="D134" s="5" t="s">
        <v>685</v>
      </c>
      <c r="E134" s="5" t="s">
        <v>81</v>
      </c>
      <c r="F134" s="11" t="n">
        <v>5654.4</v>
      </c>
      <c r="G134" s="12" t="n">
        <v>74.9733</v>
      </c>
      <c r="H134" s="12" t="n">
        <v>78.8144</v>
      </c>
      <c r="J134" s="8" t="n">
        <v>-3.84872</v>
      </c>
      <c r="K134" s="13" t="str">
        <f aca="false">IF(J134&gt;0,"прибыль",IF(J134&lt;0,"убыток","ноль"))</f>
        <v>убыток</v>
      </c>
      <c r="L134" s="13" t="n">
        <f aca="false">IF(C134="",L133,IF(J134&lt;0,L133+1,0))</f>
        <v>3</v>
      </c>
      <c r="M134" s="14" t="n">
        <v>-384.87</v>
      </c>
      <c r="N134" s="9" t="n">
        <v>-21762.2</v>
      </c>
      <c r="O134" s="9" t="n">
        <v>788725.19</v>
      </c>
    </row>
    <row r="135" customFormat="false" ht="15" hidden="false" customHeight="false" outlineLevel="0" collapsed="false">
      <c r="A135" s="6" t="n">
        <v>130</v>
      </c>
      <c r="B135" s="5" t="s">
        <v>288</v>
      </c>
      <c r="C135" s="5" t="s">
        <v>1112</v>
      </c>
      <c r="D135" s="5" t="s">
        <v>308</v>
      </c>
      <c r="E135" s="5" t="s">
        <v>81</v>
      </c>
      <c r="F135" s="11" t="n">
        <v>5550.12</v>
      </c>
      <c r="G135" s="12" t="n">
        <v>78.9223</v>
      </c>
      <c r="H135" s="12" t="n">
        <v>79.3969</v>
      </c>
      <c r="J135" s="8" t="n">
        <v>-0.48252</v>
      </c>
      <c r="K135" s="13" t="str">
        <f aca="false">IF(J135&gt;0,"прибыль",IF(J135&lt;0,"убыток","ноль"))</f>
        <v>убыток</v>
      </c>
      <c r="L135" s="13" t="n">
        <f aca="false">IF(C135="",L134,IF(J135&lt;0,L134+1,0))</f>
        <v>4</v>
      </c>
      <c r="M135" s="14" t="n">
        <v>-48.25</v>
      </c>
      <c r="N135" s="9" t="n">
        <v>-2678.02</v>
      </c>
      <c r="O135" s="9" t="n">
        <v>786047.18</v>
      </c>
    </row>
    <row r="136" customFormat="false" ht="15" hidden="false" customHeight="false" outlineLevel="0" collapsed="false">
      <c r="A136" s="6" t="n">
        <v>131</v>
      </c>
      <c r="B136" s="5" t="s">
        <v>288</v>
      </c>
      <c r="C136" s="5" t="s">
        <v>309</v>
      </c>
      <c r="D136" s="5" t="s">
        <v>310</v>
      </c>
      <c r="E136" s="5" t="s">
        <v>81</v>
      </c>
      <c r="F136" s="11" t="n">
        <v>6835.78</v>
      </c>
      <c r="G136" s="12" t="n">
        <v>79.0804</v>
      </c>
      <c r="H136" s="12" t="n">
        <v>82.0862</v>
      </c>
      <c r="J136" s="8" t="n">
        <v>-3.01387</v>
      </c>
      <c r="K136" s="13" t="str">
        <f aca="false">IF(J136&gt;0,"прибыль",IF(J136&lt;0,"убыток","ноль"))</f>
        <v>убыток</v>
      </c>
      <c r="L136" s="13" t="n">
        <f aca="false">IF(C136="",L135,IF(J136&lt;0,L135+1,0))</f>
        <v>5</v>
      </c>
      <c r="M136" s="14" t="n">
        <v>-301.39</v>
      </c>
      <c r="N136" s="9" t="n">
        <v>-20602.14</v>
      </c>
      <c r="O136" s="9" t="n">
        <v>765445.04</v>
      </c>
    </row>
    <row r="137" customFormat="false" ht="15" hidden="false" customHeight="false" outlineLevel="0" collapsed="false">
      <c r="A137" s="6" t="n">
        <v>132</v>
      </c>
      <c r="B137" s="5" t="s">
        <v>288</v>
      </c>
      <c r="C137" s="5" t="s">
        <v>725</v>
      </c>
      <c r="D137" s="5" t="s">
        <v>686</v>
      </c>
      <c r="E137" s="5" t="s">
        <v>81</v>
      </c>
      <c r="F137" s="11" t="n">
        <v>7023.33</v>
      </c>
      <c r="G137" s="12" t="n">
        <v>80.7993</v>
      </c>
      <c r="H137" s="12" t="n">
        <v>83.8382</v>
      </c>
      <c r="J137" s="8" t="n">
        <v>-3.04707</v>
      </c>
      <c r="K137" s="13" t="str">
        <f aca="false">IF(J137&gt;0,"прибыль",IF(J137&lt;0,"убыток","ноль"))</f>
        <v>убыток</v>
      </c>
      <c r="L137" s="13" t="n">
        <f aca="false">IF(C137="",L136,IF(J137&lt;0,L136+1,0))</f>
        <v>6</v>
      </c>
      <c r="M137" s="14" t="n">
        <v>-304.71</v>
      </c>
      <c r="N137" s="9" t="n">
        <v>-21400.61</v>
      </c>
      <c r="O137" s="9" t="n">
        <v>744044.42</v>
      </c>
    </row>
    <row r="138" customFormat="false" ht="15" hidden="false" customHeight="false" outlineLevel="0" collapsed="false">
      <c r="A138" s="6" t="n">
        <v>133</v>
      </c>
      <c r="B138" s="5" t="s">
        <v>288</v>
      </c>
      <c r="C138" s="5" t="s">
        <v>1113</v>
      </c>
      <c r="D138" s="5" t="s">
        <v>1114</v>
      </c>
      <c r="E138" s="5" t="s">
        <v>81</v>
      </c>
      <c r="F138" s="11" t="n">
        <v>5697.2</v>
      </c>
      <c r="G138" s="12" t="n">
        <v>94.0399</v>
      </c>
      <c r="H138" s="12" t="n">
        <v>97.0144</v>
      </c>
      <c r="J138" s="8" t="n">
        <v>-2.98403</v>
      </c>
      <c r="K138" s="13" t="str">
        <f aca="false">IF(J138&gt;0,"прибыль",IF(J138&lt;0,"убыток","ноль"))</f>
        <v>убыток</v>
      </c>
      <c r="L138" s="13" t="n">
        <f aca="false">IF(C138="",L137,IF(J138&lt;0,L137+1,0))</f>
        <v>7</v>
      </c>
      <c r="M138" s="14" t="n">
        <v>-298.4</v>
      </c>
      <c r="N138" s="9" t="n">
        <v>-17000.63</v>
      </c>
      <c r="O138" s="9" t="n">
        <v>727043.79</v>
      </c>
    </row>
    <row r="139" customFormat="false" ht="15" hidden="false" customHeight="false" outlineLevel="0" collapsed="false">
      <c r="A139" s="6" t="n">
        <v>134</v>
      </c>
      <c r="B139" s="5" t="s">
        <v>288</v>
      </c>
      <c r="C139" s="5" t="s">
        <v>1115</v>
      </c>
      <c r="D139" s="5" t="s">
        <v>327</v>
      </c>
      <c r="E139" s="5" t="s">
        <v>81</v>
      </c>
      <c r="F139" s="11" t="n">
        <v>1224.4</v>
      </c>
      <c r="G139" s="12" t="n">
        <v>96.3161</v>
      </c>
      <c r="H139" s="12" t="n">
        <v>101.0998</v>
      </c>
      <c r="J139" s="8" t="n">
        <v>-4.81029</v>
      </c>
      <c r="K139" s="13" t="str">
        <f aca="false">IF(J139&gt;0,"прибыль",IF(J139&lt;0,"убыток","ноль"))</f>
        <v>убыток</v>
      </c>
      <c r="L139" s="13" t="n">
        <f aca="false">IF(C139="",L138,IF(J139&lt;0,L138+1,0))</f>
        <v>8</v>
      </c>
      <c r="M139" s="14" t="n">
        <v>-481.03</v>
      </c>
      <c r="N139" s="9" t="n">
        <v>-5889.74</v>
      </c>
      <c r="O139" s="9" t="n">
        <v>721154.05</v>
      </c>
    </row>
    <row r="140" customFormat="false" ht="15" hidden="false" customHeight="false" outlineLevel="0" collapsed="false">
      <c r="A140" s="6" t="n">
        <v>135</v>
      </c>
      <c r="B140" s="5" t="s">
        <v>288</v>
      </c>
      <c r="C140" s="5" t="s">
        <v>327</v>
      </c>
      <c r="D140" s="5" t="s">
        <v>1116</v>
      </c>
      <c r="E140" s="5" t="s">
        <v>81</v>
      </c>
      <c r="F140" s="11" t="n">
        <v>5016.85</v>
      </c>
      <c r="G140" s="12" t="n">
        <v>94.4167</v>
      </c>
      <c r="H140" s="12" t="n">
        <v>95.3421</v>
      </c>
      <c r="I140" s="5" t="s">
        <v>78</v>
      </c>
      <c r="J140" s="8" t="n">
        <v>1.35895</v>
      </c>
      <c r="K140" s="13" t="str">
        <f aca="false">IF(J140&gt;0,"прибыль",IF(J140&lt;0,"убыток","ноль"))</f>
        <v>прибыль</v>
      </c>
      <c r="L140" s="13" t="n">
        <f aca="false">IF(C140="",L139,IF(J140&lt;0,L139+1,0))</f>
        <v>0</v>
      </c>
      <c r="M140" s="14" t="n">
        <v>135.9</v>
      </c>
      <c r="N140" s="9" t="n">
        <v>6817.68</v>
      </c>
      <c r="O140" s="9" t="n">
        <v>727971.73</v>
      </c>
    </row>
    <row r="141" customFormat="false" ht="15" hidden="false" customHeight="false" outlineLevel="0" collapsed="false">
      <c r="A141" s="6" t="n">
        <v>136</v>
      </c>
      <c r="B141" s="5" t="s">
        <v>288</v>
      </c>
      <c r="C141" s="5" t="s">
        <v>629</v>
      </c>
      <c r="D141" s="5" t="s">
        <v>600</v>
      </c>
      <c r="E141" s="5" t="s">
        <v>81</v>
      </c>
      <c r="F141" s="11" t="n">
        <v>1854.73</v>
      </c>
      <c r="G141" s="12" t="n">
        <v>87.8095</v>
      </c>
      <c r="H141" s="12" t="n">
        <v>78.0303</v>
      </c>
      <c r="I141" s="5" t="s">
        <v>78</v>
      </c>
      <c r="J141" s="8" t="n">
        <v>26.41072</v>
      </c>
      <c r="K141" s="13" t="str">
        <f aca="false">IF(J141&gt;0,"прибыль",IF(J141&lt;0,"убыток","ноль"))</f>
        <v>прибыль</v>
      </c>
      <c r="L141" s="13" t="n">
        <f aca="false">IF(C141="",L140,IF(J141&lt;0,L140+1,0))</f>
        <v>0</v>
      </c>
      <c r="M141" s="14" t="n">
        <v>2641.07</v>
      </c>
      <c r="N141" s="9" t="n">
        <v>48984.72</v>
      </c>
      <c r="O141" s="9" t="n">
        <v>776956.45</v>
      </c>
    </row>
    <row r="142" customFormat="false" ht="15" hidden="false" customHeight="false" outlineLevel="0" collapsed="false">
      <c r="A142" s="6" t="n">
        <v>137</v>
      </c>
      <c r="B142" s="5" t="s">
        <v>288</v>
      </c>
      <c r="C142" s="5" t="s">
        <v>600</v>
      </c>
      <c r="D142" s="5" t="s">
        <v>601</v>
      </c>
      <c r="E142" s="5" t="s">
        <v>81</v>
      </c>
      <c r="F142" s="11" t="n">
        <v>2481.95</v>
      </c>
      <c r="G142" s="12" t="n">
        <v>93.8633</v>
      </c>
      <c r="H142" s="12" t="n">
        <v>76.837</v>
      </c>
      <c r="I142" s="5" t="s">
        <v>78</v>
      </c>
      <c r="J142" s="8" t="n">
        <v>22.96912</v>
      </c>
      <c r="K142" s="13" t="str">
        <f aca="false">IF(J142&gt;0,"прибыль",IF(J142&lt;0,"убыток","ноль"))</f>
        <v>прибыль</v>
      </c>
      <c r="L142" s="13" t="n">
        <f aca="false">IF(C142="",L141,IF(J142&lt;0,L141+1,0))</f>
        <v>0</v>
      </c>
      <c r="M142" s="14" t="n">
        <v>2296.91</v>
      </c>
      <c r="N142" s="9" t="n">
        <v>57008.24</v>
      </c>
      <c r="O142" s="9" t="n">
        <v>833964.69</v>
      </c>
    </row>
    <row r="143" customFormat="false" ht="15" hidden="false" customHeight="false" outlineLevel="0" collapsed="false">
      <c r="A143" s="6" t="n">
        <v>138</v>
      </c>
      <c r="B143" s="5" t="s">
        <v>288</v>
      </c>
      <c r="C143" s="5" t="s">
        <v>601</v>
      </c>
      <c r="D143" s="5" t="s">
        <v>349</v>
      </c>
      <c r="E143" s="5" t="s">
        <v>81</v>
      </c>
      <c r="F143" s="11" t="n">
        <v>8788.87</v>
      </c>
      <c r="G143" s="12" t="n">
        <v>93.8889</v>
      </c>
      <c r="H143" s="12" t="n">
        <v>83.0704</v>
      </c>
      <c r="I143" s="5" t="s">
        <v>78</v>
      </c>
      <c r="J143" s="8" t="n">
        <v>15.61498</v>
      </c>
      <c r="K143" s="13" t="str">
        <f aca="false">IF(J143&gt;0,"прибыль",IF(J143&lt;0,"убыток","ноль"))</f>
        <v>прибыль</v>
      </c>
      <c r="L143" s="13" t="n">
        <f aca="false">IF(C143="",L142,IF(J143&lt;0,L142+1,0))</f>
        <v>0</v>
      </c>
      <c r="M143" s="14" t="n">
        <v>1561.5</v>
      </c>
      <c r="N143" s="9" t="n">
        <v>137238.05</v>
      </c>
      <c r="O143" s="9" t="n">
        <v>971202.74</v>
      </c>
    </row>
    <row r="144" customFormat="false" ht="15" hidden="false" customHeight="false" outlineLevel="0" collapsed="false">
      <c r="A144" s="6" t="n">
        <v>139</v>
      </c>
      <c r="B144" s="5" t="s">
        <v>288</v>
      </c>
      <c r="C144" s="5" t="s">
        <v>604</v>
      </c>
      <c r="D144" s="5" t="s">
        <v>742</v>
      </c>
      <c r="E144" s="5" t="s">
        <v>81</v>
      </c>
      <c r="F144" s="11" t="n">
        <v>6981.65</v>
      </c>
      <c r="G144" s="12" t="n">
        <v>78.7696</v>
      </c>
      <c r="H144" s="12" t="n">
        <v>82.5747</v>
      </c>
      <c r="J144" s="8" t="n">
        <v>-3.81323</v>
      </c>
      <c r="K144" s="13" t="str">
        <f aca="false">IF(J144&gt;0,"прибыль",IF(J144&lt;0,"убыток","ноль"))</f>
        <v>убыток</v>
      </c>
      <c r="L144" s="13" t="n">
        <f aca="false">IF(C144="",L143,IF(J144&lt;0,L143+1,0))</f>
        <v>1</v>
      </c>
      <c r="M144" s="14" t="n">
        <v>-381.32</v>
      </c>
      <c r="N144" s="9" t="n">
        <v>-26622.65</v>
      </c>
      <c r="O144" s="9" t="n">
        <v>944580.09</v>
      </c>
    </row>
    <row r="145" customFormat="false" ht="15" hidden="false" customHeight="false" outlineLevel="0" collapsed="false">
      <c r="A145" s="6" t="n">
        <v>140</v>
      </c>
      <c r="B145" s="5" t="s">
        <v>288</v>
      </c>
      <c r="C145" s="5" t="s">
        <v>815</v>
      </c>
      <c r="D145" s="5" t="s">
        <v>692</v>
      </c>
      <c r="E145" s="5" t="s">
        <v>81</v>
      </c>
      <c r="F145" s="11" t="n">
        <v>8498.5</v>
      </c>
      <c r="G145" s="12" t="n">
        <v>81.8288</v>
      </c>
      <c r="H145" s="12" t="n">
        <v>82.3832</v>
      </c>
      <c r="I145" s="5" t="s">
        <v>78</v>
      </c>
      <c r="J145" s="8" t="n">
        <v>-5.04034</v>
      </c>
      <c r="K145" s="13" t="str">
        <f aca="false">IF(J145&gt;0,"прибыль",IF(J145&lt;0,"убыток","ноль"))</f>
        <v>убыток</v>
      </c>
      <c r="L145" s="13" t="n">
        <f aca="false">IF(C145="",L144,IF(J145&lt;0,L144+1,0))</f>
        <v>2</v>
      </c>
      <c r="M145" s="14" t="n">
        <v>-504.03</v>
      </c>
      <c r="N145" s="9" t="n">
        <v>-42835.34</v>
      </c>
      <c r="O145" s="9" t="n">
        <v>901744.75</v>
      </c>
    </row>
    <row r="146" customFormat="false" ht="15" hidden="false" customHeight="false" outlineLevel="0" collapsed="false">
      <c r="A146" s="6" t="n">
        <v>141</v>
      </c>
      <c r="B146" s="5" t="s">
        <v>288</v>
      </c>
      <c r="C146" s="5" t="s">
        <v>1117</v>
      </c>
      <c r="D146" s="5" t="s">
        <v>1118</v>
      </c>
      <c r="E146" s="5" t="s">
        <v>81</v>
      </c>
      <c r="F146" s="11" t="n">
        <v>8384.26</v>
      </c>
      <c r="G146" s="12" t="n">
        <v>82.6994</v>
      </c>
      <c r="H146" s="12" t="n">
        <v>82.7705</v>
      </c>
      <c r="J146" s="8" t="n">
        <v>-0.07937</v>
      </c>
      <c r="K146" s="13" t="str">
        <f aca="false">IF(J146&gt;0,"прибыль",IF(J146&lt;0,"убыток","ноль"))</f>
        <v>убыток</v>
      </c>
      <c r="L146" s="13" t="n">
        <f aca="false">IF(C146="",L145,IF(J146&lt;0,L145+1,0))</f>
        <v>3</v>
      </c>
      <c r="M146" s="14" t="n">
        <v>-7.94</v>
      </c>
      <c r="N146" s="9" t="n">
        <v>-665.48</v>
      </c>
      <c r="O146" s="9" t="n">
        <v>901079.27</v>
      </c>
    </row>
    <row r="147" customFormat="false" ht="15" hidden="false" customHeight="false" outlineLevel="0" collapsed="false">
      <c r="A147" s="6" t="n">
        <v>142</v>
      </c>
      <c r="B147" s="5" t="s">
        <v>288</v>
      </c>
      <c r="C147" s="5" t="s">
        <v>1119</v>
      </c>
      <c r="D147" s="5" t="s">
        <v>1120</v>
      </c>
      <c r="E147" s="5" t="s">
        <v>81</v>
      </c>
      <c r="F147" s="11" t="n">
        <v>11855.48</v>
      </c>
      <c r="G147" s="12" t="n">
        <v>81.6362</v>
      </c>
      <c r="H147" s="12" t="n">
        <v>82.6125</v>
      </c>
      <c r="J147" s="8" t="n">
        <v>-0.98451</v>
      </c>
      <c r="K147" s="13" t="str">
        <f aca="false">IF(J147&gt;0,"прибыль",IF(J147&lt;0,"убыток","ноль"))</f>
        <v>убыток</v>
      </c>
      <c r="L147" s="13" t="n">
        <f aca="false">IF(C147="",L146,IF(J147&lt;0,L146+1,0))</f>
        <v>4</v>
      </c>
      <c r="M147" s="14" t="n">
        <v>-98.45</v>
      </c>
      <c r="N147" s="9" t="n">
        <v>-11671.88</v>
      </c>
      <c r="O147" s="9" t="n">
        <v>889407.39</v>
      </c>
    </row>
    <row r="148" customFormat="false" ht="15" hidden="false" customHeight="false" outlineLevel="0" collapsed="false">
      <c r="A148" s="6" t="n">
        <v>143</v>
      </c>
      <c r="B148" s="5" t="s">
        <v>288</v>
      </c>
      <c r="C148" s="5" t="s">
        <v>1121</v>
      </c>
      <c r="D148" s="5" t="s">
        <v>1122</v>
      </c>
      <c r="E148" s="5" t="s">
        <v>81</v>
      </c>
      <c r="F148" s="11" t="n">
        <v>11664.82</v>
      </c>
      <c r="G148" s="12" t="n">
        <v>81.1954</v>
      </c>
      <c r="H148" s="12" t="n">
        <v>80.7676</v>
      </c>
      <c r="I148" s="5" t="s">
        <v>78</v>
      </c>
      <c r="J148" s="8" t="n">
        <v>0.35935</v>
      </c>
      <c r="K148" s="13" t="str">
        <f aca="false">IF(J148&gt;0,"прибыль",IF(J148&lt;0,"убыток","ноль"))</f>
        <v>прибыль</v>
      </c>
      <c r="L148" s="13" t="n">
        <f aca="false">IF(C148="",L147,IF(J148&lt;0,L147+1,0))</f>
        <v>0</v>
      </c>
      <c r="M148" s="14" t="n">
        <v>35.93</v>
      </c>
      <c r="N148" s="9" t="n">
        <v>4191.71</v>
      </c>
      <c r="O148" s="9" t="n">
        <v>893599.1</v>
      </c>
    </row>
    <row r="149" customFormat="false" ht="15" hidden="false" customHeight="false" outlineLevel="0" collapsed="false">
      <c r="A149" s="6" t="n">
        <v>144</v>
      </c>
      <c r="B149" s="5" t="s">
        <v>288</v>
      </c>
      <c r="C149" s="5" t="s">
        <v>368</v>
      </c>
      <c r="D149" s="5" t="s">
        <v>370</v>
      </c>
      <c r="E149" s="5" t="s">
        <v>81</v>
      </c>
      <c r="F149" s="11" t="n">
        <v>10049.78</v>
      </c>
      <c r="G149" s="12" t="n">
        <v>77.3711</v>
      </c>
      <c r="H149" s="12" t="n">
        <v>82.1673</v>
      </c>
      <c r="J149" s="8" t="n">
        <v>-4.80423</v>
      </c>
      <c r="K149" s="13" t="str">
        <f aca="false">IF(J149&gt;0,"прибыль",IF(J149&lt;0,"убыток","ноль"))</f>
        <v>убыток</v>
      </c>
      <c r="L149" s="13" t="n">
        <f aca="false">IF(C149="",L148,IF(J149&lt;0,L148+1,0))</f>
        <v>1</v>
      </c>
      <c r="M149" s="14" t="n">
        <v>-480.42</v>
      </c>
      <c r="N149" s="9" t="n">
        <v>-48281.46</v>
      </c>
      <c r="O149" s="9" t="n">
        <v>845317.64</v>
      </c>
    </row>
    <row r="150" customFormat="false" ht="15" hidden="false" customHeight="false" outlineLevel="0" collapsed="false">
      <c r="A150" s="6" t="n">
        <v>145</v>
      </c>
      <c r="B150" s="5" t="s">
        <v>288</v>
      </c>
      <c r="C150" s="5" t="s">
        <v>501</v>
      </c>
      <c r="D150" s="5" t="s">
        <v>1123</v>
      </c>
      <c r="E150" s="5" t="s">
        <v>81</v>
      </c>
      <c r="F150" s="11" t="n">
        <v>7776.18</v>
      </c>
      <c r="G150" s="12" t="n">
        <v>77.5971</v>
      </c>
      <c r="H150" s="12" t="n">
        <v>79.9089</v>
      </c>
      <c r="J150" s="8" t="n">
        <v>-2.31973</v>
      </c>
      <c r="K150" s="13" t="str">
        <f aca="false">IF(J150&gt;0,"прибыль",IF(J150&lt;0,"убыток","ноль"))</f>
        <v>убыток</v>
      </c>
      <c r="L150" s="13" t="n">
        <f aca="false">IF(C150="",L149,IF(J150&lt;0,L149+1,0))</f>
        <v>2</v>
      </c>
      <c r="M150" s="14" t="n">
        <v>-231.97</v>
      </c>
      <c r="N150" s="9" t="n">
        <v>-18038.64</v>
      </c>
      <c r="O150" s="9" t="n">
        <v>827279</v>
      </c>
    </row>
    <row r="151" customFormat="false" ht="15" hidden="false" customHeight="false" outlineLevel="0" collapsed="false">
      <c r="A151" s="6" t="n">
        <v>146</v>
      </c>
      <c r="B151" s="5" t="s">
        <v>288</v>
      </c>
      <c r="C151" s="5" t="s">
        <v>1124</v>
      </c>
      <c r="D151" s="5" t="s">
        <v>753</v>
      </c>
      <c r="E151" s="5" t="s">
        <v>81</v>
      </c>
      <c r="F151" s="11" t="n">
        <v>6654.1</v>
      </c>
      <c r="G151" s="12" t="n">
        <v>78.7083</v>
      </c>
      <c r="H151" s="12" t="n">
        <v>73.5833</v>
      </c>
      <c r="I151" s="5" t="s">
        <v>78</v>
      </c>
      <c r="J151" s="8" t="n">
        <v>7.43353</v>
      </c>
      <c r="K151" s="13" t="str">
        <f aca="false">IF(J151&gt;0,"прибыль",IF(J151&lt;0,"убыток","ноль"))</f>
        <v>прибыль</v>
      </c>
      <c r="L151" s="13" t="n">
        <f aca="false">IF(C151="",L150,IF(J151&lt;0,L150+1,0))</f>
        <v>0</v>
      </c>
      <c r="M151" s="14" t="n">
        <v>743.35</v>
      </c>
      <c r="N151" s="9" t="n">
        <v>49463.45</v>
      </c>
      <c r="O151" s="9" t="n">
        <v>876742.44</v>
      </c>
    </row>
    <row r="152" customFormat="false" ht="15" hidden="false" customHeight="false" outlineLevel="0" collapsed="false">
      <c r="A152" s="6" t="n">
        <v>147</v>
      </c>
      <c r="B152" s="5" t="s">
        <v>288</v>
      </c>
      <c r="C152" s="5" t="s">
        <v>1125</v>
      </c>
      <c r="D152" s="5" t="s">
        <v>1126</v>
      </c>
      <c r="E152" s="5" t="s">
        <v>81</v>
      </c>
      <c r="F152" s="11" t="n">
        <v>5620.92</v>
      </c>
      <c r="G152" s="12" t="n">
        <v>74.1448</v>
      </c>
      <c r="H152" s="12" t="n">
        <v>71.7283</v>
      </c>
      <c r="J152" s="8" t="n">
        <v>2.40912</v>
      </c>
      <c r="K152" s="13" t="str">
        <f aca="false">IF(J152&gt;0,"прибыль",IF(J152&lt;0,"убыток","ноль"))</f>
        <v>прибыль</v>
      </c>
      <c r="L152" s="13" t="n">
        <f aca="false">IF(C152="",L151,IF(J152&lt;0,L151+1,0))</f>
        <v>0</v>
      </c>
      <c r="M152" s="14" t="n">
        <v>240.91</v>
      </c>
      <c r="N152" s="9" t="n">
        <v>13541.49</v>
      </c>
      <c r="O152" s="9" t="n">
        <v>890283.93</v>
      </c>
    </row>
    <row r="153" customFormat="false" ht="15" hidden="false" customHeight="false" outlineLevel="0" collapsed="false">
      <c r="A153" s="6" t="n">
        <v>148</v>
      </c>
      <c r="B153" s="5" t="s">
        <v>288</v>
      </c>
      <c r="C153" s="5" t="s">
        <v>1127</v>
      </c>
      <c r="D153" s="5" t="s">
        <v>513</v>
      </c>
      <c r="E153" s="5" t="s">
        <v>81</v>
      </c>
      <c r="F153" s="11" t="n">
        <v>8136.45</v>
      </c>
      <c r="G153" s="12" t="n">
        <v>73.2255</v>
      </c>
      <c r="H153" s="12" t="n">
        <v>74.0754</v>
      </c>
      <c r="I153" s="5" t="s">
        <v>78</v>
      </c>
      <c r="J153" s="8" t="n">
        <v>-1.27109</v>
      </c>
      <c r="K153" s="13" t="str">
        <f aca="false">IF(J153&gt;0,"прибыль",IF(J153&lt;0,"убыток","ноль"))</f>
        <v>убыток</v>
      </c>
      <c r="L153" s="13" t="n">
        <f aca="false">IF(C153="",L152,IF(J153&lt;0,L152+1,0))</f>
        <v>1</v>
      </c>
      <c r="M153" s="14" t="n">
        <v>-127.11</v>
      </c>
      <c r="N153" s="9" t="n">
        <v>-10342.13</v>
      </c>
      <c r="O153" s="9" t="n">
        <v>879941.8</v>
      </c>
    </row>
    <row r="154" customFormat="false" ht="15" hidden="false" customHeight="false" outlineLevel="0" collapsed="false">
      <c r="A154" s="6" t="n">
        <v>149</v>
      </c>
      <c r="B154" s="5" t="s">
        <v>288</v>
      </c>
      <c r="C154" s="5" t="s">
        <v>514</v>
      </c>
      <c r="D154" s="5" t="s">
        <v>1128</v>
      </c>
      <c r="E154" s="5" t="s">
        <v>81</v>
      </c>
      <c r="F154" s="11" t="n">
        <v>10774.88</v>
      </c>
      <c r="G154" s="12" t="n">
        <v>72.5878</v>
      </c>
      <c r="H154" s="12" t="n">
        <v>73.2407</v>
      </c>
      <c r="J154" s="8" t="n">
        <v>-0.66016</v>
      </c>
      <c r="K154" s="13" t="str">
        <f aca="false">IF(J154&gt;0,"прибыль",IF(J154&lt;0,"убыток","ноль"))</f>
        <v>убыток</v>
      </c>
      <c r="L154" s="13" t="n">
        <f aca="false">IF(C154="",L153,IF(J154&lt;0,L153+1,0))</f>
        <v>2</v>
      </c>
      <c r="M154" s="14" t="n">
        <v>-66.02</v>
      </c>
      <c r="N154" s="9" t="n">
        <v>-7113.1</v>
      </c>
      <c r="O154" s="9" t="n">
        <v>872828.7</v>
      </c>
    </row>
    <row r="155" customFormat="false" ht="15" hidden="false" customHeight="false" outlineLevel="0" collapsed="false">
      <c r="A155" s="6" t="n">
        <v>150</v>
      </c>
      <c r="B155" s="5" t="s">
        <v>288</v>
      </c>
      <c r="C155" s="5" t="s">
        <v>380</v>
      </c>
      <c r="D155" s="5" t="s">
        <v>1129</v>
      </c>
      <c r="E155" s="5" t="s">
        <v>77</v>
      </c>
      <c r="F155" s="11" t="n">
        <v>11765.74</v>
      </c>
      <c r="G155" s="12" t="n">
        <v>81.3449</v>
      </c>
      <c r="H155" s="12" t="n">
        <v>80.4072</v>
      </c>
      <c r="J155" s="8" t="n">
        <v>-0.94581</v>
      </c>
      <c r="K155" s="13" t="str">
        <f aca="false">IF(J155&gt;0,"прибыль",IF(J155&lt;0,"убыток","ноль"))</f>
        <v>убыток</v>
      </c>
      <c r="L155" s="13" t="n">
        <f aca="false">IF(C155="",L154,IF(J155&lt;0,L154+1,0))</f>
        <v>3</v>
      </c>
      <c r="M155" s="14" t="n">
        <v>-94.58</v>
      </c>
      <c r="N155" s="9" t="n">
        <v>-11128.11</v>
      </c>
      <c r="O155" s="9" t="n">
        <v>861700.59</v>
      </c>
    </row>
    <row r="156" customFormat="false" ht="15" hidden="false" customHeight="false" outlineLevel="0" collapsed="false">
      <c r="A156" s="6" t="n">
        <v>151</v>
      </c>
      <c r="B156" s="5" t="s">
        <v>288</v>
      </c>
      <c r="C156" s="5" t="s">
        <v>1130</v>
      </c>
      <c r="D156" s="5" t="s">
        <v>609</v>
      </c>
      <c r="E156" s="5" t="s">
        <v>77</v>
      </c>
      <c r="F156" s="11" t="n">
        <v>11679.43</v>
      </c>
      <c r="G156" s="12" t="n">
        <v>80.3241</v>
      </c>
      <c r="H156" s="12" t="n">
        <v>82.0988</v>
      </c>
      <c r="J156" s="8" t="n">
        <v>1.76663</v>
      </c>
      <c r="K156" s="13" t="str">
        <f aca="false">IF(J156&gt;0,"прибыль",IF(J156&lt;0,"убыток","ноль"))</f>
        <v>прибыль</v>
      </c>
      <c r="L156" s="13" t="n">
        <f aca="false">IF(C156="",L155,IF(J156&lt;0,L155+1,0))</f>
        <v>0</v>
      </c>
      <c r="M156" s="14" t="n">
        <v>176.66</v>
      </c>
      <c r="N156" s="9" t="n">
        <v>20633.19</v>
      </c>
      <c r="O156" s="9" t="n">
        <v>882333.77</v>
      </c>
    </row>
    <row r="157" customFormat="false" ht="15" hidden="false" customHeight="false" outlineLevel="0" collapsed="false">
      <c r="A157" s="6" t="n">
        <v>152</v>
      </c>
      <c r="B157" s="5" t="s">
        <v>288</v>
      </c>
      <c r="C157" s="5" t="s">
        <v>996</v>
      </c>
      <c r="D157" s="5" t="s">
        <v>1131</v>
      </c>
      <c r="E157" s="5" t="s">
        <v>77</v>
      </c>
      <c r="F157" s="11" t="n">
        <v>9883.41</v>
      </c>
      <c r="G157" s="12" t="n">
        <v>81.4917</v>
      </c>
      <c r="H157" s="12" t="n">
        <v>76.7263</v>
      </c>
      <c r="J157" s="8" t="n">
        <v>-4.77333</v>
      </c>
      <c r="K157" s="13" t="str">
        <f aca="false">IF(J157&gt;0,"прибыль",IF(J157&lt;0,"убыток","ноль"))</f>
        <v>убыток</v>
      </c>
      <c r="L157" s="13" t="n">
        <f aca="false">IF(C157="",L156,IF(J157&lt;0,L156+1,0))</f>
        <v>1</v>
      </c>
      <c r="M157" s="14" t="n">
        <v>-477.33</v>
      </c>
      <c r="N157" s="9" t="n">
        <v>-47176.76</v>
      </c>
      <c r="O157" s="9" t="n">
        <v>835157.02</v>
      </c>
    </row>
    <row r="158" customFormat="false" ht="15" hidden="false" customHeight="false" outlineLevel="0" collapsed="false">
      <c r="A158" s="6" t="n">
        <v>153</v>
      </c>
      <c r="B158" s="5" t="s">
        <v>288</v>
      </c>
      <c r="C158" s="5" t="s">
        <v>926</v>
      </c>
      <c r="D158" s="5" t="s">
        <v>1132</v>
      </c>
      <c r="E158" s="5" t="s">
        <v>77</v>
      </c>
      <c r="F158" s="11" t="n">
        <v>11147.74</v>
      </c>
      <c r="G158" s="12" t="n">
        <v>75.8452</v>
      </c>
      <c r="H158" s="12" t="n">
        <v>73.111</v>
      </c>
      <c r="J158" s="8" t="n">
        <v>-2.74162</v>
      </c>
      <c r="K158" s="13" t="str">
        <f aca="false">IF(J158&gt;0,"прибыль",IF(J158&lt;0,"убыток","ноль"))</f>
        <v>убыток</v>
      </c>
      <c r="L158" s="13" t="n">
        <f aca="false">IF(C158="",L157,IF(J158&lt;0,L157+1,0))</f>
        <v>2</v>
      </c>
      <c r="M158" s="14" t="n">
        <v>-274.16</v>
      </c>
      <c r="N158" s="9" t="n">
        <v>-30562.82</v>
      </c>
      <c r="O158" s="9" t="n">
        <v>804594.19</v>
      </c>
    </row>
    <row r="159" customFormat="false" ht="15" hidden="false" customHeight="false" outlineLevel="0" collapsed="false">
      <c r="A159" s="6" t="n">
        <v>154</v>
      </c>
      <c r="B159" s="5" t="s">
        <v>288</v>
      </c>
      <c r="C159" s="5" t="s">
        <v>1133</v>
      </c>
      <c r="D159" s="5" t="s">
        <v>997</v>
      </c>
      <c r="E159" s="5" t="s">
        <v>77</v>
      </c>
      <c r="F159" s="11" t="n">
        <v>10452.51</v>
      </c>
      <c r="G159" s="12" t="n">
        <v>70.9757</v>
      </c>
      <c r="H159" s="12" t="n">
        <v>69.4539</v>
      </c>
      <c r="J159" s="8" t="n">
        <v>-1.52887</v>
      </c>
      <c r="K159" s="13" t="str">
        <f aca="false">IF(J159&gt;0,"прибыль",IF(J159&lt;0,"убыток","ноль"))</f>
        <v>убыток</v>
      </c>
      <c r="L159" s="13" t="n">
        <f aca="false">IF(C159="",L158,IF(J159&lt;0,L158+1,0))</f>
        <v>3</v>
      </c>
      <c r="M159" s="14" t="n">
        <v>-152.89</v>
      </c>
      <c r="N159" s="9" t="n">
        <v>-15980.54</v>
      </c>
      <c r="O159" s="9" t="n">
        <v>788613.65</v>
      </c>
    </row>
    <row r="160" customFormat="false" ht="15" hidden="false" customHeight="false" outlineLevel="0" collapsed="false">
      <c r="A160" s="6" t="n">
        <v>155</v>
      </c>
      <c r="B160" s="5" t="s">
        <v>288</v>
      </c>
      <c r="C160" s="5" t="s">
        <v>1134</v>
      </c>
      <c r="D160" s="5" t="s">
        <v>384</v>
      </c>
      <c r="E160" s="5" t="s">
        <v>77</v>
      </c>
      <c r="F160" s="11" t="n">
        <v>11309.62</v>
      </c>
      <c r="G160" s="12" t="n">
        <v>72.5929</v>
      </c>
      <c r="H160" s="12" t="n">
        <v>69.5293</v>
      </c>
      <c r="I160" s="5" t="s">
        <v>78</v>
      </c>
      <c r="J160" s="8" t="n">
        <v>-2.71131</v>
      </c>
      <c r="K160" s="13" t="str">
        <f aca="false">IF(J160&gt;0,"прибыль",IF(J160&lt;0,"убыток","ноль"))</f>
        <v>убыток</v>
      </c>
      <c r="L160" s="13" t="n">
        <f aca="false">IF(C160="",L159,IF(J160&lt;0,L159+1,0))</f>
        <v>4</v>
      </c>
      <c r="M160" s="14" t="n">
        <v>-271.13</v>
      </c>
      <c r="N160" s="9" t="n">
        <v>-30663.93</v>
      </c>
      <c r="O160" s="9" t="n">
        <v>757949.72</v>
      </c>
    </row>
    <row r="161" customFormat="false" ht="15" hidden="false" customHeight="false" outlineLevel="0" collapsed="false">
      <c r="A161" s="6" t="n">
        <v>156</v>
      </c>
      <c r="B161" s="5" t="s">
        <v>288</v>
      </c>
      <c r="C161" s="5" t="s">
        <v>1135</v>
      </c>
      <c r="D161" s="5" t="s">
        <v>527</v>
      </c>
      <c r="E161" s="5" t="s">
        <v>77</v>
      </c>
      <c r="F161" s="11" t="n">
        <v>11410.02</v>
      </c>
      <c r="G161" s="12" t="n">
        <v>67.081</v>
      </c>
      <c r="H161" s="12" t="n">
        <v>66.6026</v>
      </c>
      <c r="J161" s="8" t="n">
        <v>-0.48506</v>
      </c>
      <c r="K161" s="13" t="str">
        <f aca="false">IF(J161&gt;0,"прибыль",IF(J161&lt;0,"убыток","ноль"))</f>
        <v>убыток</v>
      </c>
      <c r="L161" s="13" t="n">
        <f aca="false">IF(C161="",L160,IF(J161&lt;0,L160+1,0))</f>
        <v>5</v>
      </c>
      <c r="M161" s="14" t="n">
        <v>-48.51</v>
      </c>
      <c r="N161" s="9" t="n">
        <v>-5534.56</v>
      </c>
      <c r="O161" s="9" t="n">
        <v>752415.16</v>
      </c>
    </row>
    <row r="162" customFormat="false" ht="15" hidden="false" customHeight="false" outlineLevel="0" collapsed="false">
      <c r="A162" s="6" t="n">
        <v>157</v>
      </c>
      <c r="B162" s="5" t="s">
        <v>288</v>
      </c>
      <c r="C162" s="5" t="s">
        <v>387</v>
      </c>
      <c r="D162" s="5" t="s">
        <v>388</v>
      </c>
      <c r="E162" s="5" t="s">
        <v>77</v>
      </c>
      <c r="F162" s="11" t="n">
        <v>2732.07</v>
      </c>
      <c r="G162" s="12" t="n">
        <v>73.8393</v>
      </c>
      <c r="H162" s="12" t="n">
        <v>74.5287</v>
      </c>
      <c r="J162" s="8" t="n">
        <v>0.67401</v>
      </c>
      <c r="K162" s="13" t="str">
        <f aca="false">IF(J162&gt;0,"прибыль",IF(J162&lt;0,"убыток","ноль"))</f>
        <v>прибыль</v>
      </c>
      <c r="L162" s="13" t="n">
        <f aca="false">IF(C162="",L161,IF(J162&lt;0,L161+1,0))</f>
        <v>0</v>
      </c>
      <c r="M162" s="14" t="n">
        <v>67.4</v>
      </c>
      <c r="N162" s="9" t="n">
        <v>1841.44</v>
      </c>
      <c r="O162" s="9" t="n">
        <v>754256.6</v>
      </c>
    </row>
    <row r="163" customFormat="false" ht="15" hidden="false" customHeight="false" outlineLevel="0" collapsed="false">
      <c r="A163" s="6" t="n">
        <v>158</v>
      </c>
      <c r="B163" s="5" t="s">
        <v>288</v>
      </c>
      <c r="C163" s="5" t="s">
        <v>388</v>
      </c>
      <c r="D163" s="5" t="s">
        <v>389</v>
      </c>
      <c r="E163" s="5" t="s">
        <v>77</v>
      </c>
      <c r="F163" s="11" t="n">
        <v>5907.08</v>
      </c>
      <c r="G163" s="12" t="n">
        <v>73.8393</v>
      </c>
      <c r="H163" s="12" t="n">
        <v>68.647</v>
      </c>
      <c r="J163" s="8" t="n">
        <v>-5.19574</v>
      </c>
      <c r="K163" s="13" t="str">
        <f aca="false">IF(J163&gt;0,"прибыль",IF(J163&lt;0,"убыток","ноль"))</f>
        <v>убыток</v>
      </c>
      <c r="L163" s="13" t="n">
        <f aca="false">IF(C163="",L162,IF(J163&lt;0,L162+1,0))</f>
        <v>1</v>
      </c>
      <c r="M163" s="14" t="n">
        <v>-519.57</v>
      </c>
      <c r="N163" s="9" t="n">
        <v>-30691.61</v>
      </c>
      <c r="O163" s="9" t="n">
        <v>723564.99</v>
      </c>
    </row>
    <row r="164" customFormat="false" ht="15" hidden="false" customHeight="false" outlineLevel="0" collapsed="false">
      <c r="A164" s="6" t="n">
        <v>159</v>
      </c>
      <c r="B164" s="5" t="s">
        <v>288</v>
      </c>
      <c r="C164" s="5" t="s">
        <v>1136</v>
      </c>
      <c r="D164" s="5" t="s">
        <v>1137</v>
      </c>
      <c r="E164" s="5" t="s">
        <v>77</v>
      </c>
      <c r="F164" s="11" t="n">
        <v>14551.98</v>
      </c>
      <c r="G164" s="12" t="n">
        <v>69.0029</v>
      </c>
      <c r="H164" s="12" t="n">
        <v>68.1093</v>
      </c>
      <c r="I164" s="5" t="s">
        <v>78</v>
      </c>
      <c r="J164" s="8" t="n">
        <v>1.95306</v>
      </c>
      <c r="K164" s="13" t="str">
        <f aca="false">IF(J164&gt;0,"прибыль",IF(J164&lt;0,"убыток","ноль"))</f>
        <v>прибыль</v>
      </c>
      <c r="L164" s="13" t="n">
        <f aca="false">IF(C164="",L163,IF(J164&lt;0,L163+1,0))</f>
        <v>0</v>
      </c>
      <c r="M164" s="14" t="n">
        <v>195.31</v>
      </c>
      <c r="N164" s="9" t="n">
        <v>28420.85</v>
      </c>
      <c r="O164" s="9" t="n">
        <v>751985.84</v>
      </c>
    </row>
    <row r="165" customFormat="false" ht="15" hidden="false" customHeight="false" outlineLevel="0" collapsed="false">
      <c r="A165" s="6" t="n">
        <v>160</v>
      </c>
      <c r="B165" s="5" t="s">
        <v>288</v>
      </c>
      <c r="C165" s="5" t="s">
        <v>1138</v>
      </c>
      <c r="D165" s="5" t="s">
        <v>1139</v>
      </c>
      <c r="E165" s="5" t="s">
        <v>77</v>
      </c>
      <c r="F165" s="11" t="n">
        <v>14197.26</v>
      </c>
      <c r="G165" s="12" t="n">
        <v>65.7125</v>
      </c>
      <c r="H165" s="12" t="n">
        <v>66.9829</v>
      </c>
      <c r="J165" s="8" t="n">
        <v>1.26374</v>
      </c>
      <c r="K165" s="13" t="str">
        <f aca="false">IF(J165&gt;0,"прибыль",IF(J165&lt;0,"убыток","ноль"))</f>
        <v>прибыль</v>
      </c>
      <c r="L165" s="13" t="n">
        <f aca="false">IF(C165="",L164,IF(J165&lt;0,L164+1,0))</f>
        <v>0</v>
      </c>
      <c r="M165" s="14" t="n">
        <v>126.37</v>
      </c>
      <c r="N165" s="9" t="n">
        <v>17941.66</v>
      </c>
      <c r="O165" s="9" t="n">
        <v>769927.5</v>
      </c>
    </row>
    <row r="166" customFormat="false" ht="15" hidden="false" customHeight="false" outlineLevel="0" collapsed="false">
      <c r="A166" s="6" t="n">
        <v>161</v>
      </c>
      <c r="B166" s="5" t="s">
        <v>288</v>
      </c>
      <c r="C166" s="5" t="s">
        <v>396</v>
      </c>
      <c r="D166" s="5" t="s">
        <v>700</v>
      </c>
      <c r="E166" s="5" t="s">
        <v>77</v>
      </c>
      <c r="F166" s="11" t="n">
        <v>12945.04</v>
      </c>
      <c r="G166" s="12" t="n">
        <v>66.2864</v>
      </c>
      <c r="H166" s="12" t="n">
        <v>64.5972</v>
      </c>
      <c r="I166" s="5" t="s">
        <v>78</v>
      </c>
      <c r="J166" s="8" t="n">
        <v>-0.41995</v>
      </c>
      <c r="K166" s="13" t="str">
        <f aca="false">IF(J166&gt;0,"прибыль",IF(J166&lt;0,"убыток","ноль"))</f>
        <v>убыток</v>
      </c>
      <c r="L166" s="13" t="n">
        <f aca="false">IF(C166="",L165,IF(J166&lt;0,L165+1,0))</f>
        <v>1</v>
      </c>
      <c r="M166" s="14" t="n">
        <v>-42</v>
      </c>
      <c r="N166" s="9" t="n">
        <v>-5436.27</v>
      </c>
      <c r="O166" s="9" t="n">
        <v>764491.23</v>
      </c>
    </row>
    <row r="167" customFormat="false" ht="15" hidden="false" customHeight="false" outlineLevel="0" collapsed="false">
      <c r="A167" s="6" t="n">
        <v>162</v>
      </c>
      <c r="B167" s="5" t="s">
        <v>288</v>
      </c>
      <c r="C167" s="5" t="s">
        <v>1140</v>
      </c>
      <c r="D167" s="5" t="s">
        <v>1141</v>
      </c>
      <c r="E167" s="5" t="s">
        <v>77</v>
      </c>
      <c r="F167" s="11" t="n">
        <v>11178.36</v>
      </c>
      <c r="G167" s="12" t="n">
        <v>63.8607</v>
      </c>
      <c r="H167" s="12" t="n">
        <v>62.7117</v>
      </c>
      <c r="J167" s="8" t="n">
        <v>-1.15529</v>
      </c>
      <c r="K167" s="13" t="str">
        <f aca="false">IF(J167&gt;0,"прибыль",IF(J167&lt;0,"убыток","ноль"))</f>
        <v>убыток</v>
      </c>
      <c r="L167" s="13" t="n">
        <f aca="false">IF(C167="",L166,IF(J167&lt;0,L166+1,0))</f>
        <v>2</v>
      </c>
      <c r="M167" s="14" t="n">
        <v>-115.53</v>
      </c>
      <c r="N167" s="9" t="n">
        <v>-12914.3</v>
      </c>
      <c r="O167" s="9" t="n">
        <v>751576.93</v>
      </c>
    </row>
    <row r="168" customFormat="false" ht="15" hidden="false" customHeight="false" outlineLevel="0" collapsed="false">
      <c r="A168" s="6" t="n">
        <v>163</v>
      </c>
      <c r="B168" s="5" t="s">
        <v>288</v>
      </c>
      <c r="C168" s="5" t="s">
        <v>405</v>
      </c>
      <c r="D168" s="5" t="s">
        <v>1142</v>
      </c>
      <c r="E168" s="5" t="s">
        <v>77</v>
      </c>
      <c r="F168" s="11" t="n">
        <v>11410.55</v>
      </c>
      <c r="G168" s="12" t="n">
        <v>61.9493</v>
      </c>
      <c r="H168" s="12" t="n">
        <v>60.7508</v>
      </c>
      <c r="J168" s="8" t="n">
        <v>-1.20457</v>
      </c>
      <c r="K168" s="13" t="str">
        <f aca="false">IF(J168&gt;0,"прибыль",IF(J168&lt;0,"убыток","ноль"))</f>
        <v>убыток</v>
      </c>
      <c r="L168" s="13" t="n">
        <f aca="false">IF(C168="",L167,IF(J168&lt;0,L167+1,0))</f>
        <v>3</v>
      </c>
      <c r="M168" s="14" t="n">
        <v>-120.46</v>
      </c>
      <c r="N168" s="9" t="n">
        <v>-13744.77</v>
      </c>
      <c r="O168" s="9" t="n">
        <v>737832.16</v>
      </c>
    </row>
    <row r="169" customFormat="false" ht="15" hidden="false" customHeight="false" outlineLevel="0" collapsed="false">
      <c r="A169" s="6" t="n">
        <v>164</v>
      </c>
      <c r="B169" s="5" t="s">
        <v>288</v>
      </c>
      <c r="C169" s="5" t="s">
        <v>1143</v>
      </c>
      <c r="D169" s="5" t="s">
        <v>1144</v>
      </c>
      <c r="E169" s="5" t="s">
        <v>77</v>
      </c>
      <c r="F169" s="11" t="n">
        <v>11526.5</v>
      </c>
      <c r="G169" s="12" t="n">
        <v>60.9487</v>
      </c>
      <c r="H169" s="12" t="n">
        <v>61.213</v>
      </c>
      <c r="J169" s="8" t="n">
        <v>0.25815</v>
      </c>
      <c r="K169" s="13" t="str">
        <f aca="false">IF(J169&gt;0,"прибыль",IF(J169&lt;0,"убыток","ноль"))</f>
        <v>прибыль</v>
      </c>
      <c r="L169" s="13" t="n">
        <f aca="false">IF(C169="",L168,IF(J169&lt;0,L168+1,0))</f>
        <v>0</v>
      </c>
      <c r="M169" s="14" t="n">
        <v>25.81</v>
      </c>
      <c r="N169" s="9" t="n">
        <v>2975.53</v>
      </c>
      <c r="O169" s="9" t="n">
        <v>740807.69</v>
      </c>
    </row>
    <row r="170" customFormat="false" ht="15" hidden="false" customHeight="false" outlineLevel="0" collapsed="false">
      <c r="A170" s="6" t="n">
        <v>165</v>
      </c>
      <c r="B170" s="5" t="s">
        <v>288</v>
      </c>
      <c r="C170" s="5" t="s">
        <v>537</v>
      </c>
      <c r="D170" s="5" t="s">
        <v>637</v>
      </c>
      <c r="E170" s="5" t="s">
        <v>81</v>
      </c>
      <c r="F170" s="11" t="n">
        <v>10116.56</v>
      </c>
      <c r="G170" s="12" t="n">
        <v>64.3345</v>
      </c>
      <c r="H170" s="12" t="n">
        <v>64.2854</v>
      </c>
      <c r="J170" s="8" t="n">
        <v>0.04262</v>
      </c>
      <c r="K170" s="13" t="str">
        <f aca="false">IF(J170&gt;0,"прибыль",IF(J170&lt;0,"убыток","ноль"))</f>
        <v>прибыль</v>
      </c>
      <c r="L170" s="13" t="n">
        <f aca="false">IF(C170="",L169,IF(J170&lt;0,L169+1,0))</f>
        <v>0</v>
      </c>
      <c r="M170" s="14" t="n">
        <v>4.26</v>
      </c>
      <c r="N170" s="9" t="n">
        <v>431.19</v>
      </c>
      <c r="O170" s="9" t="n">
        <v>741238.88</v>
      </c>
    </row>
    <row r="171" customFormat="false" ht="15" hidden="false" customHeight="false" outlineLevel="0" collapsed="false">
      <c r="A171" s="6" t="n">
        <v>166</v>
      </c>
      <c r="B171" s="5" t="s">
        <v>288</v>
      </c>
      <c r="C171" s="5" t="s">
        <v>418</v>
      </c>
      <c r="D171" s="5" t="s">
        <v>622</v>
      </c>
      <c r="E171" s="5" t="s">
        <v>81</v>
      </c>
      <c r="F171" s="11" t="n">
        <v>1119.96</v>
      </c>
      <c r="G171" s="12" t="n">
        <v>92.5666</v>
      </c>
      <c r="H171" s="12" t="n">
        <v>84.8639</v>
      </c>
      <c r="I171" s="5" t="s">
        <v>78</v>
      </c>
      <c r="J171" s="8" t="n">
        <v>8.57202</v>
      </c>
      <c r="K171" s="13" t="str">
        <f aca="false">IF(J171&gt;0,"прибыль",IF(J171&lt;0,"убыток","ноль"))</f>
        <v>прибыль</v>
      </c>
      <c r="L171" s="13" t="n">
        <f aca="false">IF(C171="",L170,IF(J171&lt;0,L170+1,0))</f>
        <v>0</v>
      </c>
      <c r="M171" s="14" t="n">
        <v>857.2</v>
      </c>
      <c r="N171" s="9" t="n">
        <v>9600.35</v>
      </c>
      <c r="O171" s="9" t="n">
        <v>750839.23</v>
      </c>
    </row>
    <row r="172" customFormat="false" ht="15" hidden="false" customHeight="false" outlineLevel="0" collapsed="false">
      <c r="A172" s="6" t="n">
        <v>167</v>
      </c>
      <c r="B172" s="5" t="s">
        <v>288</v>
      </c>
      <c r="C172" s="5" t="s">
        <v>622</v>
      </c>
      <c r="D172" s="5" t="s">
        <v>707</v>
      </c>
      <c r="E172" s="5" t="s">
        <v>81</v>
      </c>
      <c r="F172" s="11" t="n">
        <v>833.88</v>
      </c>
      <c r="G172" s="12" t="n">
        <v>93.4614</v>
      </c>
      <c r="H172" s="12" t="n">
        <v>92.656</v>
      </c>
      <c r="J172" s="8" t="n">
        <v>0.80082</v>
      </c>
      <c r="K172" s="13" t="str">
        <f aca="false">IF(J172&gt;0,"прибыль",IF(J172&lt;0,"убыток","ноль"))</f>
        <v>прибыль</v>
      </c>
      <c r="L172" s="13" t="n">
        <f aca="false">IF(C172="",L171,IF(J172&lt;0,L171+1,0))</f>
        <v>0</v>
      </c>
      <c r="M172" s="14" t="n">
        <v>80.08</v>
      </c>
      <c r="N172" s="9" t="n">
        <v>667.78</v>
      </c>
      <c r="O172" s="9" t="n">
        <v>751507.01</v>
      </c>
    </row>
    <row r="173" customFormat="false" ht="15" hidden="false" customHeight="false" outlineLevel="0" collapsed="false">
      <c r="A173" s="6" t="n">
        <v>168</v>
      </c>
      <c r="B173" s="5" t="s">
        <v>288</v>
      </c>
      <c r="C173" s="5" t="s">
        <v>707</v>
      </c>
      <c r="D173" s="5" t="s">
        <v>708</v>
      </c>
      <c r="E173" s="5" t="s">
        <v>81</v>
      </c>
      <c r="F173" s="11" t="n">
        <v>741.74</v>
      </c>
      <c r="G173" s="12" t="n">
        <v>93.4614</v>
      </c>
      <c r="H173" s="12" t="n">
        <v>88.0862</v>
      </c>
      <c r="I173" s="5" t="s">
        <v>78</v>
      </c>
      <c r="J173" s="8" t="n">
        <v>0.50635</v>
      </c>
      <c r="K173" s="13" t="str">
        <f aca="false">IF(J173&gt;0,"прибыль",IF(J173&lt;0,"убыток","ноль"))</f>
        <v>прибыль</v>
      </c>
      <c r="L173" s="13" t="n">
        <f aca="false">IF(C173="",L172,IF(J173&lt;0,L172+1,0))</f>
        <v>0</v>
      </c>
      <c r="M173" s="14" t="n">
        <v>50.63</v>
      </c>
      <c r="N173" s="9" t="n">
        <v>375.58</v>
      </c>
      <c r="O173" s="9" t="n">
        <v>751882.59</v>
      </c>
    </row>
    <row r="174" customFormat="false" ht="15" hidden="false" customHeight="false" outlineLevel="0" collapsed="false">
      <c r="A174" s="6" t="n">
        <v>169</v>
      </c>
      <c r="B174" s="5" t="s">
        <v>288</v>
      </c>
      <c r="C174" s="5" t="s">
        <v>708</v>
      </c>
      <c r="D174" s="5" t="s">
        <v>833</v>
      </c>
      <c r="E174" s="5" t="s">
        <v>81</v>
      </c>
      <c r="F174" s="11" t="n">
        <v>2588.13</v>
      </c>
      <c r="G174" s="12" t="n">
        <v>88.597</v>
      </c>
      <c r="H174" s="12" t="n">
        <v>90.311</v>
      </c>
      <c r="J174" s="8" t="n">
        <v>-1.71853</v>
      </c>
      <c r="K174" s="13" t="str">
        <f aca="false">IF(J174&gt;0,"прибыль",IF(J174&lt;0,"убыток","ноль"))</f>
        <v>убыток</v>
      </c>
      <c r="L174" s="13" t="n">
        <f aca="false">IF(C174="",L173,IF(J174&lt;0,L173+1,0))</f>
        <v>1</v>
      </c>
      <c r="M174" s="14" t="n">
        <v>-171.85</v>
      </c>
      <c r="N174" s="9" t="n">
        <v>-4447.78</v>
      </c>
      <c r="O174" s="9" t="n">
        <v>747434.81</v>
      </c>
    </row>
    <row r="175" customFormat="false" ht="15" hidden="false" customHeight="false" outlineLevel="0" collapsed="false">
      <c r="A175" s="6" t="n">
        <v>170</v>
      </c>
      <c r="B175" s="5" t="s">
        <v>288</v>
      </c>
      <c r="C175" s="5" t="s">
        <v>1145</v>
      </c>
      <c r="D175" s="5" t="s">
        <v>1146</v>
      </c>
      <c r="E175" s="5" t="s">
        <v>81</v>
      </c>
      <c r="F175" s="11" t="n">
        <v>2655.66</v>
      </c>
      <c r="G175" s="12" t="n">
        <v>87.0482</v>
      </c>
      <c r="H175" s="12" t="n">
        <v>89.0611</v>
      </c>
      <c r="J175" s="8" t="n">
        <v>-2.02176</v>
      </c>
      <c r="K175" s="13" t="str">
        <f aca="false">IF(J175&gt;0,"прибыль",IF(J175&lt;0,"убыток","ноль"))</f>
        <v>убыток</v>
      </c>
      <c r="L175" s="13" t="n">
        <f aca="false">IF(C175="",L174,IF(J175&lt;0,L174+1,0))</f>
        <v>2</v>
      </c>
      <c r="M175" s="14" t="n">
        <v>-202.18</v>
      </c>
      <c r="N175" s="9" t="n">
        <v>-5369.11</v>
      </c>
      <c r="O175" s="9" t="n">
        <v>742065.7</v>
      </c>
    </row>
  </sheetData>
  <autoFilter ref="A5:P1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4" min="3" style="0" width="1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5"/>
    <col collapsed="false" customWidth="true" hidden="false" outlineLevel="0" max="16" min="16" style="0" width="58"/>
  </cols>
  <sheetData>
    <row r="1" customFormat="false" ht="15" hidden="false" customHeight="false" outlineLevel="0" collapsed="false">
      <c r="A1" s="10" t="s">
        <v>1147</v>
      </c>
    </row>
    <row r="2" customFormat="false" ht="15" hidden="false" customHeight="false" outlineLevel="0" collapsed="false">
      <c r="A2" s="2" t="s">
        <v>56</v>
      </c>
    </row>
    <row r="3" customFormat="false" ht="15" hidden="false" customHeight="false" outlineLevel="0" collapsed="false">
      <c r="A3" s="2" t="s">
        <v>57</v>
      </c>
    </row>
    <row r="5" customFormat="false" ht="30" hidden="false" customHeight="true" outlineLevel="0" collapsed="false">
      <c r="A5" s="3" t="s">
        <v>58</v>
      </c>
      <c r="B5" s="3" t="s">
        <v>59</v>
      </c>
      <c r="C5" s="3" t="s">
        <v>60</v>
      </c>
      <c r="D5" s="3" t="s">
        <v>61</v>
      </c>
      <c r="E5" s="3" t="s">
        <v>62</v>
      </c>
      <c r="F5" s="3" t="s">
        <v>63</v>
      </c>
      <c r="G5" s="3" t="s">
        <v>64</v>
      </c>
      <c r="H5" s="3" t="s">
        <v>65</v>
      </c>
      <c r="I5" s="3" t="s">
        <v>66</v>
      </c>
      <c r="J5" s="3" t="s">
        <v>67</v>
      </c>
      <c r="K5" s="3" t="s">
        <v>68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</row>
    <row r="6" customFormat="false" ht="15" hidden="false" customHeight="false" outlineLevel="0" collapsed="false">
      <c r="A6" s="6" t="n">
        <v>1</v>
      </c>
      <c r="B6" s="5" t="s">
        <v>74</v>
      </c>
      <c r="C6" s="5" t="s">
        <v>1148</v>
      </c>
      <c r="D6" s="5" t="s">
        <v>1149</v>
      </c>
      <c r="E6" s="5" t="s">
        <v>77</v>
      </c>
      <c r="F6" s="11" t="n">
        <v>43932.12</v>
      </c>
      <c r="G6" s="12" t="n">
        <v>1.8808</v>
      </c>
      <c r="H6" s="12" t="n">
        <v>1.8287</v>
      </c>
      <c r="J6" s="8" t="n">
        <v>-0.05235</v>
      </c>
      <c r="K6" s="13" t="str">
        <f aca="false">IF(J6&gt;0,"прибыль",IF(J6&lt;0,"убыток","ноль"))</f>
        <v>убыток</v>
      </c>
      <c r="L6" s="13" t="n">
        <f aca="false">IF(AND(C6&lt;&gt;"",J6&lt;0),1,0)</f>
        <v>1</v>
      </c>
      <c r="M6" s="14" t="n">
        <v>-52.35</v>
      </c>
      <c r="N6" s="9" t="n">
        <v>-2299.69</v>
      </c>
      <c r="O6" s="9" t="n">
        <v>-2299.69</v>
      </c>
    </row>
    <row r="7" customFormat="false" ht="15" hidden="false" customHeight="false" outlineLevel="0" collapsed="false">
      <c r="A7" s="6" t="n">
        <v>2</v>
      </c>
      <c r="B7" s="5" t="s">
        <v>74</v>
      </c>
      <c r="C7" s="5" t="s">
        <v>1149</v>
      </c>
      <c r="D7" s="5" t="s">
        <v>432</v>
      </c>
      <c r="E7" s="5" t="s">
        <v>81</v>
      </c>
      <c r="F7" s="11" t="n">
        <v>25801.2</v>
      </c>
      <c r="G7" s="12" t="n">
        <v>1.7125</v>
      </c>
      <c r="H7" s="12" t="n">
        <v>1.7117</v>
      </c>
      <c r="I7" s="5" t="s">
        <v>78</v>
      </c>
      <c r="J7" s="8" t="n">
        <v>0.16989</v>
      </c>
      <c r="K7" s="13" t="str">
        <f aca="false">IF(J7&gt;0,"прибыль",IF(J7&lt;0,"убыток","ноль"))</f>
        <v>прибыль</v>
      </c>
      <c r="L7" s="13" t="n">
        <f aca="false">IF(C7="",L6,IF(J7&lt;0,L6+1,0))</f>
        <v>0</v>
      </c>
      <c r="M7" s="14" t="n">
        <v>169.89</v>
      </c>
      <c r="N7" s="9" t="n">
        <v>4383.4</v>
      </c>
      <c r="O7" s="9" t="n">
        <v>2083.71</v>
      </c>
    </row>
    <row r="8" customFormat="false" ht="15" hidden="false" customHeight="false" outlineLevel="0" collapsed="false">
      <c r="A8" s="6" t="n">
        <v>3</v>
      </c>
      <c r="B8" s="5" t="s">
        <v>74</v>
      </c>
      <c r="C8" s="5" t="s">
        <v>432</v>
      </c>
      <c r="D8" s="5" t="s">
        <v>433</v>
      </c>
      <c r="E8" s="5" t="s">
        <v>81</v>
      </c>
      <c r="F8" s="11" t="n">
        <v>21039.94</v>
      </c>
      <c r="G8" s="12" t="n">
        <v>1.8818</v>
      </c>
      <c r="H8" s="12" t="n">
        <v>2.1054</v>
      </c>
      <c r="I8" s="5" t="s">
        <v>78</v>
      </c>
      <c r="J8" s="8" t="n">
        <v>-0.11491</v>
      </c>
      <c r="K8" s="13" t="str">
        <f aca="false">IF(J8&gt;0,"прибыль",IF(J8&lt;0,"убыток","ноль"))</f>
        <v>убыток</v>
      </c>
      <c r="L8" s="13" t="n">
        <f aca="false">IF(C8="",L7,IF(J8&lt;0,L7+1,0))</f>
        <v>1</v>
      </c>
      <c r="M8" s="14" t="n">
        <v>-114.91</v>
      </c>
      <c r="N8" s="9" t="n">
        <v>-2417.65</v>
      </c>
      <c r="O8" s="9" t="n">
        <v>-333.94</v>
      </c>
    </row>
    <row r="9" customFormat="false" ht="15" hidden="false" customHeight="false" outlineLevel="0" collapsed="false">
      <c r="A9" s="6" t="n">
        <v>4</v>
      </c>
      <c r="B9" s="5" t="s">
        <v>74</v>
      </c>
      <c r="C9" s="5" t="s">
        <v>433</v>
      </c>
      <c r="D9" s="5" t="s">
        <v>1150</v>
      </c>
      <c r="E9" s="5" t="s">
        <v>81</v>
      </c>
      <c r="F9" s="11" t="n">
        <v>47894.75</v>
      </c>
      <c r="G9" s="12" t="n">
        <v>1.9906</v>
      </c>
      <c r="H9" s="12" t="n">
        <v>2.1475</v>
      </c>
      <c r="J9" s="8" t="n">
        <v>-0.15707</v>
      </c>
      <c r="K9" s="13" t="str">
        <f aca="false">IF(J9&gt;0,"прибыль",IF(J9&lt;0,"убыток","ноль"))</f>
        <v>убыток</v>
      </c>
      <c r="L9" s="13" t="n">
        <f aca="false">IF(C9="",L8,IF(J9&lt;0,L8+1,0))</f>
        <v>2</v>
      </c>
      <c r="M9" s="14" t="n">
        <v>-157.07</v>
      </c>
      <c r="N9" s="9" t="n">
        <v>-7522.72</v>
      </c>
      <c r="O9" s="9" t="n">
        <v>-7856.66</v>
      </c>
    </row>
    <row r="10" customFormat="false" ht="15" hidden="false" customHeight="false" outlineLevel="0" collapsed="false">
      <c r="A10" s="6" t="n">
        <v>5</v>
      </c>
      <c r="B10" s="5" t="s">
        <v>74</v>
      </c>
      <c r="C10" s="5" t="s">
        <v>1150</v>
      </c>
      <c r="D10" s="5" t="s">
        <v>1151</v>
      </c>
      <c r="E10" s="5" t="s">
        <v>77</v>
      </c>
      <c r="F10" s="11" t="n">
        <v>60522.4</v>
      </c>
      <c r="G10" s="12" t="n">
        <v>2.2208</v>
      </c>
      <c r="H10" s="12" t="n">
        <v>1.8219</v>
      </c>
      <c r="I10" s="5" t="s">
        <v>78</v>
      </c>
      <c r="J10" s="8" t="n">
        <v>-0.62294</v>
      </c>
      <c r="K10" s="13" t="str">
        <f aca="false">IF(J10&gt;0,"прибыль",IF(J10&lt;0,"убыток","ноль"))</f>
        <v>убыток</v>
      </c>
      <c r="L10" s="13" t="n">
        <f aca="false">IF(C10="",L9,IF(J10&lt;0,L9+1,0))</f>
        <v>3</v>
      </c>
      <c r="M10" s="14" t="n">
        <v>-622.94</v>
      </c>
      <c r="N10" s="9" t="n">
        <v>-37701.86</v>
      </c>
      <c r="O10" s="9" t="n">
        <v>-45558.52</v>
      </c>
    </row>
    <row r="11" customFormat="false" ht="15" hidden="false" customHeight="false" outlineLevel="0" collapsed="false">
      <c r="A11" s="6" t="n">
        <v>6</v>
      </c>
      <c r="B11" s="5" t="s">
        <v>74</v>
      </c>
      <c r="C11" s="5" t="s">
        <v>1151</v>
      </c>
      <c r="D11" s="5" t="s">
        <v>438</v>
      </c>
      <c r="E11" s="5" t="s">
        <v>81</v>
      </c>
      <c r="F11" s="11" t="n">
        <v>63086.74</v>
      </c>
      <c r="G11" s="12" t="n">
        <v>1.8219</v>
      </c>
      <c r="H11" s="12" t="n">
        <v>2.2064</v>
      </c>
      <c r="J11" s="8" t="n">
        <v>-0.38471</v>
      </c>
      <c r="K11" s="13" t="str">
        <f aca="false">IF(J11&gt;0,"прибыль",IF(J11&lt;0,"убыток","ноль"))</f>
        <v>убыток</v>
      </c>
      <c r="L11" s="13" t="n">
        <f aca="false">IF(C11="",L10,IF(J11&lt;0,L10+1,0))</f>
        <v>4</v>
      </c>
      <c r="M11" s="14" t="n">
        <v>-384.71</v>
      </c>
      <c r="N11" s="9" t="n">
        <v>-24269.8</v>
      </c>
      <c r="O11" s="9" t="n">
        <v>-69828.32</v>
      </c>
    </row>
    <row r="12" customFormat="false" ht="15" hidden="false" customHeight="false" outlineLevel="0" collapsed="false">
      <c r="A12" s="6" t="n">
        <v>7</v>
      </c>
      <c r="B12" s="5" t="s">
        <v>74</v>
      </c>
      <c r="C12" s="5" t="s">
        <v>438</v>
      </c>
      <c r="D12" s="5" t="s">
        <v>1152</v>
      </c>
      <c r="E12" s="5" t="s">
        <v>77</v>
      </c>
      <c r="F12" s="11" t="n">
        <v>26334.31</v>
      </c>
      <c r="G12" s="12" t="n">
        <v>2.2064</v>
      </c>
      <c r="H12" s="12" t="n">
        <v>2.5142</v>
      </c>
      <c r="I12" s="5" t="s">
        <v>78</v>
      </c>
      <c r="J12" s="8" t="n">
        <v>-0.34262</v>
      </c>
      <c r="K12" s="13" t="str">
        <f aca="false">IF(J12&gt;0,"прибыль",IF(J12&lt;0,"убыток","ноль"))</f>
        <v>убыток</v>
      </c>
      <c r="L12" s="13" t="n">
        <f aca="false">IF(C12="",L11,IF(J12&lt;0,L11+1,0))</f>
        <v>5</v>
      </c>
      <c r="M12" s="14" t="n">
        <v>-342.62</v>
      </c>
      <c r="N12" s="9" t="n">
        <v>-9022.75</v>
      </c>
      <c r="O12" s="9" t="n">
        <v>-78851.07</v>
      </c>
    </row>
    <row r="13" customFormat="false" ht="15" hidden="false" customHeight="false" outlineLevel="0" collapsed="false">
      <c r="A13" s="6" t="n">
        <v>8</v>
      </c>
      <c r="B13" s="5" t="s">
        <v>74</v>
      </c>
      <c r="C13" s="5" t="s">
        <v>1152</v>
      </c>
      <c r="D13" s="5" t="s">
        <v>282</v>
      </c>
      <c r="E13" s="5" t="s">
        <v>81</v>
      </c>
      <c r="F13" s="11" t="n">
        <v>28662.02</v>
      </c>
      <c r="G13" s="12" t="n">
        <v>2.5142</v>
      </c>
      <c r="H13" s="12" t="n">
        <v>2.6395</v>
      </c>
      <c r="J13" s="8" t="n">
        <v>-0.12559</v>
      </c>
      <c r="K13" s="13" t="str">
        <f aca="false">IF(J13&gt;0,"прибыль",IF(J13&lt;0,"убыток","ноль"))</f>
        <v>убыток</v>
      </c>
      <c r="L13" s="13" t="n">
        <f aca="false">IF(C13="",L12,IF(J13&lt;0,L12+1,0))</f>
        <v>6</v>
      </c>
      <c r="M13" s="14" t="n">
        <v>-125.59</v>
      </c>
      <c r="N13" s="9" t="n">
        <v>-3599.55</v>
      </c>
      <c r="O13" s="9" t="n">
        <v>-82450.62</v>
      </c>
    </row>
    <row r="14" customFormat="false" ht="15" hidden="false" customHeight="false" outlineLevel="0" collapsed="false">
      <c r="A14" s="6" t="n">
        <v>9</v>
      </c>
      <c r="B14" s="5" t="s">
        <v>74</v>
      </c>
      <c r="C14" s="5" t="s">
        <v>282</v>
      </c>
      <c r="D14" s="5" t="s">
        <v>1153</v>
      </c>
      <c r="E14" s="5" t="s">
        <v>77</v>
      </c>
      <c r="F14" s="11" t="n">
        <v>26296.33</v>
      </c>
      <c r="G14" s="12" t="n">
        <v>2.6395</v>
      </c>
      <c r="H14" s="12" t="n">
        <v>2.516</v>
      </c>
      <c r="J14" s="8" t="n">
        <v>-0.12377</v>
      </c>
      <c r="K14" s="13" t="str">
        <f aca="false">IF(J14&gt;0,"прибыль",IF(J14&lt;0,"убыток","ноль"))</f>
        <v>убыток</v>
      </c>
      <c r="L14" s="13" t="n">
        <f aca="false">IF(C14="",L13,IF(J14&lt;0,L13+1,0))</f>
        <v>7</v>
      </c>
      <c r="M14" s="14" t="n">
        <v>-123.77</v>
      </c>
      <c r="N14" s="9" t="n">
        <v>-3254.64</v>
      </c>
      <c r="O14" s="9" t="n">
        <v>-85705.26</v>
      </c>
    </row>
    <row r="15" customFormat="false" ht="15" hidden="false" customHeight="false" outlineLevel="0" collapsed="false">
      <c r="A15" s="6" t="n">
        <v>10</v>
      </c>
      <c r="B15" s="5" t="s">
        <v>74</v>
      </c>
      <c r="C15" s="5" t="s">
        <v>1153</v>
      </c>
      <c r="D15" s="5" t="s">
        <v>1154</v>
      </c>
      <c r="E15" s="5" t="s">
        <v>81</v>
      </c>
      <c r="F15" s="11" t="n">
        <v>28021.3</v>
      </c>
      <c r="G15" s="12" t="n">
        <v>2.516</v>
      </c>
      <c r="H15" s="12" t="n">
        <v>2.6404</v>
      </c>
      <c r="J15" s="8" t="n">
        <v>-0.12465</v>
      </c>
      <c r="K15" s="13" t="str">
        <f aca="false">IF(J15&gt;0,"прибыль",IF(J15&lt;0,"убыток","ноль"))</f>
        <v>убыток</v>
      </c>
      <c r="L15" s="13" t="n">
        <f aca="false">IF(C15="",L14,IF(J15&lt;0,L14+1,0))</f>
        <v>8</v>
      </c>
      <c r="M15" s="14" t="n">
        <v>-124.65</v>
      </c>
      <c r="N15" s="9" t="n">
        <v>-3492.78</v>
      </c>
      <c r="O15" s="9" t="n">
        <v>-89198.05</v>
      </c>
    </row>
    <row r="16" customFormat="false" ht="15" hidden="false" customHeight="false" outlineLevel="0" collapsed="false">
      <c r="A16" s="6" t="n">
        <v>11</v>
      </c>
      <c r="B16" s="5" t="s">
        <v>74</v>
      </c>
      <c r="C16" s="5" t="s">
        <v>1154</v>
      </c>
      <c r="D16" s="5" t="s">
        <v>1155</v>
      </c>
      <c r="E16" s="5" t="s">
        <v>77</v>
      </c>
      <c r="F16" s="11" t="n">
        <v>26668.92</v>
      </c>
      <c r="G16" s="12" t="n">
        <v>2.6404</v>
      </c>
      <c r="H16" s="12" t="n">
        <v>2.6759</v>
      </c>
      <c r="J16" s="8" t="n">
        <v>0.03526</v>
      </c>
      <c r="K16" s="13" t="str">
        <f aca="false">IF(J16&gt;0,"прибыль",IF(J16&lt;0,"убыток","ноль"))</f>
        <v>прибыль</v>
      </c>
      <c r="L16" s="13" t="n">
        <f aca="false">IF(C16="",L15,IF(J16&lt;0,L15+1,0))</f>
        <v>0</v>
      </c>
      <c r="M16" s="14" t="n">
        <v>35.26</v>
      </c>
      <c r="N16" s="9" t="n">
        <v>940.35</v>
      </c>
      <c r="O16" s="9" t="n">
        <v>-88257.69</v>
      </c>
    </row>
    <row r="17" customFormat="false" ht="15" hidden="false" customHeight="false" outlineLevel="0" collapsed="false">
      <c r="A17" s="6" t="n">
        <v>12</v>
      </c>
      <c r="B17" s="5" t="s">
        <v>74</v>
      </c>
      <c r="C17" s="5" t="s">
        <v>1155</v>
      </c>
      <c r="D17" s="5" t="s">
        <v>1156</v>
      </c>
      <c r="E17" s="5" t="s">
        <v>81</v>
      </c>
      <c r="F17" s="11" t="n">
        <v>27725.76</v>
      </c>
      <c r="G17" s="12" t="n">
        <v>2.6759</v>
      </c>
      <c r="H17" s="12" t="n">
        <v>2.8563</v>
      </c>
      <c r="J17" s="8" t="n">
        <v>-0.18063</v>
      </c>
      <c r="K17" s="13" t="str">
        <f aca="false">IF(J17&gt;0,"прибыль",IF(J17&lt;0,"убыток","ноль"))</f>
        <v>убыток</v>
      </c>
      <c r="L17" s="13" t="n">
        <f aca="false">IF(C17="",L16,IF(J17&lt;0,L16+1,0))</f>
        <v>1</v>
      </c>
      <c r="M17" s="14" t="n">
        <v>-180.63</v>
      </c>
      <c r="N17" s="9" t="n">
        <v>-5008.1</v>
      </c>
      <c r="O17" s="9" t="n">
        <v>-93265.79</v>
      </c>
    </row>
    <row r="18" customFormat="false" ht="15" hidden="false" customHeight="false" outlineLevel="0" collapsed="false">
      <c r="A18" s="6" t="n">
        <v>13</v>
      </c>
      <c r="B18" s="5" t="s">
        <v>74</v>
      </c>
      <c r="C18" s="5" t="s">
        <v>1156</v>
      </c>
      <c r="D18" s="5" t="s">
        <v>1157</v>
      </c>
      <c r="E18" s="5" t="s">
        <v>77</v>
      </c>
      <c r="F18" s="11" t="n">
        <v>36051.7</v>
      </c>
      <c r="G18" s="12" t="n">
        <v>2.9014</v>
      </c>
      <c r="H18" s="12" t="n">
        <v>3.0148</v>
      </c>
      <c r="J18" s="8" t="n">
        <v>0.11301</v>
      </c>
      <c r="K18" s="13" t="str">
        <f aca="false">IF(J18&gt;0,"прибыль",IF(J18&lt;0,"убыток","ноль"))</f>
        <v>прибыль</v>
      </c>
      <c r="L18" s="13" t="n">
        <f aca="false">IF(C18="",L17,IF(J18&lt;0,L17+1,0))</f>
        <v>0</v>
      </c>
      <c r="M18" s="14" t="n">
        <v>113.01</v>
      </c>
      <c r="N18" s="9" t="n">
        <v>4074.06</v>
      </c>
      <c r="O18" s="9" t="n">
        <v>-89191.73</v>
      </c>
    </row>
    <row r="19" customFormat="false" ht="15" hidden="false" customHeight="false" outlineLevel="0" collapsed="false">
      <c r="A19" s="6" t="n">
        <v>14</v>
      </c>
      <c r="B19" s="5" t="s">
        <v>74</v>
      </c>
      <c r="C19" s="5" t="s">
        <v>1157</v>
      </c>
      <c r="D19" s="5" t="s">
        <v>446</v>
      </c>
      <c r="E19" s="5" t="s">
        <v>81</v>
      </c>
      <c r="F19" s="11" t="n">
        <v>12168.74</v>
      </c>
      <c r="G19" s="12" t="n">
        <v>2.8119</v>
      </c>
      <c r="H19" s="12" t="n">
        <v>2.9746</v>
      </c>
      <c r="I19" s="5" t="s">
        <v>78</v>
      </c>
      <c r="J19" s="8" t="n">
        <v>0.51654</v>
      </c>
      <c r="K19" s="13" t="str">
        <f aca="false">IF(J19&gt;0,"прибыль",IF(J19&lt;0,"убыток","ноль"))</f>
        <v>прибыль</v>
      </c>
      <c r="L19" s="13" t="n">
        <f aca="false">IF(C19="",L18,IF(J19&lt;0,L18+1,0))</f>
        <v>0</v>
      </c>
      <c r="M19" s="14" t="n">
        <v>516.54</v>
      </c>
      <c r="N19" s="9" t="n">
        <v>6285.65</v>
      </c>
      <c r="O19" s="9" t="n">
        <v>-82906.08</v>
      </c>
    </row>
    <row r="20" customFormat="false" ht="15" hidden="false" customHeight="false" outlineLevel="0" collapsed="false">
      <c r="A20" s="6" t="n">
        <v>15</v>
      </c>
      <c r="B20" s="5" t="s">
        <v>74</v>
      </c>
      <c r="C20" s="5" t="s">
        <v>446</v>
      </c>
      <c r="D20" s="5" t="s">
        <v>718</v>
      </c>
      <c r="E20" s="5" t="s">
        <v>81</v>
      </c>
      <c r="F20" s="11" t="n">
        <v>40211.48</v>
      </c>
      <c r="G20" s="12" t="n">
        <v>3.4915</v>
      </c>
      <c r="H20" s="12" t="n">
        <v>3.1226</v>
      </c>
      <c r="J20" s="8" t="n">
        <v>0.36856</v>
      </c>
      <c r="K20" s="13" t="str">
        <f aca="false">IF(J20&gt;0,"прибыль",IF(J20&lt;0,"убыток","ноль"))</f>
        <v>прибыль</v>
      </c>
      <c r="L20" s="13" t="n">
        <f aca="false">IF(C20="",L19,IF(J20&lt;0,L19+1,0))</f>
        <v>0</v>
      </c>
      <c r="M20" s="14" t="n">
        <v>368.56</v>
      </c>
      <c r="N20" s="9" t="n">
        <v>14820.51</v>
      </c>
      <c r="O20" s="9" t="n">
        <v>-68085.57</v>
      </c>
    </row>
    <row r="21" customFormat="false" ht="15" hidden="false" customHeight="false" outlineLevel="0" collapsed="false">
      <c r="A21" s="6" t="n">
        <v>16</v>
      </c>
      <c r="B21" s="5" t="s">
        <v>74</v>
      </c>
      <c r="C21" s="5" t="s">
        <v>718</v>
      </c>
      <c r="D21" s="5" t="s">
        <v>1158</v>
      </c>
      <c r="E21" s="5" t="s">
        <v>77</v>
      </c>
      <c r="F21" s="11" t="n">
        <v>40402.29</v>
      </c>
      <c r="G21" s="12" t="n">
        <v>3.1226</v>
      </c>
      <c r="H21" s="12" t="n">
        <v>3.046</v>
      </c>
      <c r="J21" s="8" t="n">
        <v>-0.07697</v>
      </c>
      <c r="K21" s="13" t="str">
        <f aca="false">IF(J21&gt;0,"прибыль",IF(J21&lt;0,"убыток","ноль"))</f>
        <v>убыток</v>
      </c>
      <c r="L21" s="13" t="n">
        <f aca="false">IF(C21="",L20,IF(J21&lt;0,L20+1,0))</f>
        <v>1</v>
      </c>
      <c r="M21" s="14" t="n">
        <v>-76.97</v>
      </c>
      <c r="N21" s="9" t="n">
        <v>-3109.64</v>
      </c>
      <c r="O21" s="9" t="n">
        <v>-71195.21</v>
      </c>
    </row>
    <row r="22" customFormat="false" ht="15" hidden="false" customHeight="false" outlineLevel="0" collapsed="false">
      <c r="A22" s="6" t="n">
        <v>17</v>
      </c>
      <c r="B22" s="5" t="s">
        <v>74</v>
      </c>
      <c r="C22" s="5" t="s">
        <v>1158</v>
      </c>
      <c r="D22" s="5" t="s">
        <v>907</v>
      </c>
      <c r="E22" s="5" t="s">
        <v>81</v>
      </c>
      <c r="F22" s="11" t="n">
        <v>48988.72</v>
      </c>
      <c r="G22" s="12" t="n">
        <v>3.0036</v>
      </c>
      <c r="H22" s="12" t="n">
        <v>2.8467</v>
      </c>
      <c r="I22" s="5" t="s">
        <v>78</v>
      </c>
      <c r="J22" s="8" t="n">
        <v>0.07416</v>
      </c>
      <c r="K22" s="13" t="str">
        <f aca="false">IF(J22&gt;0,"прибыль",IF(J22&lt;0,"убыток","ноль"))</f>
        <v>прибыль</v>
      </c>
      <c r="L22" s="13" t="n">
        <f aca="false">IF(C22="",L21,IF(J22&lt;0,L21+1,0))</f>
        <v>0</v>
      </c>
      <c r="M22" s="14" t="n">
        <v>74.16</v>
      </c>
      <c r="N22" s="9" t="n">
        <v>3632.87</v>
      </c>
      <c r="O22" s="9" t="n">
        <v>-67562.33</v>
      </c>
    </row>
    <row r="23" customFormat="false" ht="15" hidden="false" customHeight="false" outlineLevel="0" collapsed="false">
      <c r="A23" s="6" t="n">
        <v>18</v>
      </c>
      <c r="B23" s="5" t="s">
        <v>74</v>
      </c>
      <c r="C23" s="5" t="s">
        <v>907</v>
      </c>
      <c r="D23" s="5" t="s">
        <v>1159</v>
      </c>
      <c r="E23" s="5" t="s">
        <v>77</v>
      </c>
      <c r="F23" s="11" t="n">
        <v>0</v>
      </c>
      <c r="G23" s="12" t="n">
        <v>2.8467</v>
      </c>
      <c r="H23" s="12" t="n">
        <v>2.7994</v>
      </c>
      <c r="J23" s="8" t="n">
        <v>-0.04744</v>
      </c>
      <c r="K23" s="13" t="str">
        <f aca="false">IF(J23&gt;0,"прибыль",IF(J23&lt;0,"убыток","ноль"))</f>
        <v>убыток</v>
      </c>
      <c r="L23" s="13" t="n">
        <f aca="false">IF(C23="",L22,IF(J23&lt;0,L22+1,0))</f>
        <v>1</v>
      </c>
      <c r="M23" s="14" t="n">
        <v>-47.44</v>
      </c>
      <c r="N23" s="9" t="n">
        <v>0</v>
      </c>
      <c r="O23" s="9" t="n">
        <v>-67562.33</v>
      </c>
    </row>
    <row r="24" customFormat="false" ht="15" hidden="false" customHeight="false" outlineLevel="0" collapsed="false">
      <c r="A24" s="6" t="n">
        <v>19</v>
      </c>
      <c r="B24" s="5" t="s">
        <v>74</v>
      </c>
      <c r="C24" s="5" t="s">
        <v>1159</v>
      </c>
      <c r="D24" s="5" t="s">
        <v>1160</v>
      </c>
      <c r="E24" s="5" t="s">
        <v>77</v>
      </c>
      <c r="F24" s="11" t="n">
        <v>57067.66</v>
      </c>
      <c r="G24" s="12" t="n">
        <v>2.8144</v>
      </c>
      <c r="H24" s="12" t="n">
        <v>2.6615</v>
      </c>
      <c r="J24" s="8" t="n">
        <v>-0.1532</v>
      </c>
      <c r="K24" s="13" t="str">
        <f aca="false">IF(J24&gt;0,"прибыль",IF(J24&lt;0,"убыток","ноль"))</f>
        <v>убыток</v>
      </c>
      <c r="L24" s="13" t="n">
        <f aca="false">IF(C24="",L23,IF(J24&lt;0,L23+1,0))</f>
        <v>2</v>
      </c>
      <c r="M24" s="14" t="n">
        <v>-153.2</v>
      </c>
      <c r="N24" s="9" t="n">
        <v>-8742.5</v>
      </c>
      <c r="O24" s="9" t="n">
        <v>-76304.84</v>
      </c>
    </row>
    <row r="25" customFormat="false" ht="15" hidden="false" customHeight="false" outlineLevel="0" collapsed="false">
      <c r="A25" s="6" t="n">
        <v>20</v>
      </c>
      <c r="B25" s="5" t="s">
        <v>74</v>
      </c>
      <c r="C25" s="5" t="s">
        <v>1160</v>
      </c>
      <c r="D25" s="5" t="s">
        <v>292</v>
      </c>
      <c r="E25" s="5" t="s">
        <v>81</v>
      </c>
      <c r="F25" s="11" t="n">
        <v>86575.51</v>
      </c>
      <c r="G25" s="12" t="n">
        <v>2.6122</v>
      </c>
      <c r="H25" s="12" t="n">
        <v>2.5602</v>
      </c>
      <c r="J25" s="8" t="n">
        <v>0.05173</v>
      </c>
      <c r="K25" s="13" t="str">
        <f aca="false">IF(J25&gt;0,"прибыль",IF(J25&lt;0,"убыток","ноль"))</f>
        <v>прибыль</v>
      </c>
      <c r="L25" s="13" t="n">
        <f aca="false">IF(C25="",L24,IF(J25&lt;0,L24+1,0))</f>
        <v>0</v>
      </c>
      <c r="M25" s="14" t="n">
        <v>51.73</v>
      </c>
      <c r="N25" s="9" t="n">
        <v>4478.82</v>
      </c>
      <c r="O25" s="9" t="n">
        <v>-71826.02</v>
      </c>
    </row>
    <row r="26" customFormat="false" ht="15" hidden="false" customHeight="false" outlineLevel="0" collapsed="false">
      <c r="A26" s="6" t="n">
        <v>21</v>
      </c>
      <c r="B26" s="5" t="s">
        <v>74</v>
      </c>
      <c r="C26" s="5" t="s">
        <v>292</v>
      </c>
      <c r="D26" s="5" t="s">
        <v>1161</v>
      </c>
      <c r="E26" s="5" t="s">
        <v>77</v>
      </c>
      <c r="F26" s="11" t="n">
        <v>0</v>
      </c>
      <c r="G26" s="12" t="n">
        <v>2.5602</v>
      </c>
      <c r="H26" s="12" t="n">
        <v>2.6417</v>
      </c>
      <c r="I26" s="5" t="s">
        <v>78</v>
      </c>
      <c r="J26" s="8" t="n">
        <v>-0.00674</v>
      </c>
      <c r="K26" s="13" t="str">
        <f aca="false">IF(J26&gt;0,"прибыль",IF(J26&lt;0,"убыток","ноль"))</f>
        <v>убыток</v>
      </c>
      <c r="L26" s="13" t="n">
        <f aca="false">IF(C26="",L25,IF(J26&lt;0,L25+1,0))</f>
        <v>1</v>
      </c>
      <c r="M26" s="14" t="n">
        <v>-6.74</v>
      </c>
      <c r="N26" s="9" t="n">
        <v>0</v>
      </c>
      <c r="O26" s="9" t="n">
        <v>-71826.02</v>
      </c>
    </row>
    <row r="27" customFormat="false" ht="15" hidden="false" customHeight="false" outlineLevel="0" collapsed="false">
      <c r="A27" s="6" t="n">
        <v>22</v>
      </c>
      <c r="B27" s="5" t="s">
        <v>74</v>
      </c>
      <c r="C27" s="5" t="s">
        <v>1161</v>
      </c>
      <c r="D27" s="5" t="s">
        <v>1162</v>
      </c>
      <c r="E27" s="5" t="s">
        <v>77</v>
      </c>
      <c r="F27" s="11" t="n">
        <v>91269.47</v>
      </c>
      <c r="G27" s="12" t="n">
        <v>2.6483</v>
      </c>
      <c r="H27" s="12" t="n">
        <v>2.6009</v>
      </c>
      <c r="J27" s="8" t="n">
        <v>-0.04766</v>
      </c>
      <c r="K27" s="13" t="str">
        <f aca="false">IF(J27&gt;0,"прибыль",IF(J27&lt;0,"убыток","ноль"))</f>
        <v>убыток</v>
      </c>
      <c r="L27" s="13" t="n">
        <f aca="false">IF(C27="",L26,IF(J27&lt;0,L26+1,0))</f>
        <v>2</v>
      </c>
      <c r="M27" s="14" t="n">
        <v>-47.66</v>
      </c>
      <c r="N27" s="9" t="n">
        <v>-4349.66</v>
      </c>
      <c r="O27" s="9" t="n">
        <v>-76175.68</v>
      </c>
    </row>
    <row r="28" customFormat="false" ht="15" hidden="false" customHeight="false" outlineLevel="0" collapsed="false">
      <c r="A28" s="6" t="n">
        <v>23</v>
      </c>
      <c r="B28" s="5" t="s">
        <v>74</v>
      </c>
      <c r="C28" s="5" t="s">
        <v>1162</v>
      </c>
      <c r="D28" s="5" t="s">
        <v>1163</v>
      </c>
      <c r="E28" s="5" t="s">
        <v>81</v>
      </c>
      <c r="F28" s="11" t="n">
        <v>99945.19</v>
      </c>
      <c r="G28" s="12" t="n">
        <v>2.6009</v>
      </c>
      <c r="H28" s="12" t="n">
        <v>2.6242</v>
      </c>
      <c r="J28" s="8" t="n">
        <v>-0.02355</v>
      </c>
      <c r="K28" s="13" t="str">
        <f aca="false">IF(J28&gt;0,"прибыль",IF(J28&lt;0,"убыток","ноль"))</f>
        <v>убыток</v>
      </c>
      <c r="L28" s="13" t="n">
        <f aca="false">IF(C28="",L27,IF(J28&lt;0,L27+1,0))</f>
        <v>3</v>
      </c>
      <c r="M28" s="14" t="n">
        <v>-23.55</v>
      </c>
      <c r="N28" s="9" t="n">
        <v>-2354.11</v>
      </c>
      <c r="O28" s="9" t="n">
        <v>-78529.79</v>
      </c>
    </row>
    <row r="29" customFormat="false" ht="15" hidden="false" customHeight="false" outlineLevel="0" collapsed="false">
      <c r="A29" s="6" t="n">
        <v>24</v>
      </c>
      <c r="B29" s="5" t="s">
        <v>74</v>
      </c>
      <c r="C29" s="5" t="s">
        <v>1163</v>
      </c>
      <c r="D29" s="5" t="s">
        <v>1164</v>
      </c>
      <c r="E29" s="5" t="s">
        <v>77</v>
      </c>
      <c r="F29" s="11" t="n">
        <v>0</v>
      </c>
      <c r="G29" s="12" t="n">
        <v>2.6242</v>
      </c>
      <c r="H29" s="12" t="n">
        <v>2.6148</v>
      </c>
      <c r="J29" s="8" t="n">
        <v>-0.00953</v>
      </c>
      <c r="K29" s="13" t="str">
        <f aca="false">IF(J29&gt;0,"прибыль",IF(J29&lt;0,"убыток","ноль"))</f>
        <v>убыток</v>
      </c>
      <c r="L29" s="13" t="n">
        <f aca="false">IF(C29="",L28,IF(J29&lt;0,L28+1,0))</f>
        <v>4</v>
      </c>
      <c r="M29" s="14" t="n">
        <v>-9.53</v>
      </c>
      <c r="N29" s="9" t="n">
        <v>0</v>
      </c>
      <c r="O29" s="9" t="n">
        <v>-78529.79</v>
      </c>
    </row>
    <row r="30" customFormat="false" ht="15" hidden="false" customHeight="false" outlineLevel="0" collapsed="false">
      <c r="A30" s="6" t="n">
        <v>25</v>
      </c>
      <c r="B30" s="5" t="s">
        <v>74</v>
      </c>
      <c r="C30" s="5" t="s">
        <v>1164</v>
      </c>
      <c r="D30" s="5" t="s">
        <v>448</v>
      </c>
      <c r="E30" s="5" t="s">
        <v>77</v>
      </c>
      <c r="F30" s="11" t="n">
        <v>94025.92</v>
      </c>
      <c r="G30" s="12" t="n">
        <v>2.6242</v>
      </c>
      <c r="H30" s="12" t="n">
        <v>2.6949</v>
      </c>
      <c r="J30" s="8" t="n">
        <v>0.07039</v>
      </c>
      <c r="K30" s="13" t="str">
        <f aca="false">IF(J30&gt;0,"прибыль",IF(J30&lt;0,"убыток","ноль"))</f>
        <v>прибыль</v>
      </c>
      <c r="L30" s="13" t="n">
        <f aca="false">IF(C30="",L29,IF(J30&lt;0,L29+1,0))</f>
        <v>0</v>
      </c>
      <c r="M30" s="14" t="n">
        <v>70.39</v>
      </c>
      <c r="N30" s="9" t="n">
        <v>6618.35</v>
      </c>
      <c r="O30" s="9" t="n">
        <v>-71911.44</v>
      </c>
    </row>
    <row r="31" customFormat="false" ht="15" hidden="false" customHeight="false" outlineLevel="0" collapsed="false">
      <c r="A31" s="6" t="n">
        <v>26</v>
      </c>
      <c r="B31" s="5" t="s">
        <v>74</v>
      </c>
      <c r="C31" s="5" t="s">
        <v>448</v>
      </c>
      <c r="D31" s="5" t="s">
        <v>449</v>
      </c>
      <c r="E31" s="5" t="s">
        <v>81</v>
      </c>
      <c r="F31" s="11" t="n">
        <v>99630.69</v>
      </c>
      <c r="G31" s="12" t="n">
        <v>2.6949</v>
      </c>
      <c r="H31" s="12" t="n">
        <v>2.7542</v>
      </c>
      <c r="J31" s="8" t="n">
        <v>-0.05955</v>
      </c>
      <c r="K31" s="13" t="str">
        <f aca="false">IF(J31&gt;0,"прибыль",IF(J31&lt;0,"убыток","ноль"))</f>
        <v>убыток</v>
      </c>
      <c r="L31" s="13" t="n">
        <f aca="false">IF(C31="",L30,IF(J31&lt;0,L30+1,0))</f>
        <v>1</v>
      </c>
      <c r="M31" s="14" t="n">
        <v>-59.55</v>
      </c>
      <c r="N31" s="9" t="n">
        <v>-5932.54</v>
      </c>
      <c r="O31" s="9" t="n">
        <v>-77843.98</v>
      </c>
    </row>
    <row r="32" customFormat="false" ht="15" hidden="false" customHeight="false" outlineLevel="0" collapsed="false">
      <c r="A32" s="6" t="n">
        <v>27</v>
      </c>
      <c r="B32" s="5" t="s">
        <v>74</v>
      </c>
      <c r="C32" s="5" t="s">
        <v>449</v>
      </c>
      <c r="D32" s="5" t="s">
        <v>293</v>
      </c>
      <c r="E32" s="5" t="s">
        <v>77</v>
      </c>
      <c r="F32" s="11" t="n">
        <v>95752.6</v>
      </c>
      <c r="G32" s="12" t="n">
        <v>2.7542</v>
      </c>
      <c r="H32" s="12" t="n">
        <v>2.9333</v>
      </c>
      <c r="I32" s="5" t="s">
        <v>78</v>
      </c>
      <c r="J32" s="8" t="n">
        <v>0.10603</v>
      </c>
      <c r="K32" s="13" t="str">
        <f aca="false">IF(J32&gt;0,"прибыль",IF(J32&lt;0,"убыток","ноль"))</f>
        <v>прибыль</v>
      </c>
      <c r="L32" s="13" t="n">
        <f aca="false">IF(C32="",L31,IF(J32&lt;0,L31+1,0))</f>
        <v>0</v>
      </c>
      <c r="M32" s="14" t="n">
        <v>106.03</v>
      </c>
      <c r="N32" s="9" t="n">
        <v>10152.48</v>
      </c>
      <c r="O32" s="9" t="n">
        <v>-67691.51</v>
      </c>
    </row>
    <row r="33" customFormat="false" ht="15" hidden="false" customHeight="false" outlineLevel="0" collapsed="false">
      <c r="A33" s="6" t="n">
        <v>28</v>
      </c>
      <c r="B33" s="5" t="s">
        <v>74</v>
      </c>
      <c r="C33" s="5" t="s">
        <v>293</v>
      </c>
      <c r="D33" s="5" t="s">
        <v>909</v>
      </c>
      <c r="E33" s="5" t="s">
        <v>81</v>
      </c>
      <c r="F33" s="11" t="n">
        <v>82611.65</v>
      </c>
      <c r="G33" s="12" t="n">
        <v>2.9333</v>
      </c>
      <c r="H33" s="12" t="n">
        <v>2.9831</v>
      </c>
      <c r="J33" s="8" t="n">
        <v>-0.05007</v>
      </c>
      <c r="K33" s="13" t="str">
        <f aca="false">IF(J33&gt;0,"прибыль",IF(J33&lt;0,"убыток","ноль"))</f>
        <v>убыток</v>
      </c>
      <c r="L33" s="13" t="n">
        <f aca="false">IF(C33="",L32,IF(J33&lt;0,L32+1,0))</f>
        <v>1</v>
      </c>
      <c r="M33" s="14" t="n">
        <v>-50.07</v>
      </c>
      <c r="N33" s="9" t="n">
        <v>-4135.96</v>
      </c>
      <c r="O33" s="9" t="n">
        <v>-71827.47</v>
      </c>
    </row>
    <row r="34" customFormat="false" ht="15" hidden="false" customHeight="false" outlineLevel="0" collapsed="false">
      <c r="A34" s="6" t="n">
        <v>29</v>
      </c>
      <c r="B34" s="5" t="s">
        <v>74</v>
      </c>
      <c r="C34" s="5" t="s">
        <v>909</v>
      </c>
      <c r="D34" s="5" t="s">
        <v>294</v>
      </c>
      <c r="E34" s="5" t="s">
        <v>77</v>
      </c>
      <c r="F34" s="11" t="n">
        <v>105573.49</v>
      </c>
      <c r="G34" s="12" t="n">
        <v>2.9831</v>
      </c>
      <c r="H34" s="12" t="n">
        <v>2.947</v>
      </c>
      <c r="J34" s="8" t="n">
        <v>-0.03633</v>
      </c>
      <c r="K34" s="13" t="str">
        <f aca="false">IF(J34&gt;0,"прибыль",IF(J34&lt;0,"убыток","ноль"))</f>
        <v>убыток</v>
      </c>
      <c r="L34" s="13" t="n">
        <f aca="false">IF(C34="",L33,IF(J34&lt;0,L33+1,0))</f>
        <v>2</v>
      </c>
      <c r="M34" s="14" t="n">
        <v>-36.33</v>
      </c>
      <c r="N34" s="9" t="n">
        <v>-3835.84</v>
      </c>
      <c r="O34" s="9" t="n">
        <v>-75663.3</v>
      </c>
    </row>
    <row r="35" customFormat="false" ht="15" hidden="false" customHeight="false" outlineLevel="0" collapsed="false">
      <c r="A35" s="6" t="n">
        <v>30</v>
      </c>
      <c r="B35" s="5" t="s">
        <v>74</v>
      </c>
      <c r="C35" s="5" t="s">
        <v>294</v>
      </c>
      <c r="D35" s="5" t="s">
        <v>295</v>
      </c>
      <c r="E35" s="5" t="s">
        <v>81</v>
      </c>
      <c r="F35" s="11" t="n">
        <v>110753.25</v>
      </c>
      <c r="G35" s="12" t="n">
        <v>2.947</v>
      </c>
      <c r="H35" s="12" t="n">
        <v>2.933</v>
      </c>
      <c r="J35" s="8" t="n">
        <v>0.01379</v>
      </c>
      <c r="K35" s="13" t="str">
        <f aca="false">IF(J35&gt;0,"прибыль",IF(J35&lt;0,"убыток","ноль"))</f>
        <v>прибыль</v>
      </c>
      <c r="L35" s="13" t="n">
        <f aca="false">IF(C35="",L34,IF(J35&lt;0,L34+1,0))</f>
        <v>0</v>
      </c>
      <c r="M35" s="14" t="n">
        <v>13.79</v>
      </c>
      <c r="N35" s="9" t="n">
        <v>1526.85</v>
      </c>
      <c r="O35" s="9" t="n">
        <v>-74136.45</v>
      </c>
    </row>
    <row r="36" customFormat="false" ht="15" hidden="false" customHeight="false" outlineLevel="0" collapsed="false">
      <c r="A36" s="6" t="n">
        <v>31</v>
      </c>
      <c r="B36" s="5" t="s">
        <v>74</v>
      </c>
      <c r="C36" s="5" t="s">
        <v>295</v>
      </c>
      <c r="D36" s="5" t="s">
        <v>1165</v>
      </c>
      <c r="E36" s="5" t="s">
        <v>77</v>
      </c>
      <c r="F36" s="11" t="n">
        <v>110537.46</v>
      </c>
      <c r="G36" s="12" t="n">
        <v>2.933</v>
      </c>
      <c r="H36" s="12" t="n">
        <v>2.961</v>
      </c>
      <c r="J36" s="8" t="n">
        <v>0.02774</v>
      </c>
      <c r="K36" s="13" t="str">
        <f aca="false">IF(J36&gt;0,"прибыль",IF(J36&lt;0,"убыток","ноль"))</f>
        <v>прибыль</v>
      </c>
      <c r="L36" s="13" t="n">
        <f aca="false">IF(C36="",L35,IF(J36&lt;0,L35+1,0))</f>
        <v>0</v>
      </c>
      <c r="M36" s="14" t="n">
        <v>27.74</v>
      </c>
      <c r="N36" s="9" t="n">
        <v>3066.57</v>
      </c>
      <c r="O36" s="9" t="n">
        <v>-71069.88</v>
      </c>
    </row>
    <row r="37" customFormat="false" ht="15" hidden="false" customHeight="false" outlineLevel="0" collapsed="false">
      <c r="A37" s="6" t="n">
        <v>32</v>
      </c>
      <c r="B37" s="5" t="s">
        <v>74</v>
      </c>
      <c r="C37" s="5" t="s">
        <v>1165</v>
      </c>
      <c r="D37" s="5" t="s">
        <v>450</v>
      </c>
      <c r="E37" s="5" t="s">
        <v>81</v>
      </c>
      <c r="F37" s="11" t="n">
        <v>22360.7</v>
      </c>
      <c r="G37" s="12" t="n">
        <v>2.961</v>
      </c>
      <c r="H37" s="12" t="n">
        <v>3.1236</v>
      </c>
      <c r="J37" s="8" t="n">
        <v>-0.16278</v>
      </c>
      <c r="K37" s="13" t="str">
        <f aca="false">IF(J37&gt;0,"прибыль",IF(J37&lt;0,"убыток","ноль"))</f>
        <v>убыток</v>
      </c>
      <c r="L37" s="13" t="n">
        <f aca="false">IF(C37="",L36,IF(J37&lt;0,L36+1,0))</f>
        <v>1</v>
      </c>
      <c r="M37" s="14" t="n">
        <v>-162.78</v>
      </c>
      <c r="N37" s="9" t="n">
        <v>-3639.81</v>
      </c>
      <c r="O37" s="9" t="n">
        <v>-74709.69</v>
      </c>
    </row>
    <row r="38" customFormat="false" ht="15" hidden="false" customHeight="false" outlineLevel="0" collapsed="false">
      <c r="A38" s="6" t="n">
        <v>33</v>
      </c>
      <c r="B38" s="5" t="s">
        <v>74</v>
      </c>
      <c r="C38" s="5" t="s">
        <v>450</v>
      </c>
      <c r="D38" s="5" t="s">
        <v>1166</v>
      </c>
      <c r="E38" s="5" t="s">
        <v>81</v>
      </c>
      <c r="F38" s="11" t="n">
        <v>82750.32</v>
      </c>
      <c r="G38" s="12" t="n">
        <v>2.961</v>
      </c>
      <c r="H38" s="12" t="n">
        <v>3.0627</v>
      </c>
      <c r="I38" s="5" t="s">
        <v>78</v>
      </c>
      <c r="J38" s="8" t="n">
        <v>0.00475</v>
      </c>
      <c r="K38" s="13" t="str">
        <f aca="false">IF(J38&gt;0,"прибыль",IF(J38&lt;0,"убыток","ноль"))</f>
        <v>прибыль</v>
      </c>
      <c r="L38" s="13" t="n">
        <f aca="false">IF(C38="",L37,IF(J38&lt;0,L37+1,0))</f>
        <v>0</v>
      </c>
      <c r="M38" s="14" t="n">
        <v>4.75</v>
      </c>
      <c r="N38" s="9" t="n">
        <v>393.2</v>
      </c>
      <c r="O38" s="9" t="n">
        <v>-74316.49</v>
      </c>
    </row>
    <row r="39" customFormat="false" ht="15" hidden="false" customHeight="false" outlineLevel="0" collapsed="false">
      <c r="A39" s="6" t="n">
        <v>34</v>
      </c>
      <c r="B39" s="5" t="s">
        <v>74</v>
      </c>
      <c r="C39" s="5" t="s">
        <v>1166</v>
      </c>
      <c r="D39" s="5" t="s">
        <v>297</v>
      </c>
      <c r="E39" s="5" t="s">
        <v>77</v>
      </c>
      <c r="F39" s="11" t="n">
        <v>19641.14</v>
      </c>
      <c r="G39" s="12" t="n">
        <v>3.0627</v>
      </c>
      <c r="H39" s="12" t="n">
        <v>3.6742</v>
      </c>
      <c r="I39" s="5" t="s">
        <v>78</v>
      </c>
      <c r="J39" s="8" t="n">
        <v>0.54128</v>
      </c>
      <c r="K39" s="13" t="str">
        <f aca="false">IF(J39&gt;0,"прибыль",IF(J39&lt;0,"убыток","ноль"))</f>
        <v>прибыль</v>
      </c>
      <c r="L39" s="13" t="n">
        <f aca="false">IF(C39="",L38,IF(J39&lt;0,L38+1,0))</f>
        <v>0</v>
      </c>
      <c r="M39" s="14" t="n">
        <v>541.28</v>
      </c>
      <c r="N39" s="9" t="n">
        <v>10631.45</v>
      </c>
      <c r="O39" s="9" t="n">
        <v>-63685.04</v>
      </c>
    </row>
    <row r="40" customFormat="false" ht="15" hidden="false" customHeight="false" outlineLevel="0" collapsed="false">
      <c r="A40" s="6" t="n">
        <v>35</v>
      </c>
      <c r="B40" s="5" t="s">
        <v>74</v>
      </c>
      <c r="C40" s="5" t="s">
        <v>297</v>
      </c>
      <c r="D40" s="5" t="s">
        <v>451</v>
      </c>
      <c r="E40" s="5" t="s">
        <v>77</v>
      </c>
      <c r="F40" s="11" t="n">
        <v>17952.82</v>
      </c>
      <c r="G40" s="12" t="n">
        <v>3.1327</v>
      </c>
      <c r="H40" s="12" t="n">
        <v>4.1776</v>
      </c>
      <c r="I40" s="5" t="s">
        <v>78</v>
      </c>
      <c r="J40" s="8" t="n">
        <v>1.07071</v>
      </c>
      <c r="K40" s="13" t="str">
        <f aca="false">IF(J40&gt;0,"прибыль",IF(J40&lt;0,"убыток","ноль"))</f>
        <v>прибыль</v>
      </c>
      <c r="L40" s="13" t="n">
        <f aca="false">IF(C40="",L39,IF(J40&lt;0,L39+1,0))</f>
        <v>0</v>
      </c>
      <c r="M40" s="14" t="n">
        <v>1070.71</v>
      </c>
      <c r="N40" s="9" t="n">
        <v>19222.19</v>
      </c>
      <c r="O40" s="9" t="n">
        <v>-44462.85</v>
      </c>
    </row>
    <row r="41" customFormat="false" ht="15" hidden="false" customHeight="false" outlineLevel="0" collapsed="false">
      <c r="A41" s="6" t="n">
        <v>36</v>
      </c>
      <c r="B41" s="5" t="s">
        <v>74</v>
      </c>
      <c r="C41" s="5" t="s">
        <v>451</v>
      </c>
      <c r="D41" s="5" t="s">
        <v>452</v>
      </c>
      <c r="E41" s="5" t="s">
        <v>77</v>
      </c>
      <c r="F41" s="11" t="n">
        <v>10572.2</v>
      </c>
      <c r="G41" s="12" t="n">
        <v>3.1067</v>
      </c>
      <c r="H41" s="12" t="n">
        <v>4.9153</v>
      </c>
      <c r="I41" s="5" t="s">
        <v>78</v>
      </c>
      <c r="J41" s="8" t="n">
        <v>1.64431</v>
      </c>
      <c r="K41" s="13" t="str">
        <f aca="false">IF(J41&gt;0,"прибыль",IF(J41&lt;0,"убыток","ноль"))</f>
        <v>прибыль</v>
      </c>
      <c r="L41" s="13" t="n">
        <f aca="false">IF(C41="",L40,IF(J41&lt;0,L40+1,0))</f>
        <v>0</v>
      </c>
      <c r="M41" s="14" t="n">
        <v>1644.31</v>
      </c>
      <c r="N41" s="9" t="n">
        <v>17384</v>
      </c>
      <c r="O41" s="9" t="n">
        <v>-27078.85</v>
      </c>
    </row>
    <row r="42" customFormat="false" ht="15" hidden="false" customHeight="false" outlineLevel="0" collapsed="false">
      <c r="A42" s="6" t="n">
        <v>37</v>
      </c>
      <c r="B42" s="5" t="s">
        <v>74</v>
      </c>
      <c r="C42" s="5" t="s">
        <v>452</v>
      </c>
      <c r="D42" s="5" t="s">
        <v>453</v>
      </c>
      <c r="E42" s="5" t="s">
        <v>77</v>
      </c>
      <c r="F42" s="11" t="n">
        <v>9987.29</v>
      </c>
      <c r="G42" s="12" t="n">
        <v>3.2708</v>
      </c>
      <c r="H42" s="12" t="n">
        <v>5.6948</v>
      </c>
      <c r="J42" s="8" t="n">
        <v>2.42377</v>
      </c>
      <c r="K42" s="13" t="str">
        <f aca="false">IF(J42&gt;0,"прибыль",IF(J42&lt;0,"убыток","ноль"))</f>
        <v>прибыль</v>
      </c>
      <c r="L42" s="13" t="n">
        <f aca="false">IF(C42="",L41,IF(J42&lt;0,L41+1,0))</f>
        <v>0</v>
      </c>
      <c r="M42" s="14" t="n">
        <v>2423.77</v>
      </c>
      <c r="N42" s="9" t="n">
        <v>24206.95</v>
      </c>
      <c r="O42" s="9" t="n">
        <v>-2871.9</v>
      </c>
    </row>
    <row r="43" customFormat="false" ht="15" hidden="false" customHeight="false" outlineLevel="0" collapsed="false">
      <c r="A43" s="6" t="n">
        <v>38</v>
      </c>
      <c r="B43" s="5" t="s">
        <v>74</v>
      </c>
      <c r="C43" s="5" t="s">
        <v>453</v>
      </c>
      <c r="D43" s="5" t="s">
        <v>454</v>
      </c>
      <c r="E43" s="5" t="s">
        <v>77</v>
      </c>
      <c r="F43" s="11" t="n">
        <v>4769.23</v>
      </c>
      <c r="G43" s="12" t="n">
        <v>3.2708</v>
      </c>
      <c r="H43" s="12" t="n">
        <v>5.8046</v>
      </c>
      <c r="I43" s="5" t="s">
        <v>78</v>
      </c>
      <c r="J43" s="8" t="n">
        <v>2.47275</v>
      </c>
      <c r="K43" s="13" t="str">
        <f aca="false">IF(J43&gt;0,"прибыль",IF(J43&lt;0,"убыток","ноль"))</f>
        <v>прибыль</v>
      </c>
      <c r="L43" s="13" t="n">
        <f aca="false">IF(C43="",L42,IF(J43&lt;0,L42+1,0))</f>
        <v>0</v>
      </c>
      <c r="M43" s="14" t="n">
        <v>2472.75</v>
      </c>
      <c r="N43" s="9" t="n">
        <v>11793.1</v>
      </c>
      <c r="O43" s="9" t="n">
        <v>8921.2</v>
      </c>
    </row>
    <row r="44" customFormat="false" ht="15" hidden="false" customHeight="false" outlineLevel="0" collapsed="false">
      <c r="A44" s="6" t="n">
        <v>39</v>
      </c>
      <c r="B44" s="5" t="s">
        <v>74</v>
      </c>
      <c r="C44" s="5" t="s">
        <v>454</v>
      </c>
      <c r="D44" s="5" t="s">
        <v>455</v>
      </c>
      <c r="E44" s="5" t="s">
        <v>77</v>
      </c>
      <c r="F44" s="11" t="n">
        <v>3407.98</v>
      </c>
      <c r="G44" s="12" t="n">
        <v>3.3315</v>
      </c>
      <c r="H44" s="12" t="n">
        <v>5.9809</v>
      </c>
      <c r="J44" s="8" t="n">
        <v>2.64912</v>
      </c>
      <c r="K44" s="13" t="str">
        <f aca="false">IF(J44&gt;0,"прибыль",IF(J44&lt;0,"убыток","ноль"))</f>
        <v>прибыль</v>
      </c>
      <c r="L44" s="13" t="n">
        <f aca="false">IF(C44="",L43,IF(J44&lt;0,L43+1,0))</f>
        <v>0</v>
      </c>
      <c r="M44" s="14" t="n">
        <v>2649.12</v>
      </c>
      <c r="N44" s="9" t="n">
        <v>9028.15</v>
      </c>
      <c r="O44" s="9" t="n">
        <v>17949.35</v>
      </c>
    </row>
    <row r="45" customFormat="false" ht="15" hidden="false" customHeight="false" outlineLevel="0" collapsed="false">
      <c r="A45" s="6" t="n">
        <v>40</v>
      </c>
      <c r="B45" s="5" t="s">
        <v>74</v>
      </c>
      <c r="C45" s="5" t="s">
        <v>455</v>
      </c>
      <c r="D45" s="5" t="s">
        <v>1167</v>
      </c>
      <c r="E45" s="5" t="s">
        <v>77</v>
      </c>
      <c r="F45" s="11" t="n">
        <v>17677.07</v>
      </c>
      <c r="G45" s="12" t="n">
        <v>3.8913</v>
      </c>
      <c r="H45" s="12" t="n">
        <v>4.8521</v>
      </c>
      <c r="I45" s="5" t="s">
        <v>78</v>
      </c>
      <c r="J45" s="8" t="n">
        <v>0.52458</v>
      </c>
      <c r="K45" s="13" t="str">
        <f aca="false">IF(J45&gt;0,"прибыль",IF(J45&lt;0,"убыток","ноль"))</f>
        <v>прибыль</v>
      </c>
      <c r="L45" s="13" t="n">
        <f aca="false">IF(C45="",L44,IF(J45&lt;0,L44+1,0))</f>
        <v>0</v>
      </c>
      <c r="M45" s="14" t="n">
        <v>524.58</v>
      </c>
      <c r="N45" s="9" t="n">
        <v>9272.98</v>
      </c>
      <c r="O45" s="9" t="n">
        <v>27222.33</v>
      </c>
    </row>
    <row r="46" customFormat="false" ht="15" hidden="false" customHeight="false" outlineLevel="0" collapsed="false">
      <c r="A46" s="6" t="n">
        <v>41</v>
      </c>
      <c r="B46" s="5" t="s">
        <v>74</v>
      </c>
      <c r="C46" s="5" t="s">
        <v>1167</v>
      </c>
      <c r="D46" s="5" t="s">
        <v>457</v>
      </c>
      <c r="E46" s="5" t="s">
        <v>81</v>
      </c>
      <c r="F46" s="11" t="n">
        <v>9982.71</v>
      </c>
      <c r="G46" s="12" t="n">
        <v>4.5388</v>
      </c>
      <c r="H46" s="12" t="n">
        <v>4.8299</v>
      </c>
      <c r="I46" s="5" t="s">
        <v>78</v>
      </c>
      <c r="J46" s="8" t="n">
        <v>-0.51883</v>
      </c>
      <c r="K46" s="13" t="str">
        <f aca="false">IF(J46&gt;0,"прибыль",IF(J46&lt;0,"убыток","ноль"))</f>
        <v>убыток</v>
      </c>
      <c r="L46" s="13" t="n">
        <f aca="false">IF(C46="",L45,IF(J46&lt;0,L45+1,0))</f>
        <v>1</v>
      </c>
      <c r="M46" s="14" t="n">
        <v>-518.83</v>
      </c>
      <c r="N46" s="9" t="n">
        <v>-5179.3</v>
      </c>
      <c r="O46" s="9" t="n">
        <v>22043.03</v>
      </c>
    </row>
    <row r="47" customFormat="false" ht="15" hidden="false" customHeight="false" outlineLevel="0" collapsed="false">
      <c r="A47" s="6" t="n">
        <v>42</v>
      </c>
      <c r="B47" s="5" t="s">
        <v>74</v>
      </c>
      <c r="C47" s="5" t="s">
        <v>457</v>
      </c>
      <c r="D47" s="5" t="s">
        <v>1168</v>
      </c>
      <c r="E47" s="5" t="s">
        <v>81</v>
      </c>
      <c r="F47" s="11" t="n">
        <v>20034.21</v>
      </c>
      <c r="G47" s="12" t="n">
        <v>4.3115</v>
      </c>
      <c r="H47" s="12" t="n">
        <v>3.9795</v>
      </c>
      <c r="J47" s="8" t="n">
        <v>0.33188</v>
      </c>
      <c r="K47" s="13" t="str">
        <f aca="false">IF(J47&gt;0,"прибыль",IF(J47&lt;0,"убыток","ноль"))</f>
        <v>прибыль</v>
      </c>
      <c r="L47" s="13" t="n">
        <f aca="false">IF(C47="",L46,IF(J47&lt;0,L46+1,0))</f>
        <v>0</v>
      </c>
      <c r="M47" s="14" t="n">
        <v>331.88</v>
      </c>
      <c r="N47" s="9" t="n">
        <v>6648.86</v>
      </c>
      <c r="O47" s="9" t="n">
        <v>28691.89</v>
      </c>
    </row>
    <row r="48" customFormat="false" ht="15" hidden="false" customHeight="false" outlineLevel="0" collapsed="false">
      <c r="A48" s="6" t="n">
        <v>43</v>
      </c>
      <c r="B48" s="5" t="s">
        <v>74</v>
      </c>
      <c r="C48" s="5" t="s">
        <v>1169</v>
      </c>
      <c r="D48" s="5" t="s">
        <v>458</v>
      </c>
      <c r="E48" s="5" t="s">
        <v>81</v>
      </c>
      <c r="F48" s="11" t="n">
        <v>36066.42</v>
      </c>
      <c r="G48" s="12" t="n">
        <v>4.8977</v>
      </c>
      <c r="H48" s="12" t="n">
        <v>5.4498</v>
      </c>
      <c r="J48" s="8" t="n">
        <v>-0.55262</v>
      </c>
      <c r="K48" s="13" t="str">
        <f aca="false">IF(J48&gt;0,"прибыль",IF(J48&lt;0,"убыток","ноль"))</f>
        <v>убыток</v>
      </c>
      <c r="L48" s="13" t="n">
        <f aca="false">IF(C48="",L47,IF(J48&lt;0,L47+1,0))</f>
        <v>1</v>
      </c>
      <c r="M48" s="14" t="n">
        <v>-552.62</v>
      </c>
      <c r="N48" s="9" t="n">
        <v>-19930.97</v>
      </c>
      <c r="O48" s="9" t="n">
        <v>8760.93</v>
      </c>
    </row>
    <row r="49" customFormat="false" ht="15" hidden="false" customHeight="false" outlineLevel="0" collapsed="false">
      <c r="A49" s="6" t="n">
        <v>44</v>
      </c>
      <c r="B49" s="5" t="s">
        <v>74</v>
      </c>
      <c r="C49" s="5" t="s">
        <v>1170</v>
      </c>
      <c r="D49" s="5" t="s">
        <v>1171</v>
      </c>
      <c r="E49" s="5" t="s">
        <v>81</v>
      </c>
      <c r="F49" s="11" t="n">
        <v>30436.26</v>
      </c>
      <c r="G49" s="12" t="n">
        <v>4.9154</v>
      </c>
      <c r="H49" s="12" t="n">
        <v>4.53</v>
      </c>
      <c r="J49" s="8" t="n">
        <v>0.38494</v>
      </c>
      <c r="K49" s="13" t="str">
        <f aca="false">IF(J49&gt;0,"прибыль",IF(J49&lt;0,"убыток","ноль"))</f>
        <v>прибыль</v>
      </c>
      <c r="L49" s="13" t="n">
        <f aca="false">IF(C49="",L48,IF(J49&lt;0,L48+1,0))</f>
        <v>0</v>
      </c>
      <c r="M49" s="14" t="n">
        <v>384.94</v>
      </c>
      <c r="N49" s="9" t="n">
        <v>11716.27</v>
      </c>
      <c r="O49" s="9" t="n">
        <v>20477.2</v>
      </c>
    </row>
    <row r="50" customFormat="false" ht="15" hidden="false" customHeight="false" outlineLevel="0" collapsed="false">
      <c r="A50" s="6" t="n">
        <v>45</v>
      </c>
      <c r="B50" s="5" t="s">
        <v>74</v>
      </c>
      <c r="C50" s="5" t="s">
        <v>1172</v>
      </c>
      <c r="D50" s="5" t="s">
        <v>1173</v>
      </c>
      <c r="E50" s="5" t="s">
        <v>77</v>
      </c>
      <c r="F50" s="11" t="n">
        <v>42246.95</v>
      </c>
      <c r="G50" s="12" t="n">
        <v>4.6171</v>
      </c>
      <c r="H50" s="12" t="n">
        <v>4.6962</v>
      </c>
      <c r="I50" s="5" t="s">
        <v>78</v>
      </c>
      <c r="J50" s="8" t="n">
        <v>0.00281</v>
      </c>
      <c r="K50" s="13" t="str">
        <f aca="false">IF(J50&gt;0,"прибыль",IF(J50&lt;0,"убыток","ноль"))</f>
        <v>прибыль</v>
      </c>
      <c r="L50" s="13" t="n">
        <f aca="false">IF(C50="",L49,IF(J50&lt;0,L49+1,0))</f>
        <v>0</v>
      </c>
      <c r="M50" s="14" t="n">
        <v>2.81</v>
      </c>
      <c r="N50" s="9" t="n">
        <v>118.64</v>
      </c>
      <c r="O50" s="9" t="n">
        <v>20595.84</v>
      </c>
    </row>
    <row r="51" customFormat="false" ht="15" hidden="false" customHeight="false" outlineLevel="0" collapsed="false">
      <c r="A51" s="6" t="n">
        <v>46</v>
      </c>
      <c r="B51" s="5" t="s">
        <v>74</v>
      </c>
      <c r="C51" s="5" t="s">
        <v>1174</v>
      </c>
      <c r="D51" s="5" t="s">
        <v>1175</v>
      </c>
      <c r="E51" s="5" t="s">
        <v>77</v>
      </c>
      <c r="F51" s="11" t="n">
        <v>48991.99</v>
      </c>
      <c r="G51" s="12" t="n">
        <v>4.5446</v>
      </c>
      <c r="H51" s="12" t="n">
        <v>4.6115</v>
      </c>
      <c r="J51" s="8" t="n">
        <v>0.0664</v>
      </c>
      <c r="K51" s="13" t="str">
        <f aca="false">IF(J51&gt;0,"прибыль",IF(J51&lt;0,"убыток","ноль"))</f>
        <v>прибыль</v>
      </c>
      <c r="L51" s="13" t="n">
        <f aca="false">IF(C51="",L50,IF(J51&lt;0,L50+1,0))</f>
        <v>0</v>
      </c>
      <c r="M51" s="14" t="n">
        <v>66.4</v>
      </c>
      <c r="N51" s="9" t="n">
        <v>3253.25</v>
      </c>
      <c r="O51" s="9" t="n">
        <v>23849.09</v>
      </c>
    </row>
    <row r="52" customFormat="false" ht="15" hidden="false" customHeight="false" outlineLevel="0" collapsed="false">
      <c r="A52" s="6" t="n">
        <v>47</v>
      </c>
      <c r="B52" s="5" t="s">
        <v>74</v>
      </c>
      <c r="C52" s="5" t="s">
        <v>977</v>
      </c>
      <c r="D52" s="5" t="s">
        <v>1176</v>
      </c>
      <c r="E52" s="5" t="s">
        <v>77</v>
      </c>
      <c r="F52" s="11" t="n">
        <v>49085.56</v>
      </c>
      <c r="G52" s="12" t="n">
        <v>4.6807</v>
      </c>
      <c r="H52" s="12" t="n">
        <v>4.7515</v>
      </c>
      <c r="J52" s="8" t="n">
        <v>0.07037</v>
      </c>
      <c r="K52" s="13" t="str">
        <f aca="false">IF(J52&gt;0,"прибыль",IF(J52&lt;0,"убыток","ноль"))</f>
        <v>прибыль</v>
      </c>
      <c r="L52" s="13" t="n">
        <f aca="false">IF(C52="",L51,IF(J52&lt;0,L51+1,0))</f>
        <v>0</v>
      </c>
      <c r="M52" s="14" t="n">
        <v>70.37</v>
      </c>
      <c r="N52" s="9" t="n">
        <v>3454.18</v>
      </c>
      <c r="O52" s="9" t="n">
        <v>27303.26</v>
      </c>
    </row>
    <row r="53" customFormat="false" ht="15" hidden="false" customHeight="false" outlineLevel="0" collapsed="false">
      <c r="A53" s="6" t="n">
        <v>48</v>
      </c>
      <c r="B53" s="5" t="s">
        <v>74</v>
      </c>
      <c r="C53" s="5" t="s">
        <v>1177</v>
      </c>
      <c r="D53" s="5" t="s">
        <v>1178</v>
      </c>
      <c r="E53" s="5" t="s">
        <v>81</v>
      </c>
      <c r="F53" s="11" t="n">
        <v>7239.18</v>
      </c>
      <c r="G53" s="12" t="n">
        <v>5.8066</v>
      </c>
      <c r="H53" s="12" t="n">
        <v>6.4952</v>
      </c>
      <c r="J53" s="8" t="n">
        <v>-0.69037</v>
      </c>
      <c r="K53" s="13" t="str">
        <f aca="false">IF(J53&gt;0,"прибыль",IF(J53&lt;0,"убыток","ноль"))</f>
        <v>убыток</v>
      </c>
      <c r="L53" s="13" t="n">
        <f aca="false">IF(C53="",L52,IF(J53&lt;0,L52+1,0))</f>
        <v>1</v>
      </c>
      <c r="M53" s="14" t="n">
        <v>-690.37</v>
      </c>
      <c r="N53" s="9" t="n">
        <v>-4997.71</v>
      </c>
      <c r="O53" s="9" t="n">
        <v>22305.55</v>
      </c>
    </row>
    <row r="54" customFormat="false" ht="15" hidden="false" customHeight="false" outlineLevel="0" collapsed="false">
      <c r="A54" s="6" t="n">
        <v>49</v>
      </c>
      <c r="B54" s="5" t="s">
        <v>74</v>
      </c>
      <c r="C54" s="5" t="s">
        <v>1178</v>
      </c>
      <c r="D54" s="5" t="s">
        <v>729</v>
      </c>
      <c r="E54" s="5" t="s">
        <v>81</v>
      </c>
      <c r="F54" s="11" t="n">
        <v>28604.43</v>
      </c>
      <c r="G54" s="12" t="n">
        <v>5.8066</v>
      </c>
      <c r="H54" s="12" t="n">
        <v>7.7712</v>
      </c>
      <c r="J54" s="8" t="n">
        <v>-1.96503</v>
      </c>
      <c r="K54" s="13" t="str">
        <f aca="false">IF(J54&gt;0,"прибыль",IF(J54&lt;0,"убыток","ноль"))</f>
        <v>убыток</v>
      </c>
      <c r="L54" s="13" t="n">
        <f aca="false">IF(C54="",L53,IF(J54&lt;0,L53+1,0))</f>
        <v>2</v>
      </c>
      <c r="M54" s="14" t="n">
        <v>-1965.03</v>
      </c>
      <c r="N54" s="9" t="n">
        <v>-56208.61</v>
      </c>
      <c r="O54" s="9" t="n">
        <v>-33903.05</v>
      </c>
    </row>
    <row r="55" customFormat="false" ht="15" hidden="false" customHeight="false" outlineLevel="0" collapsed="false">
      <c r="A55" s="6" t="n">
        <v>50</v>
      </c>
      <c r="B55" s="5" t="s">
        <v>74</v>
      </c>
      <c r="C55" s="5" t="s">
        <v>1179</v>
      </c>
      <c r="D55" s="5" t="s">
        <v>1180</v>
      </c>
      <c r="E55" s="5" t="s">
        <v>81</v>
      </c>
      <c r="F55" s="11" t="n">
        <v>28500.97</v>
      </c>
      <c r="G55" s="12" t="n">
        <v>7.7126</v>
      </c>
      <c r="H55" s="12" t="n">
        <v>8.2218</v>
      </c>
      <c r="J55" s="8" t="n">
        <v>-0.51007</v>
      </c>
      <c r="K55" s="13" t="str">
        <f aca="false">IF(J55&gt;0,"прибыль",IF(J55&lt;0,"убыток","ноль"))</f>
        <v>убыток</v>
      </c>
      <c r="L55" s="13" t="n">
        <f aca="false">IF(C55="",L54,IF(J55&lt;0,L54+1,0))</f>
        <v>3</v>
      </c>
      <c r="M55" s="14" t="n">
        <v>-510.07</v>
      </c>
      <c r="N55" s="9" t="n">
        <v>-14537.48</v>
      </c>
      <c r="O55" s="9" t="n">
        <v>-48440.53</v>
      </c>
    </row>
    <row r="56" customFormat="false" ht="15" hidden="false" customHeight="false" outlineLevel="0" collapsed="false">
      <c r="A56" s="6" t="n">
        <v>51</v>
      </c>
      <c r="B56" s="5" t="s">
        <v>74</v>
      </c>
      <c r="C56" s="5" t="s">
        <v>1181</v>
      </c>
      <c r="D56" s="5" t="s">
        <v>466</v>
      </c>
      <c r="E56" s="5" t="s">
        <v>81</v>
      </c>
      <c r="F56" s="11" t="n">
        <v>20380.38</v>
      </c>
      <c r="G56" s="12" t="n">
        <v>6.4351</v>
      </c>
      <c r="H56" s="12" t="n">
        <v>5.7217</v>
      </c>
      <c r="J56" s="8" t="n">
        <v>0.7121</v>
      </c>
      <c r="K56" s="13" t="str">
        <f aca="false">IF(J56&gt;0,"прибыль",IF(J56&lt;0,"убыток","ноль"))</f>
        <v>прибыль</v>
      </c>
      <c r="L56" s="13" t="n">
        <f aca="false">IF(C56="",L55,IF(J56&lt;0,L55+1,0))</f>
        <v>0</v>
      </c>
      <c r="M56" s="14" t="n">
        <v>712.1</v>
      </c>
      <c r="N56" s="9" t="n">
        <v>14512.92</v>
      </c>
      <c r="O56" s="9" t="n">
        <v>-33927.61</v>
      </c>
    </row>
    <row r="57" customFormat="false" ht="15" hidden="false" customHeight="false" outlineLevel="0" collapsed="false">
      <c r="A57" s="6" t="n">
        <v>52</v>
      </c>
      <c r="B57" s="5" t="s">
        <v>74</v>
      </c>
      <c r="C57" s="5" t="s">
        <v>466</v>
      </c>
      <c r="D57" s="5" t="s">
        <v>335</v>
      </c>
      <c r="E57" s="5" t="s">
        <v>81</v>
      </c>
      <c r="F57" s="11" t="n">
        <v>13201.83</v>
      </c>
      <c r="G57" s="12" t="n">
        <v>6.4351</v>
      </c>
      <c r="H57" s="12" t="n">
        <v>6.7698</v>
      </c>
      <c r="I57" s="5" t="s">
        <v>78</v>
      </c>
      <c r="J57" s="8" t="n">
        <v>0.10239</v>
      </c>
      <c r="K57" s="13" t="str">
        <f aca="false">IF(J57&gt;0,"прибыль",IF(J57&lt;0,"убыток","ноль"))</f>
        <v>прибыль</v>
      </c>
      <c r="L57" s="13" t="n">
        <f aca="false">IF(C57="",L56,IF(J57&lt;0,L56+1,0))</f>
        <v>0</v>
      </c>
      <c r="M57" s="14" t="n">
        <v>102.39</v>
      </c>
      <c r="N57" s="9" t="n">
        <v>1351.77</v>
      </c>
      <c r="O57" s="9" t="n">
        <v>-32575.84</v>
      </c>
    </row>
    <row r="58" customFormat="false" ht="15" hidden="false" customHeight="false" outlineLevel="0" collapsed="false">
      <c r="A58" s="6" t="n">
        <v>53</v>
      </c>
      <c r="B58" s="5" t="s">
        <v>74</v>
      </c>
      <c r="C58" s="5" t="s">
        <v>335</v>
      </c>
      <c r="D58" s="5" t="s">
        <v>468</v>
      </c>
      <c r="E58" s="5" t="s">
        <v>81</v>
      </c>
      <c r="F58" s="11" t="n">
        <v>9502.13</v>
      </c>
      <c r="G58" s="12" t="n">
        <v>6.5825</v>
      </c>
      <c r="H58" s="12" t="n">
        <v>6.8721</v>
      </c>
      <c r="I58" s="5" t="s">
        <v>78</v>
      </c>
      <c r="J58" s="8" t="n">
        <v>0.01323</v>
      </c>
      <c r="K58" s="13" t="str">
        <f aca="false">IF(J58&gt;0,"прибыль",IF(J58&lt;0,"убыток","ноль"))</f>
        <v>прибыль</v>
      </c>
      <c r="L58" s="13" t="n">
        <f aca="false">IF(C58="",L57,IF(J58&lt;0,L57+1,0))</f>
        <v>0</v>
      </c>
      <c r="M58" s="14" t="n">
        <v>13.23</v>
      </c>
      <c r="N58" s="9" t="n">
        <v>125.69</v>
      </c>
      <c r="O58" s="9" t="n">
        <v>-32450.15</v>
      </c>
    </row>
    <row r="59" customFormat="false" ht="15" hidden="false" customHeight="false" outlineLevel="0" collapsed="false">
      <c r="A59" s="6" t="n">
        <v>54</v>
      </c>
      <c r="B59" s="5" t="s">
        <v>74</v>
      </c>
      <c r="C59" s="5" t="s">
        <v>468</v>
      </c>
      <c r="D59" s="5" t="s">
        <v>1182</v>
      </c>
      <c r="E59" s="5" t="s">
        <v>81</v>
      </c>
      <c r="F59" s="11" t="n">
        <v>61881.08</v>
      </c>
      <c r="G59" s="12" t="n">
        <v>5.6162</v>
      </c>
      <c r="H59" s="12" t="n">
        <v>3.4681</v>
      </c>
      <c r="I59" s="5" t="s">
        <v>78</v>
      </c>
      <c r="J59" s="8" t="n">
        <v>1.91925</v>
      </c>
      <c r="K59" s="13" t="str">
        <f aca="false">IF(J59&gt;0,"прибыль",IF(J59&lt;0,"убыток","ноль"))</f>
        <v>прибыль</v>
      </c>
      <c r="L59" s="13" t="n">
        <f aca="false">IF(C59="",L58,IF(J59&lt;0,L58+1,0))</f>
        <v>0</v>
      </c>
      <c r="M59" s="14" t="n">
        <v>1919.25</v>
      </c>
      <c r="N59" s="9" t="n">
        <v>118765.51</v>
      </c>
      <c r="O59" s="9" t="n">
        <v>86315.36</v>
      </c>
    </row>
    <row r="60" customFormat="false" ht="15" hidden="false" customHeight="false" outlineLevel="0" collapsed="false">
      <c r="A60" s="6" t="n">
        <v>55</v>
      </c>
      <c r="B60" s="5" t="s">
        <v>74</v>
      </c>
      <c r="C60" s="5" t="s">
        <v>736</v>
      </c>
      <c r="D60" s="5" t="s">
        <v>346</v>
      </c>
      <c r="E60" s="5" t="s">
        <v>77</v>
      </c>
      <c r="F60" s="11" t="n">
        <v>106996.03</v>
      </c>
      <c r="G60" s="12" t="n">
        <v>2.7332</v>
      </c>
      <c r="H60" s="12" t="n">
        <v>2.5687</v>
      </c>
      <c r="I60" s="5" t="s">
        <v>78</v>
      </c>
      <c r="J60" s="8" t="n">
        <v>-0.09462</v>
      </c>
      <c r="K60" s="13" t="str">
        <f aca="false">IF(J60&gt;0,"прибыль",IF(J60&lt;0,"убыток","ноль"))</f>
        <v>убыток</v>
      </c>
      <c r="L60" s="13" t="n">
        <f aca="false">IF(C60="",L59,IF(J60&lt;0,L59+1,0))</f>
        <v>1</v>
      </c>
      <c r="M60" s="14" t="n">
        <v>-94.62</v>
      </c>
      <c r="N60" s="9" t="n">
        <v>-10124.22</v>
      </c>
      <c r="O60" s="9" t="n">
        <v>76191.14</v>
      </c>
    </row>
    <row r="61" customFormat="false" ht="15" hidden="false" customHeight="false" outlineLevel="0" collapsed="false">
      <c r="A61" s="6" t="n">
        <v>56</v>
      </c>
      <c r="B61" s="5" t="s">
        <v>74</v>
      </c>
      <c r="C61" s="5" t="s">
        <v>347</v>
      </c>
      <c r="D61" s="5" t="s">
        <v>472</v>
      </c>
      <c r="E61" s="5" t="s">
        <v>77</v>
      </c>
      <c r="F61" s="11" t="n">
        <v>44784.59</v>
      </c>
      <c r="G61" s="12" t="n">
        <v>2.5611</v>
      </c>
      <c r="H61" s="12" t="n">
        <v>2.9751</v>
      </c>
      <c r="I61" s="5" t="s">
        <v>78</v>
      </c>
      <c r="J61" s="8" t="n">
        <v>0.448</v>
      </c>
      <c r="K61" s="13" t="str">
        <f aca="false">IF(J61&gt;0,"прибыль",IF(J61&lt;0,"убыток","ноль"))</f>
        <v>прибыль</v>
      </c>
      <c r="L61" s="13" t="n">
        <f aca="false">IF(C61="",L60,IF(J61&lt;0,L60+1,0))</f>
        <v>0</v>
      </c>
      <c r="M61" s="14" t="n">
        <v>448</v>
      </c>
      <c r="N61" s="9" t="n">
        <v>20063.32</v>
      </c>
      <c r="O61" s="9" t="n">
        <v>96254.46</v>
      </c>
    </row>
    <row r="62" customFormat="false" ht="15" hidden="false" customHeight="false" outlineLevel="0" collapsed="false">
      <c r="A62" s="6" t="n">
        <v>57</v>
      </c>
      <c r="B62" s="5" t="s">
        <v>74</v>
      </c>
      <c r="C62" s="5" t="s">
        <v>472</v>
      </c>
      <c r="D62" s="5" t="s">
        <v>1183</v>
      </c>
      <c r="E62" s="5" t="s">
        <v>77</v>
      </c>
      <c r="F62" s="11" t="n">
        <v>139979.34</v>
      </c>
      <c r="G62" s="12" t="n">
        <v>2.5057</v>
      </c>
      <c r="H62" s="12" t="n">
        <v>2.5771</v>
      </c>
      <c r="I62" s="5" t="s">
        <v>78</v>
      </c>
      <c r="J62" s="8" t="n">
        <v>-0.0425</v>
      </c>
      <c r="K62" s="13" t="str">
        <f aca="false">IF(J62&gt;0,"прибыль",IF(J62&lt;0,"убыток","ноль"))</f>
        <v>убыток</v>
      </c>
      <c r="L62" s="13" t="n">
        <f aca="false">IF(C62="",L61,IF(J62&lt;0,L61+1,0))</f>
        <v>1</v>
      </c>
      <c r="M62" s="14" t="n">
        <v>-42.5</v>
      </c>
      <c r="N62" s="9" t="n">
        <v>-5948.59</v>
      </c>
      <c r="O62" s="9" t="n">
        <v>90305.87</v>
      </c>
    </row>
    <row r="63" customFormat="false" ht="15" hidden="false" customHeight="false" outlineLevel="0" collapsed="false">
      <c r="A63" s="6" t="n">
        <v>58</v>
      </c>
      <c r="B63" s="5" t="s">
        <v>74</v>
      </c>
      <c r="C63" s="5" t="s">
        <v>1184</v>
      </c>
      <c r="D63" s="5" t="s">
        <v>1185</v>
      </c>
      <c r="E63" s="5" t="s">
        <v>77</v>
      </c>
      <c r="F63" s="11" t="n">
        <v>136070.84</v>
      </c>
      <c r="G63" s="12" t="n">
        <v>2.7672</v>
      </c>
      <c r="H63" s="12" t="n">
        <v>2.659</v>
      </c>
      <c r="J63" s="8" t="n">
        <v>-0.10843</v>
      </c>
      <c r="K63" s="13" t="str">
        <f aca="false">IF(J63&gt;0,"прибыль",IF(J63&lt;0,"убыток","ноль"))</f>
        <v>убыток</v>
      </c>
      <c r="L63" s="13" t="n">
        <f aca="false">IF(C63="",L62,IF(J63&lt;0,L62+1,0))</f>
        <v>2</v>
      </c>
      <c r="M63" s="14" t="n">
        <v>-108.43</v>
      </c>
      <c r="N63" s="9" t="n">
        <v>-14753.5</v>
      </c>
      <c r="O63" s="9" t="n">
        <v>75552.37</v>
      </c>
    </row>
    <row r="64" customFormat="false" ht="15" hidden="false" customHeight="false" outlineLevel="0" collapsed="false">
      <c r="A64" s="6" t="n">
        <v>59</v>
      </c>
      <c r="B64" s="5" t="s">
        <v>74</v>
      </c>
      <c r="C64" s="5" t="s">
        <v>740</v>
      </c>
      <c r="D64" s="5" t="s">
        <v>1186</v>
      </c>
      <c r="E64" s="5" t="s">
        <v>77</v>
      </c>
      <c r="F64" s="11" t="n">
        <v>129134.06</v>
      </c>
      <c r="G64" s="12" t="n">
        <v>2.8454</v>
      </c>
      <c r="H64" s="12" t="n">
        <v>2.7367</v>
      </c>
      <c r="J64" s="8" t="n">
        <v>-0.109</v>
      </c>
      <c r="K64" s="13" t="str">
        <f aca="false">IF(J64&gt;0,"прибыль",IF(J64&lt;0,"убыток","ноль"))</f>
        <v>убыток</v>
      </c>
      <c r="L64" s="13" t="n">
        <f aca="false">IF(C64="",L63,IF(J64&lt;0,L63+1,0))</f>
        <v>3</v>
      </c>
      <c r="M64" s="14" t="n">
        <v>-109</v>
      </c>
      <c r="N64" s="9" t="n">
        <v>-14075.35</v>
      </c>
      <c r="O64" s="9" t="n">
        <v>61477.02</v>
      </c>
    </row>
    <row r="65" customFormat="false" ht="15" hidden="false" customHeight="false" outlineLevel="0" collapsed="false">
      <c r="A65" s="6" t="n">
        <v>60</v>
      </c>
      <c r="B65" s="5" t="s">
        <v>74</v>
      </c>
      <c r="C65" s="5" t="s">
        <v>1187</v>
      </c>
      <c r="D65" s="5" t="s">
        <v>1188</v>
      </c>
      <c r="E65" s="5" t="s">
        <v>77</v>
      </c>
      <c r="F65" s="11" t="n">
        <v>124630.32</v>
      </c>
      <c r="G65" s="12" t="n">
        <v>2.9556</v>
      </c>
      <c r="H65" s="12" t="n">
        <v>2.8566</v>
      </c>
      <c r="J65" s="8" t="n">
        <v>-0.09924</v>
      </c>
      <c r="K65" s="13" t="str">
        <f aca="false">IF(J65&gt;0,"прибыль",IF(J65&lt;0,"убыток","ноль"))</f>
        <v>убыток</v>
      </c>
      <c r="L65" s="13" t="n">
        <f aca="false">IF(C65="",L64,IF(J65&lt;0,L64+1,0))</f>
        <v>4</v>
      </c>
      <c r="M65" s="14" t="n">
        <v>-99.24</v>
      </c>
      <c r="N65" s="9" t="n">
        <v>-12368.57</v>
      </c>
      <c r="O65" s="9" t="n">
        <v>49108.45</v>
      </c>
    </row>
    <row r="66" customFormat="false" ht="15" hidden="false" customHeight="false" outlineLevel="0" collapsed="false">
      <c r="A66" s="6" t="n">
        <v>61</v>
      </c>
      <c r="B66" s="5" t="s">
        <v>74</v>
      </c>
      <c r="C66" s="5" t="s">
        <v>630</v>
      </c>
      <c r="D66" s="5" t="s">
        <v>1189</v>
      </c>
      <c r="E66" s="5" t="s">
        <v>77</v>
      </c>
      <c r="F66" s="11" t="n">
        <v>109201.23</v>
      </c>
      <c r="G66" s="12" t="n">
        <v>3.1762</v>
      </c>
      <c r="H66" s="12" t="n">
        <v>3.0749</v>
      </c>
      <c r="J66" s="8" t="n">
        <v>-0.10152</v>
      </c>
      <c r="K66" s="13" t="str">
        <f aca="false">IF(J66&gt;0,"прибыль",IF(J66&lt;0,"убыток","ноль"))</f>
        <v>убыток</v>
      </c>
      <c r="L66" s="13" t="n">
        <f aca="false">IF(C66="",L65,IF(J66&lt;0,L65+1,0))</f>
        <v>5</v>
      </c>
      <c r="M66" s="14" t="n">
        <v>-101.52</v>
      </c>
      <c r="N66" s="9" t="n">
        <v>-11086.41</v>
      </c>
      <c r="O66" s="9" t="n">
        <v>38022.04</v>
      </c>
    </row>
    <row r="67" customFormat="false" ht="15" hidden="false" customHeight="false" outlineLevel="0" collapsed="false">
      <c r="A67" s="6" t="n">
        <v>62</v>
      </c>
      <c r="B67" s="5" t="s">
        <v>74</v>
      </c>
      <c r="C67" s="5" t="s">
        <v>1190</v>
      </c>
      <c r="D67" s="5" t="s">
        <v>691</v>
      </c>
      <c r="E67" s="5" t="s">
        <v>77</v>
      </c>
      <c r="F67" s="11" t="n">
        <v>116451.14</v>
      </c>
      <c r="G67" s="12" t="n">
        <v>3.0869</v>
      </c>
      <c r="H67" s="12" t="n">
        <v>2.9704</v>
      </c>
      <c r="J67" s="8" t="n">
        <v>-0.1168</v>
      </c>
      <c r="K67" s="13" t="str">
        <f aca="false">IF(J67&gt;0,"прибыль",IF(J67&lt;0,"убыток","ноль"))</f>
        <v>убыток</v>
      </c>
      <c r="L67" s="13" t="n">
        <f aca="false">IF(C67="",L66,IF(J67&lt;0,L66+1,0))</f>
        <v>6</v>
      </c>
      <c r="M67" s="14" t="n">
        <v>-116.8</v>
      </c>
      <c r="N67" s="9" t="n">
        <v>-13601.84</v>
      </c>
      <c r="O67" s="9" t="n">
        <v>24420.2</v>
      </c>
    </row>
    <row r="68" customFormat="false" ht="15" hidden="false" customHeight="false" outlineLevel="0" collapsed="false">
      <c r="A68" s="6" t="n">
        <v>63</v>
      </c>
      <c r="B68" s="5" t="s">
        <v>74</v>
      </c>
      <c r="C68" s="5" t="s">
        <v>809</v>
      </c>
      <c r="D68" s="5" t="s">
        <v>479</v>
      </c>
      <c r="E68" s="5" t="s">
        <v>77</v>
      </c>
      <c r="F68" s="11" t="n">
        <v>30719.25</v>
      </c>
      <c r="G68" s="12" t="n">
        <v>2.9977</v>
      </c>
      <c r="H68" s="12" t="n">
        <v>3.5684</v>
      </c>
      <c r="I68" s="5" t="s">
        <v>78</v>
      </c>
      <c r="J68" s="8" t="n">
        <v>0.40672</v>
      </c>
      <c r="K68" s="13" t="str">
        <f aca="false">IF(J68&gt;0,"прибыль",IF(J68&lt;0,"убыток","ноль"))</f>
        <v>прибыль</v>
      </c>
      <c r="L68" s="13" t="n">
        <f aca="false">IF(C68="",L67,IF(J68&lt;0,L67+1,0))</f>
        <v>0</v>
      </c>
      <c r="M68" s="14" t="n">
        <v>406.72</v>
      </c>
      <c r="N68" s="9" t="n">
        <v>12494.03</v>
      </c>
      <c r="O68" s="9" t="n">
        <v>36914.23</v>
      </c>
    </row>
    <row r="69" customFormat="false" ht="15" hidden="false" customHeight="false" outlineLevel="0" collapsed="false">
      <c r="A69" s="6" t="n">
        <v>64</v>
      </c>
      <c r="B69" s="5" t="s">
        <v>74</v>
      </c>
      <c r="C69" s="5" t="s">
        <v>479</v>
      </c>
      <c r="D69" s="5" t="s">
        <v>1191</v>
      </c>
      <c r="E69" s="5" t="s">
        <v>77</v>
      </c>
      <c r="F69" s="11" t="n">
        <v>82958.69</v>
      </c>
      <c r="G69" s="12" t="n">
        <v>3.1609</v>
      </c>
      <c r="H69" s="12" t="n">
        <v>3.4805</v>
      </c>
      <c r="J69" s="8" t="n">
        <v>0.31934</v>
      </c>
      <c r="K69" s="13" t="str">
        <f aca="false">IF(J69&gt;0,"прибыль",IF(J69&lt;0,"убыток","ноль"))</f>
        <v>прибыль</v>
      </c>
      <c r="L69" s="13" t="n">
        <f aca="false">IF(C69="",L68,IF(J69&lt;0,L68+1,0))</f>
        <v>0</v>
      </c>
      <c r="M69" s="14" t="n">
        <v>319.34</v>
      </c>
      <c r="N69" s="9" t="n">
        <v>26492.37</v>
      </c>
      <c r="O69" s="9" t="n">
        <v>63406.61</v>
      </c>
    </row>
    <row r="70" customFormat="false" ht="15" hidden="false" customHeight="false" outlineLevel="0" collapsed="false">
      <c r="A70" s="6" t="n">
        <v>65</v>
      </c>
      <c r="B70" s="5" t="s">
        <v>74</v>
      </c>
      <c r="C70" s="5" t="s">
        <v>1192</v>
      </c>
      <c r="D70" s="5" t="s">
        <v>813</v>
      </c>
      <c r="E70" s="5" t="s">
        <v>77</v>
      </c>
      <c r="F70" s="11" t="n">
        <v>90370.57</v>
      </c>
      <c r="G70" s="12" t="n">
        <v>3.5342</v>
      </c>
      <c r="H70" s="12" t="n">
        <v>3.3212</v>
      </c>
      <c r="J70" s="8" t="n">
        <v>-0.21329</v>
      </c>
      <c r="K70" s="13" t="str">
        <f aca="false">IF(J70&gt;0,"прибыль",IF(J70&lt;0,"убыток","ноль"))</f>
        <v>убыток</v>
      </c>
      <c r="L70" s="13" t="n">
        <f aca="false">IF(C70="",L69,IF(J70&lt;0,L69+1,0))</f>
        <v>1</v>
      </c>
      <c r="M70" s="14" t="n">
        <v>-213.29</v>
      </c>
      <c r="N70" s="9" t="n">
        <v>-19275.19</v>
      </c>
      <c r="O70" s="9" t="n">
        <v>44131.42</v>
      </c>
    </row>
    <row r="71" customFormat="false" ht="15" hidden="false" customHeight="false" outlineLevel="0" collapsed="false">
      <c r="A71" s="6" t="n">
        <v>66</v>
      </c>
      <c r="B71" s="5" t="s">
        <v>74</v>
      </c>
      <c r="C71" s="5" t="s">
        <v>352</v>
      </c>
      <c r="D71" s="5" t="s">
        <v>481</v>
      </c>
      <c r="E71" s="5" t="s">
        <v>77</v>
      </c>
      <c r="F71" s="11" t="n">
        <v>96874.08</v>
      </c>
      <c r="G71" s="12" t="n">
        <v>3.2557</v>
      </c>
      <c r="H71" s="12" t="n">
        <v>3.1375</v>
      </c>
      <c r="J71" s="8" t="n">
        <v>-0.11856</v>
      </c>
      <c r="K71" s="13" t="str">
        <f aca="false">IF(J71&gt;0,"прибыль",IF(J71&lt;0,"убыток","ноль"))</f>
        <v>убыток</v>
      </c>
      <c r="L71" s="13" t="n">
        <f aca="false">IF(C71="",L70,IF(J71&lt;0,L70+1,0))</f>
        <v>2</v>
      </c>
      <c r="M71" s="14" t="n">
        <v>-118.56</v>
      </c>
      <c r="N71" s="9" t="n">
        <v>-11485.22</v>
      </c>
      <c r="O71" s="9" t="n">
        <v>32646.2</v>
      </c>
    </row>
    <row r="72" customFormat="false" ht="15" hidden="false" customHeight="false" outlineLevel="0" collapsed="false">
      <c r="A72" s="6" t="n">
        <v>67</v>
      </c>
      <c r="B72" s="5" t="s">
        <v>74</v>
      </c>
      <c r="C72" s="5" t="s">
        <v>482</v>
      </c>
      <c r="D72" s="5" t="s">
        <v>485</v>
      </c>
      <c r="E72" s="5" t="s">
        <v>77</v>
      </c>
      <c r="F72" s="11" t="n">
        <v>102808.51</v>
      </c>
      <c r="G72" s="12" t="n">
        <v>3.1995</v>
      </c>
      <c r="H72" s="12" t="n">
        <v>3.0145</v>
      </c>
      <c r="J72" s="8" t="n">
        <v>-0.18533</v>
      </c>
      <c r="K72" s="13" t="str">
        <f aca="false">IF(J72&gt;0,"прибыль",IF(J72&lt;0,"убыток","ноль"))</f>
        <v>убыток</v>
      </c>
      <c r="L72" s="13" t="n">
        <f aca="false">IF(C72="",L71,IF(J72&lt;0,L71+1,0))</f>
        <v>3</v>
      </c>
      <c r="M72" s="14" t="n">
        <v>-185.33</v>
      </c>
      <c r="N72" s="9" t="n">
        <v>-19053.63</v>
      </c>
      <c r="O72" s="9" t="n">
        <v>13592.57</v>
      </c>
    </row>
    <row r="73" customFormat="false" ht="15" hidden="false" customHeight="false" outlineLevel="0" collapsed="false">
      <c r="A73" s="6" t="n">
        <v>68</v>
      </c>
      <c r="B73" s="5" t="s">
        <v>74</v>
      </c>
      <c r="C73" s="5" t="s">
        <v>356</v>
      </c>
      <c r="D73" s="5" t="s">
        <v>817</v>
      </c>
      <c r="E73" s="5" t="s">
        <v>77</v>
      </c>
      <c r="F73" s="11" t="n">
        <v>74034.55</v>
      </c>
      <c r="G73" s="12" t="n">
        <v>3.1568</v>
      </c>
      <c r="H73" s="12" t="n">
        <v>3.0795</v>
      </c>
      <c r="J73" s="8" t="n">
        <v>-0.07755</v>
      </c>
      <c r="K73" s="13" t="str">
        <f aca="false">IF(J73&gt;0,"прибыль",IF(J73&lt;0,"убыток","ноль"))</f>
        <v>убыток</v>
      </c>
      <c r="L73" s="13" t="n">
        <f aca="false">IF(C73="",L72,IF(J73&lt;0,L72+1,0))</f>
        <v>4</v>
      </c>
      <c r="M73" s="14" t="n">
        <v>-77.55</v>
      </c>
      <c r="N73" s="9" t="n">
        <v>-5741.5</v>
      </c>
      <c r="O73" s="9" t="n">
        <v>7851.07</v>
      </c>
    </row>
    <row r="74" customFormat="false" ht="15" hidden="false" customHeight="false" outlineLevel="0" collapsed="false">
      <c r="A74" s="6" t="n">
        <v>69</v>
      </c>
      <c r="B74" s="5" t="s">
        <v>288</v>
      </c>
      <c r="C74" s="5" t="s">
        <v>1193</v>
      </c>
      <c r="D74" s="5" t="s">
        <v>747</v>
      </c>
      <c r="E74" s="5" t="s">
        <v>77</v>
      </c>
      <c r="F74" s="11" t="n">
        <v>24655.39</v>
      </c>
      <c r="G74" s="12" t="n">
        <v>2.4141</v>
      </c>
      <c r="H74" s="12" t="n">
        <v>2.7985</v>
      </c>
      <c r="J74" s="8" t="n">
        <v>0.38378</v>
      </c>
      <c r="K74" s="13" t="str">
        <f aca="false">IF(J74&gt;0,"прибыль",IF(J74&lt;0,"убыток","ноль"))</f>
        <v>прибыль</v>
      </c>
      <c r="L74" s="13" t="n">
        <f aca="false">IF(C74="",L73,IF(J74&lt;0,L73+1,0))</f>
        <v>0</v>
      </c>
      <c r="M74" s="14" t="n">
        <v>383.78</v>
      </c>
      <c r="N74" s="9" t="n">
        <v>9462.2</v>
      </c>
      <c r="O74" s="9" t="n">
        <v>17313.27</v>
      </c>
    </row>
    <row r="75" customFormat="false" ht="15" hidden="false" customHeight="false" outlineLevel="0" collapsed="false">
      <c r="A75" s="6" t="n">
        <v>70</v>
      </c>
      <c r="B75" s="5" t="s">
        <v>288</v>
      </c>
      <c r="C75" s="5" t="s">
        <v>747</v>
      </c>
      <c r="D75" s="5" t="s">
        <v>693</v>
      </c>
      <c r="E75" s="5" t="s">
        <v>77</v>
      </c>
      <c r="F75" s="11" t="n">
        <v>100419.03</v>
      </c>
      <c r="G75" s="12" t="n">
        <v>2.4709</v>
      </c>
      <c r="H75" s="12" t="n">
        <v>2.5618</v>
      </c>
      <c r="I75" s="5" t="s">
        <v>78</v>
      </c>
      <c r="J75" s="8" t="n">
        <v>0.02403</v>
      </c>
      <c r="K75" s="13" t="str">
        <f aca="false">IF(J75&gt;0,"прибыль",IF(J75&lt;0,"убыток","ноль"))</f>
        <v>прибыль</v>
      </c>
      <c r="L75" s="13" t="n">
        <f aca="false">IF(C75="",L74,IF(J75&lt;0,L74+1,0))</f>
        <v>0</v>
      </c>
      <c r="M75" s="14" t="n">
        <v>24.03</v>
      </c>
      <c r="N75" s="9" t="n">
        <v>2413.15</v>
      </c>
      <c r="O75" s="9" t="n">
        <v>19726.43</v>
      </c>
    </row>
    <row r="76" customFormat="false" ht="15" hidden="false" customHeight="false" outlineLevel="0" collapsed="false">
      <c r="A76" s="6" t="n">
        <v>71</v>
      </c>
      <c r="B76" s="5" t="s">
        <v>288</v>
      </c>
      <c r="C76" s="5" t="s">
        <v>980</v>
      </c>
      <c r="D76" s="5" t="s">
        <v>494</v>
      </c>
      <c r="E76" s="5" t="s">
        <v>77</v>
      </c>
      <c r="F76" s="11" t="n">
        <v>20337.31</v>
      </c>
      <c r="G76" s="12" t="n">
        <v>2.7556</v>
      </c>
      <c r="H76" s="12" t="n">
        <v>3.0283</v>
      </c>
      <c r="J76" s="8" t="n">
        <v>0.27187</v>
      </c>
      <c r="K76" s="13" t="str">
        <f aca="false">IF(J76&gt;0,"прибыль",IF(J76&lt;0,"убыток","ноль"))</f>
        <v>прибыль</v>
      </c>
      <c r="L76" s="13" t="n">
        <f aca="false">IF(C76="",L75,IF(J76&lt;0,L75+1,0))</f>
        <v>0</v>
      </c>
      <c r="M76" s="14" t="n">
        <v>271.87</v>
      </c>
      <c r="N76" s="9" t="n">
        <v>5529.21</v>
      </c>
      <c r="O76" s="9" t="n">
        <v>25255.63</v>
      </c>
    </row>
    <row r="77" customFormat="false" ht="15" hidden="false" customHeight="false" outlineLevel="0" collapsed="false">
      <c r="A77" s="6" t="n">
        <v>72</v>
      </c>
      <c r="B77" s="5" t="s">
        <v>288</v>
      </c>
      <c r="C77" s="5" t="s">
        <v>494</v>
      </c>
      <c r="D77" s="5" t="s">
        <v>1194</v>
      </c>
      <c r="E77" s="5" t="s">
        <v>77</v>
      </c>
      <c r="F77" s="11" t="n">
        <v>143386.2</v>
      </c>
      <c r="G77" s="12" t="n">
        <v>2.5886</v>
      </c>
      <c r="H77" s="12" t="n">
        <v>2.0496</v>
      </c>
      <c r="I77" s="5" t="s">
        <v>78</v>
      </c>
      <c r="J77" s="8" t="n">
        <v>-0.54479</v>
      </c>
      <c r="K77" s="13" t="str">
        <f aca="false">IF(J77&gt;0,"прибыль",IF(J77&lt;0,"убыток","ноль"))</f>
        <v>убыток</v>
      </c>
      <c r="L77" s="13" t="n">
        <f aca="false">IF(C77="",L76,IF(J77&lt;0,L76+1,0))</f>
        <v>1</v>
      </c>
      <c r="M77" s="14" t="n">
        <v>-544.79</v>
      </c>
      <c r="N77" s="9" t="n">
        <v>-78115.51</v>
      </c>
      <c r="O77" s="9" t="n">
        <v>-52859.88</v>
      </c>
    </row>
    <row r="78" customFormat="false" ht="15" hidden="false" customHeight="false" outlineLevel="0" collapsed="false">
      <c r="A78" s="6" t="n">
        <v>73</v>
      </c>
      <c r="B78" s="5" t="s">
        <v>288</v>
      </c>
      <c r="C78" s="5" t="s">
        <v>607</v>
      </c>
      <c r="D78" s="5" t="s">
        <v>1120</v>
      </c>
      <c r="E78" s="5" t="s">
        <v>77</v>
      </c>
      <c r="F78" s="11" t="n">
        <v>159487.59</v>
      </c>
      <c r="G78" s="12" t="n">
        <v>2.1656</v>
      </c>
      <c r="H78" s="12" t="n">
        <v>2.0553</v>
      </c>
      <c r="J78" s="8" t="n">
        <v>-0.11045</v>
      </c>
      <c r="K78" s="13" t="str">
        <f aca="false">IF(J78&gt;0,"прибыль",IF(J78&lt;0,"убыток","ноль"))</f>
        <v>убыток</v>
      </c>
      <c r="L78" s="13" t="n">
        <f aca="false">IF(C78="",L77,IF(J78&lt;0,L77+1,0))</f>
        <v>2</v>
      </c>
      <c r="M78" s="14" t="n">
        <v>-110.45</v>
      </c>
      <c r="N78" s="9" t="n">
        <v>-17615.5</v>
      </c>
      <c r="O78" s="9" t="n">
        <v>-70475.37</v>
      </c>
    </row>
    <row r="79" customFormat="false" ht="15" hidden="false" customHeight="false" outlineLevel="0" collapsed="false">
      <c r="A79" s="6" t="n">
        <v>74</v>
      </c>
      <c r="B79" s="5" t="s">
        <v>288</v>
      </c>
      <c r="C79" s="5" t="s">
        <v>751</v>
      </c>
      <c r="D79" s="5" t="s">
        <v>1195</v>
      </c>
      <c r="E79" s="5" t="s">
        <v>77</v>
      </c>
      <c r="F79" s="11" t="n">
        <v>90179.24</v>
      </c>
      <c r="G79" s="12" t="n">
        <v>2.8989</v>
      </c>
      <c r="H79" s="12" t="n">
        <v>2.9011</v>
      </c>
      <c r="J79" s="8" t="n">
        <v>0.00186</v>
      </c>
      <c r="K79" s="13" t="str">
        <f aca="false">IF(J79&gt;0,"прибыль",IF(J79&lt;0,"убыток","ноль"))</f>
        <v>прибыль</v>
      </c>
      <c r="L79" s="13" t="n">
        <f aca="false">IF(C79="",L78,IF(J79&lt;0,L78+1,0))</f>
        <v>0</v>
      </c>
      <c r="M79" s="14" t="n">
        <v>1.86</v>
      </c>
      <c r="N79" s="9" t="n">
        <v>167.64</v>
      </c>
      <c r="O79" s="9" t="n">
        <v>-70307.73</v>
      </c>
    </row>
    <row r="80" customFormat="false" ht="15" hidden="false" customHeight="false" outlineLevel="0" collapsed="false">
      <c r="A80" s="6" t="n">
        <v>75</v>
      </c>
      <c r="B80" s="5" t="s">
        <v>288</v>
      </c>
      <c r="C80" s="5" t="s">
        <v>1196</v>
      </c>
      <c r="D80" s="5" t="s">
        <v>1197</v>
      </c>
      <c r="E80" s="5" t="s">
        <v>77</v>
      </c>
      <c r="F80" s="11" t="n">
        <v>89958.45</v>
      </c>
      <c r="G80" s="12" t="n">
        <v>2.929</v>
      </c>
      <c r="H80" s="12" t="n">
        <v>2.8252</v>
      </c>
      <c r="J80" s="8" t="n">
        <v>-0.10405</v>
      </c>
      <c r="K80" s="13" t="str">
        <f aca="false">IF(J80&gt;0,"прибыль",IF(J80&lt;0,"убыток","ноль"))</f>
        <v>убыток</v>
      </c>
      <c r="L80" s="13" t="n">
        <f aca="false">IF(C80="",L79,IF(J80&lt;0,L79+1,0))</f>
        <v>1</v>
      </c>
      <c r="M80" s="14" t="n">
        <v>-104.05</v>
      </c>
      <c r="N80" s="9" t="n">
        <v>-9360.52</v>
      </c>
      <c r="O80" s="9" t="n">
        <v>-79668.26</v>
      </c>
    </row>
    <row r="81" customFormat="false" ht="15" hidden="false" customHeight="false" outlineLevel="0" collapsed="false">
      <c r="A81" s="6" t="n">
        <v>76</v>
      </c>
      <c r="B81" s="5" t="s">
        <v>288</v>
      </c>
      <c r="C81" s="5" t="s">
        <v>696</v>
      </c>
      <c r="D81" s="5" t="s">
        <v>1198</v>
      </c>
      <c r="E81" s="5" t="s">
        <v>77</v>
      </c>
      <c r="F81" s="11" t="n">
        <v>102759.76</v>
      </c>
      <c r="G81" s="12" t="n">
        <v>2.7693</v>
      </c>
      <c r="H81" s="12" t="n">
        <v>2.4781</v>
      </c>
      <c r="J81" s="8" t="n">
        <v>-0.29144</v>
      </c>
      <c r="K81" s="13" t="str">
        <f aca="false">IF(J81&gt;0,"прибыль",IF(J81&lt;0,"убыток","ноль"))</f>
        <v>убыток</v>
      </c>
      <c r="L81" s="13" t="n">
        <f aca="false">IF(C81="",L80,IF(J81&lt;0,L80+1,0))</f>
        <v>2</v>
      </c>
      <c r="M81" s="14" t="n">
        <v>-291.44</v>
      </c>
      <c r="N81" s="9" t="n">
        <v>-29948.59</v>
      </c>
      <c r="O81" s="9" t="n">
        <v>-109616.85</v>
      </c>
    </row>
    <row r="82" customFormat="false" ht="15" hidden="false" customHeight="false" outlineLevel="0" collapsed="false">
      <c r="A82" s="6" t="n">
        <v>77</v>
      </c>
      <c r="B82" s="5" t="s">
        <v>288</v>
      </c>
      <c r="C82" s="5" t="s">
        <v>821</v>
      </c>
      <c r="D82" s="5" t="s">
        <v>697</v>
      </c>
      <c r="E82" s="5" t="s">
        <v>77</v>
      </c>
      <c r="F82" s="11" t="n">
        <v>107924.06</v>
      </c>
      <c r="G82" s="12" t="n">
        <v>2.536</v>
      </c>
      <c r="H82" s="12" t="n">
        <v>2.3032</v>
      </c>
      <c r="J82" s="8" t="n">
        <v>-0.233</v>
      </c>
      <c r="K82" s="13" t="str">
        <f aca="false">IF(J82&gt;0,"прибыль",IF(J82&lt;0,"убыток","ноль"))</f>
        <v>убыток</v>
      </c>
      <c r="L82" s="13" t="n">
        <f aca="false">IF(C82="",L81,IF(J82&lt;0,L81+1,0))</f>
        <v>3</v>
      </c>
      <c r="M82" s="14" t="n">
        <v>-233</v>
      </c>
      <c r="N82" s="9" t="n">
        <v>-25145.83</v>
      </c>
      <c r="O82" s="9" t="n">
        <v>-134762.68</v>
      </c>
    </row>
    <row r="83" customFormat="false" ht="15" hidden="false" customHeight="false" outlineLevel="0" collapsed="false">
      <c r="A83" s="6" t="n">
        <v>78</v>
      </c>
      <c r="B83" s="5" t="s">
        <v>288</v>
      </c>
      <c r="C83" s="5" t="s">
        <v>822</v>
      </c>
      <c r="D83" s="5" t="s">
        <v>1199</v>
      </c>
      <c r="E83" s="5" t="s">
        <v>77</v>
      </c>
      <c r="F83" s="11" t="n">
        <v>71102.99</v>
      </c>
      <c r="G83" s="12" t="n">
        <v>2.9754</v>
      </c>
      <c r="H83" s="12" t="n">
        <v>3.0645</v>
      </c>
      <c r="I83" s="5" t="s">
        <v>78</v>
      </c>
      <c r="J83" s="8" t="n">
        <v>0.09327</v>
      </c>
      <c r="K83" s="13" t="str">
        <f aca="false">IF(J83&gt;0,"прибыль",IF(J83&lt;0,"убыток","ноль"))</f>
        <v>прибыль</v>
      </c>
      <c r="L83" s="13" t="n">
        <f aca="false">IF(C83="",L82,IF(J83&lt;0,L82+1,0))</f>
        <v>0</v>
      </c>
      <c r="M83" s="14" t="n">
        <v>93.27</v>
      </c>
      <c r="N83" s="9" t="n">
        <v>6631.69</v>
      </c>
      <c r="O83" s="9" t="n">
        <v>-128131</v>
      </c>
    </row>
    <row r="84" customFormat="false" ht="15" hidden="false" customHeight="false" outlineLevel="0" collapsed="false">
      <c r="A84" s="6" t="n">
        <v>79</v>
      </c>
      <c r="B84" s="5" t="s">
        <v>288</v>
      </c>
      <c r="C84" s="5" t="s">
        <v>981</v>
      </c>
      <c r="D84" s="5" t="s">
        <v>824</v>
      </c>
      <c r="E84" s="5" t="s">
        <v>77</v>
      </c>
      <c r="F84" s="11" t="n">
        <v>60245.61</v>
      </c>
      <c r="G84" s="12" t="n">
        <v>3.2339</v>
      </c>
      <c r="H84" s="12" t="n">
        <v>3.2321</v>
      </c>
      <c r="J84" s="8" t="n">
        <v>-0.00208</v>
      </c>
      <c r="K84" s="13" t="str">
        <f aca="false">IF(J84&gt;0,"прибыль",IF(J84&lt;0,"убыток","ноль"))</f>
        <v>убыток</v>
      </c>
      <c r="L84" s="13" t="n">
        <f aca="false">IF(C84="",L83,IF(J84&lt;0,L83+1,0))</f>
        <v>1</v>
      </c>
      <c r="M84" s="14" t="n">
        <v>-2.08</v>
      </c>
      <c r="N84" s="9" t="n">
        <v>-125.14</v>
      </c>
      <c r="O84" s="9" t="n">
        <v>-128256.13</v>
      </c>
    </row>
    <row r="85" customFormat="false" ht="15" hidden="false" customHeight="false" outlineLevel="0" collapsed="false">
      <c r="A85" s="6" t="n">
        <v>80</v>
      </c>
      <c r="B85" s="5" t="s">
        <v>288</v>
      </c>
      <c r="C85" s="5" t="s">
        <v>375</v>
      </c>
      <c r="D85" s="5" t="s">
        <v>376</v>
      </c>
      <c r="E85" s="5" t="s">
        <v>77</v>
      </c>
      <c r="F85" s="11" t="n">
        <v>62487.51</v>
      </c>
      <c r="G85" s="12" t="n">
        <v>3.3513</v>
      </c>
      <c r="H85" s="12" t="n">
        <v>3.459</v>
      </c>
      <c r="J85" s="8" t="n">
        <v>0.10736</v>
      </c>
      <c r="K85" s="13" t="str">
        <f aca="false">IF(J85&gt;0,"прибыль",IF(J85&lt;0,"убыток","ноль"))</f>
        <v>прибыль</v>
      </c>
      <c r="L85" s="13" t="n">
        <f aca="false">IF(C85="",L84,IF(J85&lt;0,L84+1,0))</f>
        <v>0</v>
      </c>
      <c r="M85" s="14" t="n">
        <v>107.36</v>
      </c>
      <c r="N85" s="9" t="n">
        <v>6708.77</v>
      </c>
      <c r="O85" s="9" t="n">
        <v>-121547.36</v>
      </c>
    </row>
    <row r="86" customFormat="false" ht="15" hidden="false" customHeight="false" outlineLevel="0" collapsed="false">
      <c r="A86" s="6" t="n">
        <v>81</v>
      </c>
      <c r="B86" s="5" t="s">
        <v>288</v>
      </c>
      <c r="C86" s="5" t="s">
        <v>1200</v>
      </c>
      <c r="D86" s="5" t="s">
        <v>1128</v>
      </c>
      <c r="E86" s="5" t="s">
        <v>77</v>
      </c>
      <c r="F86" s="11" t="n">
        <v>61126.08</v>
      </c>
      <c r="G86" s="12" t="n">
        <v>3.6276</v>
      </c>
      <c r="H86" s="12" t="n">
        <v>3.7063</v>
      </c>
      <c r="J86" s="8" t="n">
        <v>0.07835</v>
      </c>
      <c r="K86" s="13" t="str">
        <f aca="false">IF(J86&gt;0,"прибыль",IF(J86&lt;0,"убыток","ноль"))</f>
        <v>прибыль</v>
      </c>
      <c r="L86" s="13" t="n">
        <f aca="false">IF(C86="",L85,IF(J86&lt;0,L85+1,0))</f>
        <v>0</v>
      </c>
      <c r="M86" s="14" t="n">
        <v>78.35</v>
      </c>
      <c r="N86" s="9" t="n">
        <v>4789.28</v>
      </c>
      <c r="O86" s="9" t="n">
        <v>-116758.08</v>
      </c>
    </row>
    <row r="87" customFormat="false" ht="15" hidden="false" customHeight="false" outlineLevel="0" collapsed="false">
      <c r="A87" s="6" t="n">
        <v>82</v>
      </c>
      <c r="B87" s="5" t="s">
        <v>288</v>
      </c>
      <c r="C87" s="5" t="s">
        <v>1201</v>
      </c>
      <c r="D87" s="5" t="s">
        <v>378</v>
      </c>
      <c r="E87" s="5" t="s">
        <v>77</v>
      </c>
      <c r="F87" s="11" t="n">
        <v>14896.29</v>
      </c>
      <c r="G87" s="12" t="n">
        <v>3.4029</v>
      </c>
      <c r="H87" s="12" t="n">
        <v>3.6566</v>
      </c>
      <c r="J87" s="8" t="n">
        <v>0.2527</v>
      </c>
      <c r="K87" s="13" t="str">
        <f aca="false">IF(J87&gt;0,"прибыль",IF(J87&lt;0,"убыток","ноль"))</f>
        <v>прибыль</v>
      </c>
      <c r="L87" s="13" t="n">
        <f aca="false">IF(C87="",L86,IF(J87&lt;0,L86+1,0))</f>
        <v>0</v>
      </c>
      <c r="M87" s="14" t="n">
        <v>252.7</v>
      </c>
      <c r="N87" s="9" t="n">
        <v>3764.26</v>
      </c>
      <c r="O87" s="9" t="n">
        <v>-112993.82</v>
      </c>
    </row>
    <row r="88" customFormat="false" ht="15" hidden="false" customHeight="false" outlineLevel="0" collapsed="false">
      <c r="A88" s="6" t="n">
        <v>83</v>
      </c>
      <c r="B88" s="5" t="s">
        <v>288</v>
      </c>
      <c r="C88" s="5" t="s">
        <v>378</v>
      </c>
      <c r="D88" s="5" t="s">
        <v>515</v>
      </c>
      <c r="E88" s="5" t="s">
        <v>77</v>
      </c>
      <c r="F88" s="11" t="n">
        <v>10722.28</v>
      </c>
      <c r="G88" s="12" t="n">
        <v>3.4029</v>
      </c>
      <c r="H88" s="12" t="n">
        <v>3.598</v>
      </c>
      <c r="J88" s="8" t="n">
        <v>0.19489</v>
      </c>
      <c r="K88" s="13" t="str">
        <f aca="false">IF(J88&gt;0,"прибыль",IF(J88&lt;0,"убыток","ноль"))</f>
        <v>прибыль</v>
      </c>
      <c r="L88" s="13" t="n">
        <f aca="false">IF(C88="",L87,IF(J88&lt;0,L87+1,0))</f>
        <v>0</v>
      </c>
      <c r="M88" s="14" t="n">
        <v>194.89</v>
      </c>
      <c r="N88" s="9" t="n">
        <v>2089.68</v>
      </c>
      <c r="O88" s="9" t="n">
        <v>-110904.15</v>
      </c>
    </row>
    <row r="89" customFormat="false" ht="15" hidden="false" customHeight="false" outlineLevel="0" collapsed="false">
      <c r="A89" s="6" t="n">
        <v>84</v>
      </c>
      <c r="B89" s="5" t="s">
        <v>288</v>
      </c>
      <c r="C89" s="5" t="s">
        <v>515</v>
      </c>
      <c r="D89" s="5" t="s">
        <v>516</v>
      </c>
      <c r="E89" s="5" t="s">
        <v>77</v>
      </c>
      <c r="F89" s="11" t="n">
        <v>10814.88</v>
      </c>
      <c r="G89" s="12" t="n">
        <v>3.4299</v>
      </c>
      <c r="H89" s="12" t="n">
        <v>4.352</v>
      </c>
      <c r="I89" s="5" t="s">
        <v>78</v>
      </c>
      <c r="J89" s="8" t="n">
        <v>1.16783</v>
      </c>
      <c r="K89" s="13" t="str">
        <f aca="false">IF(J89&gt;0,"прибыль",IF(J89&lt;0,"убыток","ноль"))</f>
        <v>прибыль</v>
      </c>
      <c r="L89" s="13" t="n">
        <f aca="false">IF(C89="",L88,IF(J89&lt;0,L88+1,0))</f>
        <v>0</v>
      </c>
      <c r="M89" s="14" t="n">
        <v>1167.83</v>
      </c>
      <c r="N89" s="9" t="n">
        <v>12629.94</v>
      </c>
      <c r="O89" s="9" t="n">
        <v>-98274.2</v>
      </c>
    </row>
    <row r="90" customFormat="false" ht="15" hidden="false" customHeight="false" outlineLevel="0" collapsed="false">
      <c r="A90" s="6" t="n">
        <v>85</v>
      </c>
      <c r="B90" s="5" t="s">
        <v>288</v>
      </c>
      <c r="C90" s="5" t="s">
        <v>516</v>
      </c>
      <c r="D90" s="5" t="s">
        <v>1202</v>
      </c>
      <c r="E90" s="5" t="s">
        <v>77</v>
      </c>
      <c r="F90" s="11" t="n">
        <v>44963.03</v>
      </c>
      <c r="G90" s="12" t="n">
        <v>3.1838</v>
      </c>
      <c r="H90" s="12" t="n">
        <v>4.1786</v>
      </c>
      <c r="I90" s="5" t="s">
        <v>78</v>
      </c>
      <c r="J90" s="8" t="n">
        <v>1.14412</v>
      </c>
      <c r="K90" s="13" t="str">
        <f aca="false">IF(J90&gt;0,"прибыль",IF(J90&lt;0,"убыток","ноль"))</f>
        <v>прибыль</v>
      </c>
      <c r="L90" s="13" t="n">
        <f aca="false">IF(C90="",L89,IF(J90&lt;0,L89+1,0))</f>
        <v>0</v>
      </c>
      <c r="M90" s="14" t="n">
        <v>1144.12</v>
      </c>
      <c r="N90" s="9" t="n">
        <v>51443.22</v>
      </c>
      <c r="O90" s="9" t="n">
        <v>-46830.98</v>
      </c>
    </row>
    <row r="91" customFormat="false" ht="15" hidden="false" customHeight="false" outlineLevel="0" collapsed="false">
      <c r="A91" s="6" t="n">
        <v>86</v>
      </c>
      <c r="B91" s="5" t="s">
        <v>288</v>
      </c>
      <c r="C91" s="5" t="s">
        <v>1134</v>
      </c>
      <c r="D91" s="5" t="s">
        <v>965</v>
      </c>
      <c r="E91" s="5" t="s">
        <v>77</v>
      </c>
      <c r="F91" s="11" t="n">
        <v>58235.48</v>
      </c>
      <c r="G91" s="12" t="n">
        <v>3.9289</v>
      </c>
      <c r="H91" s="12" t="n">
        <v>4.1603</v>
      </c>
      <c r="I91" s="5" t="s">
        <v>78</v>
      </c>
      <c r="J91" s="8" t="n">
        <v>0.18017</v>
      </c>
      <c r="K91" s="13" t="str">
        <f aca="false">IF(J91&gt;0,"прибыль",IF(J91&lt;0,"убыток","ноль"))</f>
        <v>прибыль</v>
      </c>
      <c r="L91" s="13" t="n">
        <f aca="false">IF(C91="",L90,IF(J91&lt;0,L90+1,0))</f>
        <v>0</v>
      </c>
      <c r="M91" s="14" t="n">
        <v>180.17</v>
      </c>
      <c r="N91" s="9" t="n">
        <v>10492.33</v>
      </c>
      <c r="O91" s="9" t="n">
        <v>-36338.65</v>
      </c>
    </row>
    <row r="92" customFormat="false" ht="15" hidden="false" customHeight="false" outlineLevel="0" collapsed="false">
      <c r="A92" s="6" t="n">
        <v>87</v>
      </c>
      <c r="B92" s="5" t="s">
        <v>288</v>
      </c>
      <c r="C92" s="5" t="s">
        <v>1203</v>
      </c>
      <c r="D92" s="5" t="s">
        <v>1204</v>
      </c>
      <c r="E92" s="5" t="s">
        <v>77</v>
      </c>
      <c r="F92" s="11" t="n">
        <v>77480.58</v>
      </c>
      <c r="G92" s="12" t="n">
        <v>3.9621</v>
      </c>
      <c r="H92" s="12" t="n">
        <v>3.499</v>
      </c>
      <c r="J92" s="8" t="n">
        <v>-0.46347</v>
      </c>
      <c r="K92" s="13" t="str">
        <f aca="false">IF(J92&gt;0,"прибыль",IF(J92&lt;0,"убыток","ноль"))</f>
        <v>убыток</v>
      </c>
      <c r="L92" s="13" t="n">
        <f aca="false">IF(C92="",L91,IF(J92&lt;0,L91+1,0))</f>
        <v>1</v>
      </c>
      <c r="M92" s="14" t="n">
        <v>-463.47</v>
      </c>
      <c r="N92" s="9" t="n">
        <v>-35909.56</v>
      </c>
      <c r="O92" s="9" t="n">
        <v>-72248.21</v>
      </c>
    </row>
    <row r="93" customFormat="false" ht="15" hidden="false" customHeight="false" outlineLevel="0" collapsed="false">
      <c r="A93" s="6" t="n">
        <v>88</v>
      </c>
      <c r="B93" s="5" t="s">
        <v>288</v>
      </c>
      <c r="C93" s="5" t="s">
        <v>385</v>
      </c>
      <c r="D93" s="5" t="s">
        <v>1205</v>
      </c>
      <c r="E93" s="5" t="s">
        <v>77</v>
      </c>
      <c r="F93" s="11" t="n">
        <v>68057.54</v>
      </c>
      <c r="G93" s="12" t="n">
        <v>3.7178</v>
      </c>
      <c r="H93" s="12" t="n">
        <v>3.5501</v>
      </c>
      <c r="J93" s="8" t="n">
        <v>-0.16801</v>
      </c>
      <c r="K93" s="13" t="str">
        <f aca="false">IF(J93&gt;0,"прибыль",IF(J93&lt;0,"убыток","ноль"))</f>
        <v>убыток</v>
      </c>
      <c r="L93" s="13" t="n">
        <f aca="false">IF(C93="",L92,IF(J93&lt;0,L92+1,0))</f>
        <v>2</v>
      </c>
      <c r="M93" s="14" t="n">
        <v>-168.01</v>
      </c>
      <c r="N93" s="9" t="n">
        <v>-11434.52</v>
      </c>
      <c r="O93" s="9" t="n">
        <v>-83682.73</v>
      </c>
    </row>
    <row r="94" customFormat="false" ht="15" hidden="false" customHeight="false" outlineLevel="0" collapsed="false">
      <c r="A94" s="6" t="n">
        <v>89</v>
      </c>
      <c r="B94" s="5" t="s">
        <v>288</v>
      </c>
      <c r="C94" s="5" t="s">
        <v>1206</v>
      </c>
      <c r="D94" s="5" t="s">
        <v>1207</v>
      </c>
      <c r="E94" s="5" t="s">
        <v>77</v>
      </c>
      <c r="F94" s="11" t="n">
        <v>68124.95</v>
      </c>
      <c r="G94" s="12" t="n">
        <v>3.5057</v>
      </c>
      <c r="H94" s="12" t="n">
        <v>3.3714</v>
      </c>
      <c r="J94" s="8" t="n">
        <v>-0.13467</v>
      </c>
      <c r="K94" s="13" t="str">
        <f aca="false">IF(J94&gt;0,"прибыль",IF(J94&lt;0,"убыток","ноль"))</f>
        <v>убыток</v>
      </c>
      <c r="L94" s="13" t="n">
        <f aca="false">IF(C94="",L93,IF(J94&lt;0,L93+1,0))</f>
        <v>3</v>
      </c>
      <c r="M94" s="14" t="n">
        <v>-134.67</v>
      </c>
      <c r="N94" s="9" t="n">
        <v>-9174.51</v>
      </c>
      <c r="O94" s="9" t="n">
        <v>-92857.24</v>
      </c>
    </row>
    <row r="95" customFormat="false" ht="15" hidden="false" customHeight="false" outlineLevel="0" collapsed="false">
      <c r="A95" s="6" t="n">
        <v>90</v>
      </c>
      <c r="B95" s="5" t="s">
        <v>288</v>
      </c>
      <c r="C95" s="5" t="s">
        <v>1208</v>
      </c>
      <c r="D95" s="5" t="s">
        <v>1209</v>
      </c>
      <c r="E95" s="5" t="s">
        <v>77</v>
      </c>
      <c r="F95" s="11" t="n">
        <v>117543.19</v>
      </c>
      <c r="G95" s="12" t="n">
        <v>3.5009</v>
      </c>
      <c r="H95" s="12" t="n">
        <v>3.315</v>
      </c>
      <c r="J95" s="8" t="n">
        <v>-0.18629</v>
      </c>
      <c r="K95" s="13" t="str">
        <f aca="false">IF(J95&gt;0,"прибыль",IF(J95&lt;0,"убыток","ноль"))</f>
        <v>убыток</v>
      </c>
      <c r="L95" s="13" t="n">
        <f aca="false">IF(C95="",L94,IF(J95&lt;0,L94+1,0))</f>
        <v>4</v>
      </c>
      <c r="M95" s="14" t="n">
        <v>-186.29</v>
      </c>
      <c r="N95" s="9" t="n">
        <v>-21897.38</v>
      </c>
      <c r="O95" s="9" t="n">
        <v>-114754.62</v>
      </c>
    </row>
    <row r="96" customFormat="false" ht="15" hidden="false" customHeight="false" outlineLevel="0" collapsed="false">
      <c r="A96" s="6" t="n">
        <v>91</v>
      </c>
      <c r="B96" s="5" t="s">
        <v>288</v>
      </c>
      <c r="C96" s="5" t="s">
        <v>530</v>
      </c>
      <c r="D96" s="5" t="s">
        <v>533</v>
      </c>
      <c r="E96" s="5" t="s">
        <v>77</v>
      </c>
      <c r="F96" s="11" t="n">
        <v>26534.69</v>
      </c>
      <c r="G96" s="12" t="n">
        <v>3.5272</v>
      </c>
      <c r="H96" s="12" t="n">
        <v>4.8374</v>
      </c>
      <c r="I96" s="5" t="s">
        <v>78</v>
      </c>
      <c r="J96" s="8" t="n">
        <v>0.83616</v>
      </c>
      <c r="K96" s="13" t="str">
        <f aca="false">IF(J96&gt;0,"прибыль",IF(J96&lt;0,"убыток","ноль"))</f>
        <v>прибыль</v>
      </c>
      <c r="L96" s="13" t="n">
        <f aca="false">IF(C96="",L95,IF(J96&lt;0,L95+1,0))</f>
        <v>0</v>
      </c>
      <c r="M96" s="14" t="n">
        <v>836.16</v>
      </c>
      <c r="N96" s="9" t="n">
        <v>22187.12</v>
      </c>
      <c r="O96" s="9" t="n">
        <v>-92567.51</v>
      </c>
    </row>
    <row r="97" customFormat="false" ht="15" hidden="false" customHeight="false" outlineLevel="0" collapsed="false">
      <c r="A97" s="6" t="n">
        <v>92</v>
      </c>
      <c r="B97" s="5" t="s">
        <v>288</v>
      </c>
      <c r="C97" s="5" t="s">
        <v>533</v>
      </c>
      <c r="D97" s="5" t="s">
        <v>536</v>
      </c>
      <c r="E97" s="5" t="s">
        <v>77</v>
      </c>
      <c r="F97" s="11" t="n">
        <v>19495.46</v>
      </c>
      <c r="G97" s="12" t="n">
        <v>4.0004</v>
      </c>
      <c r="H97" s="12" t="n">
        <v>4.3985</v>
      </c>
      <c r="J97" s="8" t="n">
        <v>0.39793</v>
      </c>
      <c r="K97" s="13" t="str">
        <f aca="false">IF(J97&gt;0,"прибыль",IF(J97&lt;0,"убыток","ноль"))</f>
        <v>прибыль</v>
      </c>
      <c r="L97" s="13" t="n">
        <f aca="false">IF(C97="",L96,IF(J97&lt;0,L96+1,0))</f>
        <v>0</v>
      </c>
      <c r="M97" s="14" t="n">
        <v>397.93</v>
      </c>
      <c r="N97" s="9" t="n">
        <v>7757.92</v>
      </c>
      <c r="O97" s="9" t="n">
        <v>-84809.59</v>
      </c>
    </row>
    <row r="98" customFormat="false" ht="15" hidden="false" customHeight="false" outlineLevel="0" collapsed="false">
      <c r="A98" s="6" t="n">
        <v>93</v>
      </c>
      <c r="B98" s="5" t="s">
        <v>288</v>
      </c>
      <c r="C98" s="5" t="s">
        <v>536</v>
      </c>
      <c r="D98" s="5" t="s">
        <v>1210</v>
      </c>
      <c r="E98" s="5" t="s">
        <v>77</v>
      </c>
      <c r="F98" s="11" t="n">
        <v>60459.97</v>
      </c>
      <c r="G98" s="12" t="n">
        <v>3.9665</v>
      </c>
      <c r="H98" s="12" t="n">
        <v>3.5812</v>
      </c>
      <c r="I98" s="5" t="s">
        <v>78</v>
      </c>
      <c r="J98" s="8" t="n">
        <v>-0.02409</v>
      </c>
      <c r="K98" s="13" t="str">
        <f aca="false">IF(J98&gt;0,"прибыль",IF(J98&lt;0,"убыток","ноль"))</f>
        <v>убыток</v>
      </c>
      <c r="L98" s="13" t="n">
        <f aca="false">IF(C98="",L97,IF(J98&lt;0,L97+1,0))</f>
        <v>1</v>
      </c>
      <c r="M98" s="14" t="n">
        <v>-24.09</v>
      </c>
      <c r="N98" s="9" t="n">
        <v>-1456.2</v>
      </c>
      <c r="O98" s="9" t="n">
        <v>-86265.78</v>
      </c>
    </row>
    <row r="99" customFormat="false" ht="15" hidden="false" customHeight="false" outlineLevel="0" collapsed="false">
      <c r="A99" s="6" t="n">
        <v>94</v>
      </c>
      <c r="B99" s="5" t="s">
        <v>288</v>
      </c>
      <c r="C99" s="5" t="s">
        <v>1211</v>
      </c>
      <c r="D99" s="5" t="s">
        <v>542</v>
      </c>
      <c r="E99" s="5" t="s">
        <v>77</v>
      </c>
      <c r="F99" s="11" t="n">
        <v>111388.7</v>
      </c>
      <c r="G99" s="12" t="n">
        <v>3.09</v>
      </c>
      <c r="H99" s="12" t="n">
        <v>3.2783</v>
      </c>
      <c r="J99" s="8" t="n">
        <v>0.18796</v>
      </c>
      <c r="K99" s="13" t="str">
        <f aca="false">IF(J99&gt;0,"прибыль",IF(J99&lt;0,"убыток","ноль"))</f>
        <v>прибыль</v>
      </c>
      <c r="L99" s="13" t="n">
        <f aca="false">IF(C99="",L98,IF(J99&lt;0,L98+1,0))</f>
        <v>0</v>
      </c>
      <c r="M99" s="14" t="n">
        <v>187.96</v>
      </c>
      <c r="N99" s="9" t="n">
        <v>20936.53</v>
      </c>
      <c r="O99" s="9" t="n">
        <v>-65329.26</v>
      </c>
    </row>
    <row r="100" customFormat="false" ht="15" hidden="false" customHeight="false" outlineLevel="0" collapsed="false">
      <c r="A100" s="6" t="n">
        <v>95</v>
      </c>
      <c r="B100" s="5" t="s">
        <v>288</v>
      </c>
      <c r="C100" s="5" t="s">
        <v>411</v>
      </c>
      <c r="D100" s="5" t="s">
        <v>771</v>
      </c>
      <c r="E100" s="5" t="s">
        <v>77</v>
      </c>
      <c r="F100" s="11" t="n">
        <v>87063.62</v>
      </c>
      <c r="G100" s="12" t="n">
        <v>2.949</v>
      </c>
      <c r="H100" s="12" t="n">
        <v>2.9227</v>
      </c>
      <c r="I100" s="5" t="s">
        <v>78</v>
      </c>
      <c r="J100" s="8" t="n">
        <v>-0.13085</v>
      </c>
      <c r="K100" s="13" t="str">
        <f aca="false">IF(J100&gt;0,"прибыль",IF(J100&lt;0,"убыток","ноль"))</f>
        <v>убыток</v>
      </c>
      <c r="L100" s="13" t="n">
        <f aca="false">IF(C100="",L99,IF(J100&lt;0,L99+1,0))</f>
        <v>1</v>
      </c>
      <c r="M100" s="14" t="n">
        <v>-130.85</v>
      </c>
      <c r="N100" s="9" t="n">
        <v>-11392.47</v>
      </c>
      <c r="O100" s="9" t="n">
        <v>-76721.72</v>
      </c>
    </row>
    <row r="101" customFormat="false" ht="15" hidden="false" customHeight="false" outlineLevel="0" collapsed="false">
      <c r="A101" s="6" t="n">
        <v>96</v>
      </c>
      <c r="B101" s="5" t="s">
        <v>288</v>
      </c>
      <c r="C101" s="5" t="s">
        <v>985</v>
      </c>
      <c r="D101" s="5" t="s">
        <v>1212</v>
      </c>
      <c r="E101" s="5" t="s">
        <v>81</v>
      </c>
      <c r="F101" s="11" t="n">
        <v>183939.87</v>
      </c>
      <c r="G101" s="12" t="n">
        <v>2.7147</v>
      </c>
      <c r="H101" s="12" t="n">
        <v>2.6523</v>
      </c>
      <c r="J101" s="8" t="n">
        <v>0.06211</v>
      </c>
      <c r="K101" s="13" t="str">
        <f aca="false">IF(J101&gt;0,"прибыль",IF(J101&lt;0,"убыток","ноль"))</f>
        <v>прибыль</v>
      </c>
      <c r="L101" s="13" t="n">
        <f aca="false">IF(C101="",L100,IF(J101&lt;0,L100+1,0))</f>
        <v>0</v>
      </c>
      <c r="M101" s="14" t="n">
        <v>62.11</v>
      </c>
      <c r="N101" s="9" t="n">
        <v>11424.21</v>
      </c>
      <c r="O101" s="9" t="n">
        <v>-65297.52</v>
      </c>
    </row>
    <row r="102" customFormat="false" ht="15" hidden="false" customHeight="false" outlineLevel="0" collapsed="false">
      <c r="A102" s="6" t="n">
        <v>97</v>
      </c>
      <c r="B102" s="5" t="s">
        <v>288</v>
      </c>
      <c r="C102" s="5" t="s">
        <v>1213</v>
      </c>
      <c r="D102" s="5" t="s">
        <v>413</v>
      </c>
      <c r="E102" s="5" t="s">
        <v>81</v>
      </c>
      <c r="F102" s="11" t="n">
        <v>44783.38</v>
      </c>
      <c r="G102" s="12" t="n">
        <v>2.6927</v>
      </c>
      <c r="H102" s="12" t="n">
        <v>2.9505</v>
      </c>
      <c r="I102" s="5" t="s">
        <v>78</v>
      </c>
      <c r="J102" s="8" t="n">
        <v>-0.08317</v>
      </c>
      <c r="K102" s="13" t="str">
        <f aca="false">IF(J102&gt;0,"прибыль",IF(J102&lt;0,"убыток","ноль"))</f>
        <v>убыток</v>
      </c>
      <c r="L102" s="13" t="n">
        <f aca="false">IF(C102="",L101,IF(J102&lt;0,L101+1,0))</f>
        <v>1</v>
      </c>
      <c r="M102" s="14" t="n">
        <v>-83.17</v>
      </c>
      <c r="N102" s="9" t="n">
        <v>-3724.54</v>
      </c>
      <c r="O102" s="9" t="n">
        <v>-69022.05</v>
      </c>
    </row>
    <row r="103" customFormat="false" ht="15" hidden="false" customHeight="false" outlineLevel="0" collapsed="false">
      <c r="A103" s="6" t="n">
        <v>98</v>
      </c>
      <c r="B103" s="5" t="s">
        <v>288</v>
      </c>
      <c r="C103" s="5" t="s">
        <v>413</v>
      </c>
      <c r="D103" s="5" t="s">
        <v>1214</v>
      </c>
      <c r="E103" s="5" t="s">
        <v>81</v>
      </c>
      <c r="F103" s="11" t="n">
        <v>118097.08</v>
      </c>
      <c r="G103" s="12" t="n">
        <v>2.868</v>
      </c>
      <c r="H103" s="12" t="n">
        <v>3.3699</v>
      </c>
      <c r="I103" s="5" t="s">
        <v>78</v>
      </c>
      <c r="J103" s="8" t="n">
        <v>-0.29596</v>
      </c>
      <c r="K103" s="13" t="str">
        <f aca="false">IF(J103&gt;0,"прибыль",IF(J103&lt;0,"убыток","ноль"))</f>
        <v>убыток</v>
      </c>
      <c r="L103" s="13" t="n">
        <f aca="false">IF(C103="",L102,IF(J103&lt;0,L102+1,0))</f>
        <v>2</v>
      </c>
      <c r="M103" s="14" t="n">
        <v>-295.96</v>
      </c>
      <c r="N103" s="9" t="n">
        <v>-34951.9</v>
      </c>
      <c r="O103" s="9" t="n">
        <v>-103973.96</v>
      </c>
    </row>
    <row r="104" customFormat="false" ht="15" hidden="false" customHeight="false" outlineLevel="0" collapsed="false">
      <c r="A104" s="6" t="n">
        <v>99</v>
      </c>
      <c r="B104" s="5" t="s">
        <v>288</v>
      </c>
      <c r="C104" s="5" t="s">
        <v>1215</v>
      </c>
      <c r="D104" s="5" t="s">
        <v>1216</v>
      </c>
      <c r="E104" s="5" t="s">
        <v>81</v>
      </c>
      <c r="F104" s="11" t="n">
        <v>114047.56</v>
      </c>
      <c r="G104" s="12" t="n">
        <v>3.232</v>
      </c>
      <c r="H104" s="12" t="n">
        <v>3.2007</v>
      </c>
      <c r="J104" s="8" t="n">
        <v>0.03099</v>
      </c>
      <c r="K104" s="13" t="str">
        <f aca="false">IF(J104&gt;0,"прибыль",IF(J104&lt;0,"убыток","ноль"))</f>
        <v>прибыль</v>
      </c>
      <c r="L104" s="13" t="n">
        <f aca="false">IF(C104="",L103,IF(J104&lt;0,L103+1,0))</f>
        <v>0</v>
      </c>
      <c r="M104" s="14" t="n">
        <v>30.99</v>
      </c>
      <c r="N104" s="9" t="n">
        <v>3534.38</v>
      </c>
      <c r="O104" s="9" t="n">
        <v>-100439.58</v>
      </c>
    </row>
    <row r="105" customFormat="false" ht="15" hidden="false" customHeight="false" outlineLevel="0" collapsed="false">
      <c r="A105" s="6" t="n">
        <v>100</v>
      </c>
      <c r="B105" s="5" t="s">
        <v>288</v>
      </c>
      <c r="C105" s="5" t="s">
        <v>1217</v>
      </c>
      <c r="D105" s="5" t="s">
        <v>1218</v>
      </c>
      <c r="E105" s="5" t="s">
        <v>77</v>
      </c>
      <c r="F105" s="11" t="n">
        <v>122439.39</v>
      </c>
      <c r="G105" s="12" t="n">
        <v>3.0916</v>
      </c>
      <c r="H105" s="12" t="n">
        <v>3.1433</v>
      </c>
      <c r="J105" s="8" t="n">
        <v>0.05136</v>
      </c>
      <c r="K105" s="13" t="str">
        <f aca="false">IF(J105&gt;0,"прибыль",IF(J105&lt;0,"убыток","ноль"))</f>
        <v>прибыль</v>
      </c>
      <c r="L105" s="13" t="n">
        <f aca="false">IF(C105="",L104,IF(J105&lt;0,L104+1,0))</f>
        <v>0</v>
      </c>
      <c r="M105" s="14" t="n">
        <v>51.36</v>
      </c>
      <c r="N105" s="9" t="n">
        <v>6288.69</v>
      </c>
      <c r="O105" s="9" t="n">
        <v>-94150.89</v>
      </c>
    </row>
    <row r="106" customFormat="false" ht="15" hidden="false" customHeight="false" outlineLevel="0" collapsed="false">
      <c r="A106" s="6" t="n">
        <v>101</v>
      </c>
      <c r="B106" s="5" t="s">
        <v>288</v>
      </c>
      <c r="C106" s="5" t="s">
        <v>1219</v>
      </c>
      <c r="D106" s="5" t="s">
        <v>1220</v>
      </c>
      <c r="E106" s="5" t="s">
        <v>77</v>
      </c>
      <c r="F106" s="11" t="n">
        <v>138518.24</v>
      </c>
      <c r="G106" s="12" t="n">
        <v>3.1442</v>
      </c>
      <c r="H106" s="12" t="n">
        <v>3.2096</v>
      </c>
      <c r="J106" s="8" t="n">
        <v>0.06511</v>
      </c>
      <c r="K106" s="13" t="str">
        <f aca="false">IF(J106&gt;0,"прибыль",IF(J106&lt;0,"убыток","ноль"))</f>
        <v>прибыль</v>
      </c>
      <c r="L106" s="13" t="n">
        <f aca="false">IF(C106="",L105,IF(J106&lt;0,L105+1,0))</f>
        <v>0</v>
      </c>
      <c r="M106" s="14" t="n">
        <v>65.11</v>
      </c>
      <c r="N106" s="9" t="n">
        <v>9019.39</v>
      </c>
      <c r="O106" s="9" t="n">
        <v>-85131.5</v>
      </c>
    </row>
    <row r="107" customFormat="false" ht="15" hidden="false" customHeight="false" outlineLevel="0" collapsed="false">
      <c r="A107" s="6" t="n">
        <v>102</v>
      </c>
      <c r="B107" s="5" t="s">
        <v>288</v>
      </c>
      <c r="C107" s="5" t="s">
        <v>1221</v>
      </c>
      <c r="D107" s="5" t="s">
        <v>1222</v>
      </c>
      <c r="E107" s="5" t="s">
        <v>81</v>
      </c>
      <c r="F107" s="11" t="n">
        <v>131851.31</v>
      </c>
      <c r="G107" s="12" t="n">
        <v>2.9376</v>
      </c>
      <c r="H107" s="12" t="n">
        <v>2.9454</v>
      </c>
      <c r="J107" s="8" t="n">
        <v>-0.008</v>
      </c>
      <c r="K107" s="13" t="str">
        <f aca="false">IF(J107&gt;0,"прибыль",IF(J107&lt;0,"убыток","ноль"))</f>
        <v>убыток</v>
      </c>
      <c r="L107" s="13" t="n">
        <f aca="false">IF(C107="",L106,IF(J107&lt;0,L106+1,0))</f>
        <v>1</v>
      </c>
      <c r="M107" s="14" t="n">
        <v>-8</v>
      </c>
      <c r="N107" s="9" t="n">
        <v>-1054.8</v>
      </c>
      <c r="O107" s="9" t="n">
        <v>-86186.3</v>
      </c>
    </row>
    <row r="108" customFormat="false" ht="15" hidden="false" customHeight="false" outlineLevel="0" collapsed="false">
      <c r="A108" s="6" t="n">
        <v>103</v>
      </c>
      <c r="B108" s="5" t="s">
        <v>288</v>
      </c>
      <c r="C108" s="5" t="s">
        <v>1223</v>
      </c>
      <c r="D108" s="5" t="s">
        <v>1224</v>
      </c>
      <c r="E108" s="5" t="s">
        <v>81</v>
      </c>
      <c r="F108" s="11" t="n">
        <v>167808.51</v>
      </c>
      <c r="G108" s="12" t="n">
        <v>2.9126</v>
      </c>
      <c r="H108" s="12" t="n">
        <v>2.7497</v>
      </c>
      <c r="J108" s="8" t="n">
        <v>0.16261</v>
      </c>
      <c r="K108" s="13" t="str">
        <f aca="false">IF(J108&gt;0,"прибыль",IF(J108&lt;0,"убыток","ноль"))</f>
        <v>прибыль</v>
      </c>
      <c r="L108" s="13" t="n">
        <f aca="false">IF(C108="",L107,IF(J108&lt;0,L107+1,0))</f>
        <v>0</v>
      </c>
      <c r="M108" s="14" t="n">
        <v>162.61</v>
      </c>
      <c r="N108" s="9" t="n">
        <v>27287.1</v>
      </c>
      <c r="O108" s="9" t="n">
        <v>-58899.2</v>
      </c>
    </row>
    <row r="109" customFormat="false" ht="15" hidden="false" customHeight="false" outlineLevel="0" collapsed="false">
      <c r="A109" s="6" t="n">
        <v>104</v>
      </c>
      <c r="B109" s="5" t="s">
        <v>288</v>
      </c>
      <c r="C109" s="5" t="s">
        <v>1225</v>
      </c>
      <c r="D109" s="5" t="s">
        <v>831</v>
      </c>
      <c r="E109" s="5" t="s">
        <v>81</v>
      </c>
      <c r="F109" s="11" t="n">
        <v>197329.96</v>
      </c>
      <c r="G109" s="12" t="n">
        <v>2.7768</v>
      </c>
      <c r="H109" s="12" t="n">
        <v>2.7052</v>
      </c>
      <c r="J109" s="8" t="n">
        <v>0.07139</v>
      </c>
      <c r="K109" s="13" t="str">
        <f aca="false">IF(J109&gt;0,"прибыль",IF(J109&lt;0,"убыток","ноль"))</f>
        <v>прибыль</v>
      </c>
      <c r="L109" s="13" t="n">
        <f aca="false">IF(C109="",L108,IF(J109&lt;0,L108+1,0))</f>
        <v>0</v>
      </c>
      <c r="M109" s="14" t="n">
        <v>71.39</v>
      </c>
      <c r="N109" s="9" t="n">
        <v>14086.54</v>
      </c>
      <c r="O109" s="9" t="n">
        <v>-44812.66</v>
      </c>
    </row>
    <row r="110" customFormat="false" ht="15" hidden="false" customHeight="false" outlineLevel="0" collapsed="false">
      <c r="A110" s="6" t="n">
        <v>105</v>
      </c>
      <c r="B110" s="5" t="s">
        <v>288</v>
      </c>
      <c r="C110" s="5" t="s">
        <v>547</v>
      </c>
      <c r="D110" s="5" t="s">
        <v>971</v>
      </c>
      <c r="E110" s="5" t="s">
        <v>77</v>
      </c>
      <c r="F110" s="11" t="n">
        <v>107897.23</v>
      </c>
      <c r="G110" s="12" t="n">
        <v>3.1882</v>
      </c>
      <c r="H110" s="12" t="n">
        <v>3.0349</v>
      </c>
      <c r="I110" s="5" t="s">
        <v>78</v>
      </c>
      <c r="J110" s="8" t="n">
        <v>-0.10375</v>
      </c>
      <c r="K110" s="13" t="str">
        <f aca="false">IF(J110&gt;0,"прибыль",IF(J110&lt;0,"убыток","ноль"))</f>
        <v>убыток</v>
      </c>
      <c r="L110" s="13" t="n">
        <f aca="false">IF(C110="",L109,IF(J110&lt;0,L109+1,0))</f>
        <v>1</v>
      </c>
      <c r="M110" s="14" t="n">
        <v>-103.75</v>
      </c>
      <c r="N110" s="9" t="n">
        <v>-11194.25</v>
      </c>
      <c r="O110" s="9" t="n">
        <v>-56006.92</v>
      </c>
    </row>
    <row r="111" customFormat="false" ht="15" hidden="false" customHeight="false" outlineLevel="0" collapsed="false">
      <c r="A111" s="6" t="n">
        <v>106</v>
      </c>
      <c r="B111" s="5" t="s">
        <v>288</v>
      </c>
      <c r="D111" s="5" t="s">
        <v>428</v>
      </c>
      <c r="E111" s="5" t="s">
        <v>77</v>
      </c>
      <c r="F111" s="11" t="n">
        <v>111742.82</v>
      </c>
      <c r="H111" s="12" t="n">
        <v>3.043</v>
      </c>
      <c r="J111" s="8" t="n">
        <v>0.04188</v>
      </c>
      <c r="K111" s="13" t="str">
        <f aca="false">IF(J111&gt;0,"прибыль",IF(J111&lt;0,"убыток","ноль"))</f>
        <v>прибыль</v>
      </c>
      <c r="L111" s="13" t="n">
        <f aca="false">IF(C111="",L110,IF(J111&lt;0,L110+1,0))</f>
        <v>1</v>
      </c>
      <c r="M111" s="14" t="n">
        <v>41.88</v>
      </c>
      <c r="N111" s="9" t="n">
        <v>4680.34</v>
      </c>
      <c r="O111" s="9" t="n">
        <v>-51326.58</v>
      </c>
      <c r="P111" s="5" t="s">
        <v>429</v>
      </c>
    </row>
  </sheetData>
  <autoFilter ref="A5:P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2026-10-28T15:37:05Z</dcterms:created>
  <dc:creator>openpyxl</dc:creator>
  <dc:description/>
  <dc:language>en-US</dc:language>
  <cp:lastModifiedBy/>
  <dcterms:modified xsi:type="dcterms:W3CDTF">2026-10-28T15:37:06Z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