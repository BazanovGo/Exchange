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7F_1_TSMOM_BR" sheetId="2" state="visible" r:id="rId4"/>
    <sheet name="7F_1_TSMOM_NG" sheetId="3" state="visible" r:id="rId5"/>
    <sheet name="7F_2_DualMA_BR" sheetId="4" state="visible" r:id="rId6"/>
    <sheet name="7F_2_DualMA_NG" sheetId="5" state="visible" r:id="rId7"/>
    <sheet name="7F_3_Breakout_BR" sheetId="6" state="visible" r:id="rId8"/>
    <sheet name="7F_3_Breakout_NG" sheetId="7" state="visible" r:id="rId9"/>
    <sheet name="7F_4_CrossSect_NGBR" sheetId="8" state="visible" r:id="rId10"/>
    <sheet name="7F_5_Carry_BR" sheetId="9" state="visible" r:id="rId11"/>
    <sheet name="7F_5_Carry_NG" sheetId="10" state="visible" r:id="rId12"/>
    <sheet name="7F_6_PortfolioMA_NGBR" sheetId="11" state="visible" r:id="rId13"/>
    <sheet name="7F_7_MomRev_BR" sheetId="12" state="visible" r:id="rId14"/>
    <sheet name="7F_7_MomRev_NG" sheetId="13" state="visible" r:id="rId15"/>
  </sheets>
  <definedNames>
    <definedName function="false" hidden="true" localSheetId="1" name="_xlnm._FilterDatabase" vbProcedure="false">7F_1_TSMOM_BR!$A$5:$Q$354</definedName>
    <definedName function="false" hidden="true" localSheetId="2" name="_xlnm._FilterDatabase" vbProcedure="false">7F_1_TSMOM_NG!$A$5:$Q$137</definedName>
    <definedName function="false" hidden="true" localSheetId="3" name="_xlnm._FilterDatabase" vbProcedure="false">7F_2_DualMA_BR!$A$5:$Q$181</definedName>
    <definedName function="false" hidden="true" localSheetId="4" name="_xlnm._FilterDatabase" vbProcedure="false">7F_2_DualMA_NG!$A$5:$Q$72</definedName>
    <definedName function="false" hidden="true" localSheetId="5" name="_xlnm._FilterDatabase" vbProcedure="false">7F_3_Breakout_BR!$A$5:$Q$136</definedName>
    <definedName function="false" hidden="true" localSheetId="6" name="_xlnm._FilterDatabase" vbProcedure="false">7F_3_Breakout_NG!$A$5:$Q$85</definedName>
    <definedName function="false" hidden="true" localSheetId="7" name="_xlnm._FilterDatabase" vbProcedure="false">7F_4_CrossSect_NGBR!$A$5:$Q$256</definedName>
    <definedName function="false" hidden="true" localSheetId="8" name="_xlnm._FilterDatabase" vbProcedure="false">7F_5_Carry_BR!$A$5:$Q$140</definedName>
    <definedName function="false" hidden="true" localSheetId="9" name="_xlnm._FilterDatabase" vbProcedure="false">7F_5_Carry_NG!$A$5:$Q$84</definedName>
    <definedName function="false" hidden="true" localSheetId="10" name="_xlnm._FilterDatabase" vbProcedure="false">7F_6_PortfolioMA_NGBR!$A$5:$Q$146</definedName>
    <definedName function="false" hidden="true" localSheetId="11" name="_xlnm._FilterDatabase" vbProcedure="false">7F_7_MomRev_BR!$A$5:$Q$175</definedName>
    <definedName function="false" hidden="true" localSheetId="12" name="_xlnm._FilterDatabase" vbProcedure="false">7F_7_MomRev_NG!$A$5:$Q$111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<sst xmlns="http://schemas.openxmlformats.org/spreadsheetml/2006/main" count="6690" uniqueCount="79">
  <si>
    <t xml:space="preserve">Журнал сделок: семь семейств, сквозной прогон по всей истории</t>
  </si>
  <si>
    <t xml:space="preserve">Семь семейств: те же победители и параметры, что в trade_log.xlsx, но одним прогоном по всей истории — все сделки подряд, без разрыва между выборкой и проверкой.</t>
  </si>
  <si>
    <t xml:space="preserve">В прогонах отчёта OOS начинается без позиции и с пустыми индикаторами, а между периодами — эмбарго 10 дней; здесь этих разрывов нет. «период» — по дате выхода: IS, эмбарго или OOS. Итог OOS здесь не равен итогу отчёта: отчёт оценивает систему, запущенную с нуля в начале OOS.</t>
  </si>
  <si>
    <t xml:space="preserve">Счёт 1 000 000 USD, размер позиции по целевой волатильности 15%, издержки ~7 б.п. за оборот вычтены.</t>
  </si>
  <si>
    <t xml:space="preserve">Синим — изменение капитала прогона для сверки; всё остальное на этом листе — формулы по листам.</t>
  </si>
  <si>
    <t xml:space="preserve">Лист</t>
  </si>
  <si>
    <t xml:space="preserve">Исследование</t>
  </si>
  <si>
    <t xml:space="preserve">Рынок</t>
  </si>
  <si>
    <t xml:space="preserve">Стратегия</t>
  </si>
  <si>
    <t xml:space="preserve">Сделок</t>
  </si>
  <si>
    <t xml:space="preserve">Прибыльных</t>
  </si>
  <si>
    <t xml:space="preserve">Убыточных</t>
  </si>
  <si>
    <t xml:space="preserve">Доля прибыльных</t>
  </si>
  <si>
    <t xml:space="preserve">Итог IS, USD</t>
  </si>
  <si>
    <t xml:space="preserve">Итог OOS, USD</t>
  </si>
  <si>
    <t xml:space="preserve">Итог всего, USD</t>
  </si>
  <si>
    <t xml:space="preserve">Лучшая сделка, USD</t>
  </si>
  <si>
    <t xml:space="preserve">Худшая сделка, USD</t>
  </si>
  <si>
    <t xml:space="preserve">Макс. серия убытков подряд</t>
  </si>
  <si>
    <t xml:space="preserve">Итог по отчёту, USD</t>
  </si>
  <si>
    <t xml:space="preserve">Сверяется с</t>
  </si>
  <si>
    <t xml:space="preserve">Расхождение, USD</t>
  </si>
  <si>
    <t xml:space="preserve">Источник числа из отчёта</t>
  </si>
  <si>
    <t xml:space="preserve">7F_1_TSMOM_BR</t>
  </si>
  <si>
    <t xml:space="preserve">Семь семейств (дневные бары), сквозной прогон</t>
  </si>
  <si>
    <t xml:space="preserve">BR</t>
  </si>
  <si>
    <t xml:space="preserve">1 Time-Series Momentum · BR · lookback=40</t>
  </si>
  <si>
    <t xml:space="preserve">весь период</t>
  </si>
  <si>
    <t xml:space="preserve">изменение капитала сквозного прогона (export_trades.py seven-full); сделки до конца IS совпадают с IS-журналом отчёта</t>
  </si>
  <si>
    <t xml:space="preserve">7F_1_TSMOM_NG</t>
  </si>
  <si>
    <t xml:space="preserve">NG</t>
  </si>
  <si>
    <t xml:space="preserve">1 Time-Series Momentum · NG · lookback=90</t>
  </si>
  <si>
    <t xml:space="preserve">7F_2_DualMA_BR</t>
  </si>
  <si>
    <t xml:space="preserve">2 Dual Moving Average · BR · fast=20,slow=60</t>
  </si>
  <si>
    <t xml:space="preserve">7F_2_DualMA_NG</t>
  </si>
  <si>
    <t xml:space="preserve">2 Dual Moving Average · NG · fast=20,slow=150</t>
  </si>
  <si>
    <t xml:space="preserve">7F_3_Breakout_BR</t>
  </si>
  <si>
    <t xml:space="preserve">3 Channel Breakout · BR · entry=40,exit_=20</t>
  </si>
  <si>
    <t xml:space="preserve">7F_3_Breakout_NG</t>
  </si>
  <si>
    <t xml:space="preserve">3 Channel Breakout · NG · entry=20,exit_=10</t>
  </si>
  <si>
    <t xml:space="preserve">7F_4_CrossSect_NGBR</t>
  </si>
  <si>
    <t xml:space="preserve">NG+BR</t>
  </si>
  <si>
    <t xml:space="preserve">4 Cross-sectional momentum · NG+BR · lookback=120</t>
  </si>
  <si>
    <t xml:space="preserve">7F_5_Carry_BR</t>
  </si>
  <si>
    <t xml:space="preserve">5 Carry / term structure · BR · smooth=1,threshold=0.15</t>
  </si>
  <si>
    <t xml:space="preserve">7F_5_Carry_NG</t>
  </si>
  <si>
    <t xml:space="preserve">5 Carry / term structure · NG · smooth=1,threshold=0.15</t>
  </si>
  <si>
    <t xml:space="preserve">7F_6_PortfolioMA_NGBR</t>
  </si>
  <si>
    <t xml:space="preserve">6 MA + portfolio · NG+BR · fast=20,slow=100</t>
  </si>
  <si>
    <t xml:space="preserve">7F_7_MomRev_BR</t>
  </si>
  <si>
    <t xml:space="preserve">7 Momentum + reversal · BR · momentum=60,reversal=750</t>
  </si>
  <si>
    <t xml:space="preserve">7F_7_MomRev_NG</t>
  </si>
  <si>
    <t xml:space="preserve">7 Momentum + reversal · NG · momentum=60,reversal=500</t>
  </si>
  <si>
    <t xml:space="preserve">Семь семейств (дневные бары), сквозной прогон. Единицы: USD на счёт 1 000 000, размер позиции по целевой волатильности 15%.</t>
  </si>
  <si>
    <t xml:space="preserve">Каждая строка — одна сделка в порядке закрытия. «период»: IS — обучающая выборка, OOS — проверочная; сделка относится к периоду по дате выхода. Итог нарастающим и серия убытков — формулы.</t>
  </si>
  <si>
    <t xml:space="preserve">№</t>
  </si>
  <si>
    <t xml:space="preserve">период</t>
  </si>
  <si>
    <t xml:space="preserve">нога</t>
  </si>
  <si>
    <t xml:space="preserve">вход</t>
  </si>
  <si>
    <t xml:space="preserve">выход</t>
  </si>
  <si>
    <t xml:space="preserve">направление</t>
  </si>
  <si>
    <t xml:space="preserve">объём при входе, USD</t>
  </si>
  <si>
    <t xml:space="preserve">котировка входа</t>
  </si>
  <si>
    <t xml:space="preserve">котировка выхода</t>
  </si>
  <si>
    <t xml:space="preserve">через ролл</t>
  </si>
  <si>
    <t xml:space="preserve">издержки, USD</t>
  </si>
  <si>
    <t xml:space="preserve">результат, USD</t>
  </si>
  <si>
    <t xml:space="preserve">итог нарастающим, USD</t>
  </si>
  <si>
    <t xml:space="preserve">исход</t>
  </si>
  <si>
    <t xml:space="preserve">серия убытков подряд</t>
  </si>
  <si>
    <t xml:space="preserve">баров в позиции</t>
  </si>
  <si>
    <t xml:space="preserve">примечание</t>
  </si>
  <si>
    <t xml:space="preserve">IS</t>
  </si>
  <si>
    <t xml:space="preserve">long</t>
  </si>
  <si>
    <t xml:space="preserve">да</t>
  </si>
  <si>
    <t xml:space="preserve">short</t>
  </si>
  <si>
    <t xml:space="preserve">OOS</t>
  </si>
  <si>
    <t xml:space="preserve">позиция открыта на конец периода: переоценка по последнему закрытию</t>
  </si>
  <si>
    <t xml:space="preserve">эмбарго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</si>
</sst>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0"/>
    <numFmt numFmtId="167" formatCode="0.0%"/>
    <numFmt numFmtId="168" formatCode="#,##0.00;[RED]\-#,##0.00;0.00"/>
    <numFmt numFmtId="169" formatCode="yyyy\-mm\-dd"/>
    <numFmt numFmtId="170" formatCode="#,##0;[RED]\-#,##0;0"/>
    <numFmt numFmtId="171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52514E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1C5CAB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6E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5B3A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E8E6E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5B3AB"/>
      <rgbColor rgb="FF808080"/>
      <rgbColor rgb="FF9999FF"/>
      <rgbColor rgb="FF993366"/>
      <rgbColor rgb="FFE8E6E1"/>
      <rgbColor rgb="FFCCFFFF"/>
      <rgbColor rgb="FF660066"/>
      <rgbColor rgb="FFFF8080"/>
      <rgbColor rgb="FF1C5CA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trade_log_full.xlsx" TargetMode="External"/><Relationship Id="rId2" Type="http://schemas.openxmlformats.org/officeDocument/2006/relationships/hyperlink" Target="trade_log_full.xlsx" TargetMode="External"/><Relationship Id="rId3" Type="http://schemas.openxmlformats.org/officeDocument/2006/relationships/hyperlink" Target="trade_log_full.xlsx" TargetMode="External"/><Relationship Id="rId4" Type="http://schemas.openxmlformats.org/officeDocument/2006/relationships/hyperlink" Target="trade_log_full.xlsx" TargetMode="External"/><Relationship Id="rId5" Type="http://schemas.openxmlformats.org/officeDocument/2006/relationships/hyperlink" Target="trade_log_full.xlsx" TargetMode="External"/><Relationship Id="rId6" Type="http://schemas.openxmlformats.org/officeDocument/2006/relationships/hyperlink" Target="trade_log_full.xlsx" TargetMode="External"/><Relationship Id="rId7" Type="http://schemas.openxmlformats.org/officeDocument/2006/relationships/hyperlink" Target="trade_log_full.xlsx" TargetMode="External"/><Relationship Id="rId8" Type="http://schemas.openxmlformats.org/officeDocument/2006/relationships/hyperlink" Target="trade_log_full.xlsx" TargetMode="External"/><Relationship Id="rId9" Type="http://schemas.openxmlformats.org/officeDocument/2006/relationships/hyperlink" Target="trade_log_full.xlsx" TargetMode="External"/><Relationship Id="rId10" Type="http://schemas.openxmlformats.org/officeDocument/2006/relationships/hyperlink" Target="trade_log_full.xlsx" TargetMode="External"/><Relationship Id="rId11" Type="http://schemas.openxmlformats.org/officeDocument/2006/relationships/hyperlink" Target="trade_log_full.xlsx" TargetMode="External"/><Relationship Id="rId12" Type="http://schemas.openxmlformats.org/officeDocument/2006/relationships/hyperlink" Target="trade_log_full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58"/>
    <col collapsed="false" customWidth="true" hidden="false" outlineLevel="0" max="5" min="5" style="0" width="9"/>
    <col collapsed="false" customWidth="true" hidden="false" outlineLevel="0" max="8" min="6" style="0" width="11"/>
    <col collapsed="false" customWidth="true" hidden="false" outlineLevel="0" max="11" min="9" style="0" width="15"/>
    <col collapsed="false" customWidth="true" hidden="false" outlineLevel="0" max="13" min="12" style="0" width="14"/>
    <col collapsed="false" customWidth="true" hidden="false" outlineLevel="0" max="14" min="14" style="0" width="13"/>
    <col collapsed="false" customWidth="true" hidden="false" outlineLevel="0" max="15" min="15" style="0" width="16"/>
    <col collapsed="false" customWidth="true" hidden="false" outlineLevel="0" max="16" min="16" style="0" width="12"/>
    <col collapsed="false" customWidth="true" hidden="false" outlineLevel="0" max="17" min="17" style="0" width="13"/>
    <col collapsed="false" customWidth="true" hidden="false" outlineLevel="0" max="18" min="18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7" customFormat="false" ht="31.5" hidden="false" customHeight="true" outlineLevel="0" collapsed="false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3" t="s">
        <v>18</v>
      </c>
      <c r="O7" s="3" t="s">
        <v>19</v>
      </c>
      <c r="P7" s="3" t="s">
        <v>20</v>
      </c>
      <c r="Q7" s="3" t="s">
        <v>21</v>
      </c>
      <c r="R7" s="3" t="s">
        <v>22</v>
      </c>
    </row>
    <row r="8" customFormat="false" ht="15" hidden="false" customHeight="false" outlineLevel="0" collapsed="false">
      <c r="A8" s="4" t="s">
        <v>23</v>
      </c>
      <c r="B8" s="5" t="s">
        <v>24</v>
      </c>
      <c r="C8" s="5" t="s">
        <v>25</v>
      </c>
      <c r="D8" s="5" t="s">
        <v>26</v>
      </c>
      <c r="E8" s="6" t="n">
        <f aca="false">COUNTIFS(7F_1_TSMOM_BR!$D$6:$D$354,"&lt;&gt;")</f>
        <v>348</v>
      </c>
      <c r="F8" s="6" t="n">
        <f aca="false">COUNTIFS(7F_1_TSMOM_BR!$L$6:$L$354,"&gt;0",7F_1_TSMOM_BR!$D$6:$D$354,"&lt;&gt;")</f>
        <v>170</v>
      </c>
      <c r="G8" s="6" t="n">
        <f aca="false">COUNTIFS(7F_1_TSMOM_BR!$L$6:$L$354,"&lt;0",7F_1_TSMOM_BR!$D$6:$D$354,"&lt;&gt;")</f>
        <v>178</v>
      </c>
      <c r="H8" s="7" t="n">
        <f aca="false">IF(E8&gt;0,F8/E8,0)</f>
        <v>0.488505747126437</v>
      </c>
      <c r="I8" s="8" t="n">
        <f aca="false">SUMIFS(7F_1_TSMOM_BR!$L$6:$L$354,7F_1_TSMOM_BR!$B$6:$B$354,"IS")</f>
        <v>1223471.50784997</v>
      </c>
      <c r="J8" s="8" t="n">
        <f aca="false">SUMIFS(7F_1_TSMOM_BR!$L$6:$L$354,7F_1_TSMOM_BR!$B$6:$B$354,"OOS")</f>
        <v>390031.072060763</v>
      </c>
      <c r="K8" s="8" t="n">
        <f aca="false">SUM(7F_1_TSMOM_BR!$L$6:$L$354)</f>
        <v>1613502.57991073</v>
      </c>
      <c r="L8" s="8" t="n">
        <f aca="false">_xlfn.MAXIFS(7F_1_TSMOM_BR!$L$6:$L$354,7F_1_TSMOM_BR!$D$6:$D$354,"&lt;&gt;")</f>
        <v>232101.519683392</v>
      </c>
      <c r="M8" s="8" t="n">
        <f aca="false">_xlfn.MINIFS(7F_1_TSMOM_BR!$L$6:$L$354,7F_1_TSMOM_BR!$D$6:$D$354,"&lt;&gt;")</f>
        <v>-73249.4168436455</v>
      </c>
      <c r="N8" s="6" t="n">
        <f aca="false">MAX(7F_1_TSMOM_BR!$O$6:$O$354)</f>
        <v>11</v>
      </c>
      <c r="O8" s="9" t="n">
        <v>1613502.58</v>
      </c>
      <c r="P8" s="5" t="s">
        <v>27</v>
      </c>
      <c r="Q8" s="8" t="n">
        <f aca="false">IF(P8="OOS",J8,K8)-O8</f>
        <v>-8.92665702849627E-005</v>
      </c>
      <c r="R8" s="5" t="s">
        <v>28</v>
      </c>
    </row>
    <row r="9" customFormat="false" ht="15" hidden="false" customHeight="false" outlineLevel="0" collapsed="false">
      <c r="A9" s="4" t="s">
        <v>29</v>
      </c>
      <c r="B9" s="5" t="s">
        <v>24</v>
      </c>
      <c r="C9" s="5" t="s">
        <v>30</v>
      </c>
      <c r="D9" s="5" t="s">
        <v>31</v>
      </c>
      <c r="E9" s="6" t="n">
        <f aca="false">COUNTIFS(7F_1_TSMOM_NG!$D$6:$D$137,"&lt;&gt;")</f>
        <v>131</v>
      </c>
      <c r="F9" s="6" t="n">
        <f aca="false">COUNTIFS(7F_1_TSMOM_NG!$L$6:$L$137,"&gt;0",7F_1_TSMOM_NG!$D$6:$D$137,"&lt;&gt;")</f>
        <v>61</v>
      </c>
      <c r="G9" s="6" t="n">
        <f aca="false">COUNTIFS(7F_1_TSMOM_NG!$L$6:$L$137,"&lt;0",7F_1_TSMOM_NG!$D$6:$D$137,"&lt;&gt;")</f>
        <v>70</v>
      </c>
      <c r="H9" s="7" t="n">
        <f aca="false">IF(E9&gt;0,F9/E9,0)</f>
        <v>0.465648854961832</v>
      </c>
      <c r="I9" s="8" t="n">
        <f aca="false">SUMIFS(7F_1_TSMOM_NG!$L$6:$L$137,7F_1_TSMOM_NG!$B$6:$B$137,"IS")</f>
        <v>333381.560706864</v>
      </c>
      <c r="J9" s="8" t="n">
        <f aca="false">SUMIFS(7F_1_TSMOM_NG!$L$6:$L$137,7F_1_TSMOM_NG!$B$6:$B$137,"OOS")</f>
        <v>-233357.728165759</v>
      </c>
      <c r="K9" s="8" t="n">
        <f aca="false">SUM(7F_1_TSMOM_NG!$L$6:$L$137)</f>
        <v>120534.258913866</v>
      </c>
      <c r="L9" s="8" t="n">
        <f aca="false">_xlfn.MAXIFS(7F_1_TSMOM_NG!$L$6:$L$137,7F_1_TSMOM_NG!$D$6:$D$137,"&lt;&gt;")</f>
        <v>125500.767016314</v>
      </c>
      <c r="M9" s="8" t="n">
        <f aca="false">_xlfn.MINIFS(7F_1_TSMOM_NG!$L$6:$L$137,7F_1_TSMOM_NG!$D$6:$D$137,"&lt;&gt;")</f>
        <v>-48734.8335143513</v>
      </c>
      <c r="N9" s="6" t="n">
        <f aca="false">MAX(7F_1_TSMOM_NG!$O$6:$O$137)</f>
        <v>6</v>
      </c>
      <c r="O9" s="9" t="n">
        <v>120534.26</v>
      </c>
      <c r="P9" s="5" t="s">
        <v>27</v>
      </c>
      <c r="Q9" s="8" t="n">
        <f aca="false">IF(P9="OOS",J9,K9)-O9</f>
        <v>-0.00108613409975078</v>
      </c>
      <c r="R9" s="5" t="s">
        <v>28</v>
      </c>
    </row>
    <row r="10" customFormat="false" ht="15" hidden="false" customHeight="false" outlineLevel="0" collapsed="false">
      <c r="A10" s="4" t="s">
        <v>32</v>
      </c>
      <c r="B10" s="5" t="s">
        <v>24</v>
      </c>
      <c r="C10" s="5" t="s">
        <v>25</v>
      </c>
      <c r="D10" s="5" t="s">
        <v>33</v>
      </c>
      <c r="E10" s="6" t="n">
        <f aca="false">COUNTIFS(7F_2_DualMA_BR!$D$6:$D$181,"&lt;&gt;")</f>
        <v>175</v>
      </c>
      <c r="F10" s="6" t="n">
        <f aca="false">COUNTIFS(7F_2_DualMA_BR!$L$6:$L$181,"&gt;0",7F_2_DualMA_BR!$D$6:$D$181,"&lt;&gt;")</f>
        <v>111</v>
      </c>
      <c r="G10" s="6" t="n">
        <f aca="false">COUNTIFS(7F_2_DualMA_BR!$L$6:$L$181,"&lt;0",7F_2_DualMA_BR!$D$6:$D$181,"&lt;&gt;")</f>
        <v>64</v>
      </c>
      <c r="H10" s="7" t="n">
        <f aca="false">IF(E10&gt;0,F10/E10,0)</f>
        <v>0.634285714285714</v>
      </c>
      <c r="I10" s="8" t="n">
        <f aca="false">SUMIFS(7F_2_DualMA_BR!$L$6:$L$181,7F_2_DualMA_BR!$B$6:$B$181,"IS")</f>
        <v>1349836.62324446</v>
      </c>
      <c r="J10" s="8" t="n">
        <f aca="false">SUMIFS(7F_2_DualMA_BR!$L$6:$L$181,7F_2_DualMA_BR!$B$6:$B$181,"OOS")</f>
        <v>786049.814661629</v>
      </c>
      <c r="K10" s="8" t="n">
        <f aca="false">SUM(7F_2_DualMA_BR!$L$6:$L$181)</f>
        <v>2135886.43790609</v>
      </c>
      <c r="L10" s="8" t="n">
        <f aca="false">_xlfn.MAXIFS(7F_2_DualMA_BR!$L$6:$L$181,7F_2_DualMA_BR!$D$6:$D$181,"&lt;&gt;")</f>
        <v>266688.18274415</v>
      </c>
      <c r="M10" s="8" t="n">
        <f aca="false">_xlfn.MINIFS(7F_2_DualMA_BR!$L$6:$L$181,7F_2_DualMA_BR!$D$6:$D$181,"&lt;&gt;")</f>
        <v>-83272.4510648196</v>
      </c>
      <c r="N10" s="6" t="n">
        <f aca="false">MAX(7F_2_DualMA_BR!$O$6:$O$181)</f>
        <v>8</v>
      </c>
      <c r="O10" s="9" t="n">
        <v>2135886.44</v>
      </c>
      <c r="P10" s="5" t="s">
        <v>27</v>
      </c>
      <c r="Q10" s="8" t="n">
        <f aca="false">IF(P10="OOS",J10,K10)-O10</f>
        <v>-0.00209390698000789</v>
      </c>
      <c r="R10" s="5" t="s">
        <v>28</v>
      </c>
    </row>
    <row r="11" customFormat="false" ht="15" hidden="false" customHeight="false" outlineLevel="0" collapsed="false">
      <c r="A11" s="4" t="s">
        <v>34</v>
      </c>
      <c r="B11" s="5" t="s">
        <v>24</v>
      </c>
      <c r="C11" s="5" t="s">
        <v>30</v>
      </c>
      <c r="D11" s="5" t="s">
        <v>35</v>
      </c>
      <c r="E11" s="6" t="n">
        <f aca="false">COUNTIFS(7F_2_DualMA_NG!$D$6:$D$72,"&lt;&gt;")</f>
        <v>66</v>
      </c>
      <c r="F11" s="6" t="n">
        <f aca="false">COUNTIFS(7F_2_DualMA_NG!$L$6:$L$72,"&gt;0",7F_2_DualMA_NG!$D$6:$D$72,"&lt;&gt;")</f>
        <v>40</v>
      </c>
      <c r="G11" s="6" t="n">
        <f aca="false">COUNTIFS(7F_2_DualMA_NG!$L$6:$L$72,"&lt;0",7F_2_DualMA_NG!$D$6:$D$72,"&lt;&gt;")</f>
        <v>26</v>
      </c>
      <c r="H11" s="7" t="n">
        <f aca="false">IF(E11&gt;0,F11/E11,0)</f>
        <v>0.606060606060606</v>
      </c>
      <c r="I11" s="8" t="n">
        <f aca="false">SUMIFS(7F_2_DualMA_NG!$L$6:$L$72,7F_2_DualMA_NG!$B$6:$B$72,"IS")</f>
        <v>272984.532845</v>
      </c>
      <c r="J11" s="8" t="n">
        <f aca="false">SUMIFS(7F_2_DualMA_NG!$L$6:$L$72,7F_2_DualMA_NG!$B$6:$B$72,"OOS")</f>
        <v>-206357.071541116</v>
      </c>
      <c r="K11" s="8" t="n">
        <f aca="false">SUM(7F_2_DualMA_NG!$L$6:$L$72)</f>
        <v>85324.6403323431</v>
      </c>
      <c r="L11" s="8" t="n">
        <f aca="false">_xlfn.MAXIFS(7F_2_DualMA_NG!$L$6:$L$72,7F_2_DualMA_NG!$D$6:$D$72,"&lt;&gt;")</f>
        <v>87659.0538812344</v>
      </c>
      <c r="M11" s="8" t="n">
        <f aca="false">_xlfn.MINIFS(7F_2_DualMA_NG!$L$6:$L$72,7F_2_DualMA_NG!$D$6:$D$72,"&lt;&gt;")</f>
        <v>-89415.0911026432</v>
      </c>
      <c r="N11" s="6" t="n">
        <f aca="false">MAX(7F_2_DualMA_NG!$O$6:$O$72)</f>
        <v>5</v>
      </c>
      <c r="O11" s="9" t="n">
        <v>85324.64</v>
      </c>
      <c r="P11" s="5" t="s">
        <v>27</v>
      </c>
      <c r="Q11" s="8" t="n">
        <f aca="false">IF(P11="OOS",J11,K11)-O11</f>
        <v>0.000332343057380058</v>
      </c>
      <c r="R11" s="5" t="s">
        <v>28</v>
      </c>
    </row>
    <row r="12" customFormat="false" ht="15" hidden="false" customHeight="false" outlineLevel="0" collapsed="false">
      <c r="A12" s="4" t="s">
        <v>36</v>
      </c>
      <c r="B12" s="5" t="s">
        <v>24</v>
      </c>
      <c r="C12" s="5" t="s">
        <v>25</v>
      </c>
      <c r="D12" s="5" t="s">
        <v>37</v>
      </c>
      <c r="E12" s="6" t="n">
        <f aca="false">COUNTIFS(7F_3_Breakout_BR!$D$6:$D$136,"&lt;&gt;")</f>
        <v>130</v>
      </c>
      <c r="F12" s="6" t="n">
        <f aca="false">COUNTIFS(7F_3_Breakout_BR!$L$6:$L$136,"&gt;0",7F_3_Breakout_BR!$D$6:$D$136,"&lt;&gt;")</f>
        <v>92</v>
      </c>
      <c r="G12" s="6" t="n">
        <f aca="false">COUNTIFS(7F_3_Breakout_BR!$L$6:$L$136,"&lt;0",7F_3_Breakout_BR!$D$6:$D$136,"&lt;&gt;")</f>
        <v>38</v>
      </c>
      <c r="H12" s="7" t="n">
        <f aca="false">IF(E12&gt;0,F12/E12,0)</f>
        <v>0.707692307692308</v>
      </c>
      <c r="I12" s="8" t="n">
        <f aca="false">SUMIFS(7F_3_Breakout_BR!$L$6:$L$136,7F_3_Breakout_BR!$B$6:$B$136,"IS")</f>
        <v>1516085.09579315</v>
      </c>
      <c r="J12" s="8" t="n">
        <f aca="false">SUMIFS(7F_3_Breakout_BR!$L$6:$L$136,7F_3_Breakout_BR!$B$6:$B$136,"OOS")</f>
        <v>740143.916027093</v>
      </c>
      <c r="K12" s="8" t="n">
        <f aca="false">SUM(7F_3_Breakout_BR!$L$6:$L$136)</f>
        <v>2256229.01182024</v>
      </c>
      <c r="L12" s="8" t="n">
        <f aca="false">_xlfn.MAXIFS(7F_3_Breakout_BR!$L$6:$L$136,7F_3_Breakout_BR!$D$6:$D$136,"&lt;&gt;")</f>
        <v>230202.172743319</v>
      </c>
      <c r="M12" s="8" t="n">
        <f aca="false">_xlfn.MINIFS(7F_3_Breakout_BR!$L$6:$L$136,7F_3_Breakout_BR!$D$6:$D$136,"&lt;&gt;")</f>
        <v>-99220.8866498679</v>
      </c>
      <c r="N12" s="6" t="n">
        <f aca="false">MAX(7F_3_Breakout_BR!$O$6:$O$136)</f>
        <v>7</v>
      </c>
      <c r="O12" s="9" t="n">
        <v>2256229.01</v>
      </c>
      <c r="P12" s="5" t="s">
        <v>27</v>
      </c>
      <c r="Q12" s="8" t="n">
        <f aca="false">IF(P12="OOS",J12,K12)-O12</f>
        <v>0.00182024249807</v>
      </c>
      <c r="R12" s="5" t="s">
        <v>28</v>
      </c>
    </row>
    <row r="13" customFormat="false" ht="15" hidden="false" customHeight="false" outlineLevel="0" collapsed="false">
      <c r="A13" s="4" t="s">
        <v>38</v>
      </c>
      <c r="B13" s="5" t="s">
        <v>24</v>
      </c>
      <c r="C13" s="5" t="s">
        <v>30</v>
      </c>
      <c r="D13" s="5" t="s">
        <v>39</v>
      </c>
      <c r="E13" s="6" t="n">
        <f aca="false">COUNTIFS(7F_3_Breakout_NG!$D$6:$D$85,"&lt;&gt;")</f>
        <v>79</v>
      </c>
      <c r="F13" s="6" t="n">
        <f aca="false">COUNTIFS(7F_3_Breakout_NG!$L$6:$L$85,"&gt;0",7F_3_Breakout_NG!$D$6:$D$85,"&lt;&gt;")</f>
        <v>51</v>
      </c>
      <c r="G13" s="6" t="n">
        <f aca="false">COUNTIFS(7F_3_Breakout_NG!$L$6:$L$85,"&lt;0",7F_3_Breakout_NG!$D$6:$D$85,"&lt;&gt;")</f>
        <v>28</v>
      </c>
      <c r="H13" s="7" t="n">
        <f aca="false">IF(E13&gt;0,F13/E13,0)</f>
        <v>0.645569620253165</v>
      </c>
      <c r="I13" s="8" t="n">
        <f aca="false">SUMIFS(7F_3_Breakout_NG!$L$6:$L$85,7F_3_Breakout_NG!$B$6:$B$85,"IS")</f>
        <v>299619.967035061</v>
      </c>
      <c r="J13" s="8" t="n">
        <f aca="false">SUMIFS(7F_3_Breakout_NG!$L$6:$L$85,7F_3_Breakout_NG!$B$6:$B$85,"OOS")</f>
        <v>8216.14633569585</v>
      </c>
      <c r="K13" s="8" t="n">
        <f aca="false">SUM(7F_3_Breakout_NG!$L$6:$L$85)</f>
        <v>350122.624804033</v>
      </c>
      <c r="L13" s="8" t="n">
        <f aca="false">_xlfn.MAXIFS(7F_3_Breakout_NG!$L$6:$L$85,7F_3_Breakout_NG!$D$6:$D$85,"&lt;&gt;")</f>
        <v>168132.254254791</v>
      </c>
      <c r="M13" s="8" t="n">
        <f aca="false">_xlfn.MINIFS(7F_3_Breakout_NG!$L$6:$L$85,7F_3_Breakout_NG!$D$6:$D$85,"&lt;&gt;")</f>
        <v>-52522.79047508</v>
      </c>
      <c r="N13" s="6" t="n">
        <f aca="false">MAX(7F_3_Breakout_NG!$O$6:$O$85)</f>
        <v>6</v>
      </c>
      <c r="O13" s="9" t="n">
        <v>350122.62</v>
      </c>
      <c r="P13" s="5" t="s">
        <v>27</v>
      </c>
      <c r="Q13" s="8" t="n">
        <f aca="false">IF(P13="OOS",J13,K13)-O13</f>
        <v>0.00480403343681246</v>
      </c>
      <c r="R13" s="5" t="s">
        <v>28</v>
      </c>
    </row>
    <row r="14" customFormat="false" ht="15" hidden="false" customHeight="false" outlineLevel="0" collapsed="false">
      <c r="A14" s="4" t="s">
        <v>40</v>
      </c>
      <c r="B14" s="5" t="s">
        <v>24</v>
      </c>
      <c r="C14" s="5" t="s">
        <v>41</v>
      </c>
      <c r="D14" s="5" t="s">
        <v>42</v>
      </c>
      <c r="E14" s="6" t="n">
        <f aca="false">COUNTIFS(7F_4_CrossSect_NGBR!$D$6:$D$256,"&lt;&gt;")</f>
        <v>249</v>
      </c>
      <c r="F14" s="6" t="n">
        <f aca="false">COUNTIFS(7F_4_CrossSect_NGBR!$L$6:$L$256,"&gt;0",7F_4_CrossSect_NGBR!$D$6:$D$256,"&lt;&gt;")</f>
        <v>114</v>
      </c>
      <c r="G14" s="6" t="n">
        <f aca="false">COUNTIFS(7F_4_CrossSect_NGBR!$L$6:$L$256,"&lt;0",7F_4_CrossSect_NGBR!$D$6:$D$256,"&lt;&gt;")</f>
        <v>135</v>
      </c>
      <c r="H14" s="7" t="n">
        <f aca="false">IF(E14&gt;0,F14/E14,0)</f>
        <v>0.457831325301205</v>
      </c>
      <c r="I14" s="8" t="n">
        <f aca="false">SUMIFS(7F_4_CrossSect_NGBR!$L$6:$L$256,7F_4_CrossSect_NGBR!$B$6:$B$256,"IS")</f>
        <v>72354.9960781014</v>
      </c>
      <c r="J14" s="8" t="n">
        <f aca="false">SUMIFS(7F_4_CrossSect_NGBR!$L$6:$L$256,7F_4_CrossSect_NGBR!$B$6:$B$256,"OOS")</f>
        <v>-302371.041397698</v>
      </c>
      <c r="K14" s="8" t="n">
        <f aca="false">SUM(7F_4_CrossSect_NGBR!$L$6:$L$256)</f>
        <v>-217772.769893637</v>
      </c>
      <c r="L14" s="8" t="n">
        <f aca="false">_xlfn.MAXIFS(7F_4_CrossSect_NGBR!$L$6:$L$256,7F_4_CrossSect_NGBR!$D$6:$D$256,"&lt;&gt;")</f>
        <v>92886.9894545701</v>
      </c>
      <c r="M14" s="8" t="n">
        <f aca="false">_xlfn.MINIFS(7F_4_CrossSect_NGBR!$L$6:$L$256,7F_4_CrossSect_NGBR!$D$6:$D$256,"&lt;&gt;")</f>
        <v>-52228.3538329349</v>
      </c>
      <c r="N14" s="6" t="n">
        <f aca="false">MAX(7F_4_CrossSect_NGBR!$O$6:$O$256)</f>
        <v>6</v>
      </c>
      <c r="O14" s="9" t="n">
        <v>-217772.77</v>
      </c>
      <c r="P14" s="5" t="s">
        <v>27</v>
      </c>
      <c r="Q14" s="8" t="n">
        <f aca="false">IF(P14="OOS",J14,K14)-O14</f>
        <v>0.000106363091617823</v>
      </c>
      <c r="R14" s="5" t="s">
        <v>28</v>
      </c>
    </row>
    <row r="15" customFormat="false" ht="15" hidden="false" customHeight="false" outlineLevel="0" collapsed="false">
      <c r="A15" s="4" t="s">
        <v>43</v>
      </c>
      <c r="B15" s="5" t="s">
        <v>24</v>
      </c>
      <c r="C15" s="5" t="s">
        <v>25</v>
      </c>
      <c r="D15" s="5" t="s">
        <v>44</v>
      </c>
      <c r="E15" s="6" t="n">
        <f aca="false">COUNTIFS(7F_5_Carry_BR!$D$6:$D$140,"&lt;&gt;")</f>
        <v>135</v>
      </c>
      <c r="F15" s="6" t="n">
        <f aca="false">COUNTIFS(7F_5_Carry_BR!$L$6:$L$140,"&gt;0",7F_5_Carry_BR!$D$6:$D$140,"&lt;&gt;")</f>
        <v>77</v>
      </c>
      <c r="G15" s="6" t="n">
        <f aca="false">COUNTIFS(7F_5_Carry_BR!$L$6:$L$140,"&lt;0",7F_5_Carry_BR!$D$6:$D$140,"&lt;&gt;")</f>
        <v>58</v>
      </c>
      <c r="H15" s="7" t="n">
        <f aca="false">IF(E15&gt;0,F15/E15,0)</f>
        <v>0.57037037037037</v>
      </c>
      <c r="I15" s="8" t="n">
        <f aca="false">SUMIFS(7F_5_Carry_BR!$L$6:$L$140,7F_5_Carry_BR!$B$6:$B$140,"IS")</f>
        <v>1158861.24216138</v>
      </c>
      <c r="J15" s="8" t="n">
        <f aca="false">SUMIFS(7F_5_Carry_BR!$L$6:$L$140,7F_5_Carry_BR!$B$6:$B$140,"OOS")</f>
        <v>413586.51639566</v>
      </c>
      <c r="K15" s="8" t="n">
        <f aca="false">SUM(7F_5_Carry_BR!$L$6:$L$140)</f>
        <v>1572447.75855704</v>
      </c>
      <c r="L15" s="8" t="n">
        <f aca="false">_xlfn.MAXIFS(7F_5_Carry_BR!$L$6:$L$140,7F_5_Carry_BR!$D$6:$D$140,"&lt;&gt;")</f>
        <v>226073.341359498</v>
      </c>
      <c r="M15" s="8" t="n">
        <f aca="false">_xlfn.MINIFS(7F_5_Carry_BR!$L$6:$L$140,7F_5_Carry_BR!$D$6:$D$140,"&lt;&gt;")</f>
        <v>-135967.923183003</v>
      </c>
      <c r="N15" s="6" t="n">
        <f aca="false">MAX(7F_5_Carry_BR!$O$6:$O$140)</f>
        <v>7</v>
      </c>
      <c r="O15" s="9" t="n">
        <v>1572447.76</v>
      </c>
      <c r="P15" s="5" t="s">
        <v>27</v>
      </c>
      <c r="Q15" s="8" t="n">
        <f aca="false">IF(P15="OOS",J15,K15)-O15</f>
        <v>-0.00144295860081911</v>
      </c>
      <c r="R15" s="5" t="s">
        <v>28</v>
      </c>
    </row>
    <row r="16" customFormat="false" ht="15" hidden="false" customHeight="false" outlineLevel="0" collapsed="false">
      <c r="A16" s="4" t="s">
        <v>45</v>
      </c>
      <c r="B16" s="5" t="s">
        <v>24</v>
      </c>
      <c r="C16" s="5" t="s">
        <v>30</v>
      </c>
      <c r="D16" s="5" t="s">
        <v>46</v>
      </c>
      <c r="E16" s="6" t="n">
        <f aca="false">COUNTIFS(7F_5_Carry_NG!$D$6:$D$84,"&lt;&gt;")</f>
        <v>78</v>
      </c>
      <c r="F16" s="6" t="n">
        <f aca="false">COUNTIFS(7F_5_Carry_NG!$L$6:$L$84,"&gt;0",7F_5_Carry_NG!$D$6:$D$84,"&lt;&gt;")</f>
        <v>43</v>
      </c>
      <c r="G16" s="6" t="n">
        <f aca="false">COUNTIFS(7F_5_Carry_NG!$L$6:$L$84,"&lt;0",7F_5_Carry_NG!$D$6:$D$84,"&lt;&gt;")</f>
        <v>35</v>
      </c>
      <c r="H16" s="7" t="n">
        <f aca="false">IF(E16&gt;0,F16/E16,0)</f>
        <v>0.551282051282051</v>
      </c>
      <c r="I16" s="8" t="n">
        <f aca="false">SUMIFS(7F_5_Carry_NG!$L$6:$L$84,7F_5_Carry_NG!$B$6:$B$84,"IS")</f>
        <v>-210750.570285796</v>
      </c>
      <c r="J16" s="8" t="n">
        <f aca="false">SUMIFS(7F_5_Carry_NG!$L$6:$L$84,7F_5_Carry_NG!$B$6:$B$84,"OOS")</f>
        <v>186603.314404845</v>
      </c>
      <c r="K16" s="8" t="n">
        <f aca="false">SUM(7F_5_Carry_NG!$L$6:$L$84)</f>
        <v>-13688.3685843281</v>
      </c>
      <c r="L16" s="8" t="n">
        <f aca="false">_xlfn.MAXIFS(7F_5_Carry_NG!$L$6:$L$84,7F_5_Carry_NG!$D$6:$D$84,"&lt;&gt;")</f>
        <v>79566.7624634494</v>
      </c>
      <c r="M16" s="8" t="n">
        <f aca="false">_xlfn.MINIFS(7F_5_Carry_NG!$L$6:$L$84,7F_5_Carry_NG!$D$6:$D$84,"&lt;&gt;")</f>
        <v>-146474.511344875</v>
      </c>
      <c r="N16" s="6" t="n">
        <f aca="false">MAX(7F_5_Carry_NG!$O$6:$O$84)</f>
        <v>8</v>
      </c>
      <c r="O16" s="9" t="n">
        <v>-13688.37</v>
      </c>
      <c r="P16" s="5" t="s">
        <v>27</v>
      </c>
      <c r="Q16" s="8" t="n">
        <f aca="false">IF(P16="OOS",J16,K16)-O16</f>
        <v>0.00141567188074987</v>
      </c>
      <c r="R16" s="5" t="s">
        <v>28</v>
      </c>
    </row>
    <row r="17" customFormat="false" ht="15" hidden="false" customHeight="false" outlineLevel="0" collapsed="false">
      <c r="A17" s="4" t="s">
        <v>47</v>
      </c>
      <c r="B17" s="5" t="s">
        <v>24</v>
      </c>
      <c r="C17" s="5" t="s">
        <v>41</v>
      </c>
      <c r="D17" s="5" t="s">
        <v>48</v>
      </c>
      <c r="E17" s="6" t="n">
        <f aca="false">COUNTIFS(7F_6_PortfolioMA_NGBR!$D$6:$D$146,"&lt;&gt;")</f>
        <v>139</v>
      </c>
      <c r="F17" s="6" t="n">
        <f aca="false">COUNTIFS(7F_6_PortfolioMA_NGBR!$L$6:$L$146,"&gt;0",7F_6_PortfolioMA_NGBR!$D$6:$D$146,"&lt;&gt;")</f>
        <v>84</v>
      </c>
      <c r="G17" s="6" t="n">
        <f aca="false">COUNTIFS(7F_6_PortfolioMA_NGBR!$L$6:$L$146,"&lt;0",7F_6_PortfolioMA_NGBR!$D$6:$D$146,"&lt;&gt;")</f>
        <v>55</v>
      </c>
      <c r="H17" s="7" t="n">
        <f aca="false">IF(E17&gt;0,F17/E17,0)</f>
        <v>0.60431654676259</v>
      </c>
      <c r="I17" s="8" t="n">
        <f aca="false">SUMIFS(7F_6_PortfolioMA_NGBR!$L$6:$L$146,7F_6_PortfolioMA_NGBR!$B$6:$B$146,"IS")</f>
        <v>462010.581158364</v>
      </c>
      <c r="J17" s="8" t="n">
        <f aca="false">SUMIFS(7F_6_PortfolioMA_NGBR!$L$6:$L$146,7F_6_PortfolioMA_NGBR!$B$6:$B$146,"OOS")</f>
        <v>-158613.238365212</v>
      </c>
      <c r="K17" s="8" t="n">
        <f aca="false">SUM(7F_6_PortfolioMA_NGBR!$L$6:$L$146)</f>
        <v>312686.047706114</v>
      </c>
      <c r="L17" s="8" t="n">
        <f aca="false">_xlfn.MAXIFS(7F_6_PortfolioMA_NGBR!$L$6:$L$146,7F_6_PortfolioMA_NGBR!$D$6:$D$146,"&lt;&gt;")</f>
        <v>84484.5991558764</v>
      </c>
      <c r="M17" s="8" t="n">
        <f aca="false">_xlfn.MINIFS(7F_6_PortfolioMA_NGBR!$L$6:$L$146,7F_6_PortfolioMA_NGBR!$D$6:$D$146,"&lt;&gt;")</f>
        <v>-42388.3138656748</v>
      </c>
      <c r="N17" s="6" t="n">
        <f aca="false">MAX(7F_6_PortfolioMA_NGBR!$O$6:$O$146)</f>
        <v>6</v>
      </c>
      <c r="O17" s="9" t="n">
        <v>312686.05</v>
      </c>
      <c r="P17" s="5" t="s">
        <v>27</v>
      </c>
      <c r="Q17" s="8" t="n">
        <f aca="false">IF(P17="OOS",J17,K17)-O17</f>
        <v>-0.00229388609295711</v>
      </c>
      <c r="R17" s="5" t="s">
        <v>28</v>
      </c>
    </row>
    <row r="18" customFormat="false" ht="15" hidden="false" customHeight="false" outlineLevel="0" collapsed="false">
      <c r="A18" s="4" t="s">
        <v>49</v>
      </c>
      <c r="B18" s="5" t="s">
        <v>24</v>
      </c>
      <c r="C18" s="5" t="s">
        <v>25</v>
      </c>
      <c r="D18" s="5" t="s">
        <v>50</v>
      </c>
      <c r="E18" s="6" t="n">
        <f aca="false">COUNTIFS(7F_7_MomRev_BR!$D$6:$D$175,"&lt;&gt;")</f>
        <v>170</v>
      </c>
      <c r="F18" s="6" t="n">
        <f aca="false">COUNTIFS(7F_7_MomRev_BR!$L$6:$L$175,"&gt;0",7F_7_MomRev_BR!$D$6:$D$175,"&lt;&gt;")</f>
        <v>87</v>
      </c>
      <c r="G18" s="6" t="n">
        <f aca="false">COUNTIFS(7F_7_MomRev_BR!$L$6:$L$175,"&lt;0",7F_7_MomRev_BR!$D$6:$D$175,"&lt;&gt;")</f>
        <v>83</v>
      </c>
      <c r="H18" s="7" t="n">
        <f aca="false">IF(E18&gt;0,F18/E18,0)</f>
        <v>0.511764705882353</v>
      </c>
      <c r="I18" s="8" t="n">
        <f aca="false">SUMIFS(7F_7_MomRev_BR!$L$6:$L$175,7F_7_MomRev_BR!$B$6:$B$175,"IS")</f>
        <v>473708.864067649</v>
      </c>
      <c r="J18" s="8" t="n">
        <f aca="false">SUMIFS(7F_7_MomRev_BR!$L$6:$L$175,7F_7_MomRev_BR!$B$6:$B$175,"OOS")</f>
        <v>268356.838328096</v>
      </c>
      <c r="K18" s="8" t="n">
        <f aca="false">SUM(7F_7_MomRev_BR!$L$6:$L$175)</f>
        <v>742065.702395745</v>
      </c>
      <c r="L18" s="8" t="n">
        <f aca="false">_xlfn.MAXIFS(7F_7_MomRev_BR!$L$6:$L$175,7F_7_MomRev_BR!$D$6:$D$175,"&lt;&gt;")</f>
        <v>165160.239751679</v>
      </c>
      <c r="M18" s="8" t="n">
        <f aca="false">_xlfn.MINIFS(7F_7_MomRev_BR!$L$6:$L$175,7F_7_MomRev_BR!$D$6:$D$175,"&lt;&gt;")</f>
        <v>-54940.9922619446</v>
      </c>
      <c r="N18" s="6" t="n">
        <f aca="false">MAX(7F_7_MomRev_BR!$O$6:$O$175)</f>
        <v>9</v>
      </c>
      <c r="O18" s="9" t="n">
        <v>742065.7</v>
      </c>
      <c r="P18" s="5" t="s">
        <v>27</v>
      </c>
      <c r="Q18" s="8" t="n">
        <f aca="false">IF(P18="OOS",J18,K18)-O18</f>
        <v>0.00239574501756579</v>
      </c>
      <c r="R18" s="5" t="s">
        <v>28</v>
      </c>
    </row>
    <row r="19" customFormat="false" ht="15" hidden="false" customHeight="false" outlineLevel="0" collapsed="false">
      <c r="A19" s="4" t="s">
        <v>51</v>
      </c>
      <c r="B19" s="5" t="s">
        <v>24</v>
      </c>
      <c r="C19" s="5" t="s">
        <v>30</v>
      </c>
      <c r="D19" s="5" t="s">
        <v>52</v>
      </c>
      <c r="E19" s="6" t="n">
        <f aca="false">COUNTIFS(7F_7_MomRev_NG!$D$6:$D$111,"&lt;&gt;")</f>
        <v>105</v>
      </c>
      <c r="F19" s="6" t="n">
        <f aca="false">COUNTIFS(7F_7_MomRev_NG!$L$6:$L$111,"&gt;0",7F_7_MomRev_NG!$D$6:$D$111,"&lt;&gt;")</f>
        <v>52</v>
      </c>
      <c r="G19" s="6" t="n">
        <f aca="false">COUNTIFS(7F_7_MomRev_NG!$L$6:$L$111,"&lt;0",7F_7_MomRev_NG!$D$6:$D$111,"&lt;&gt;")</f>
        <v>53</v>
      </c>
      <c r="H19" s="7" t="n">
        <f aca="false">IF(E19&gt;0,F19/E19,0)</f>
        <v>0.495238095238095</v>
      </c>
      <c r="I19" s="8" t="n">
        <f aca="false">SUMIFS(7F_7_MomRev_NG!$L$6:$L$111,7F_7_MomRev_NG!$B$6:$B$111,"IS")</f>
        <v>7851.06788352895</v>
      </c>
      <c r="J19" s="8" t="n">
        <f aca="false">SUMIFS(7F_7_MomRev_NG!$L$6:$L$111,7F_7_MomRev_NG!$B$6:$B$111,"OOS")</f>
        <v>-59177.6488608125</v>
      </c>
      <c r="K19" s="8" t="n">
        <f aca="false">SUM(7F_7_MomRev_NG!$L$6:$L$111)</f>
        <v>-51326.5809772836</v>
      </c>
      <c r="L19" s="8" t="n">
        <f aca="false">_xlfn.MAXIFS(7F_7_MomRev_NG!$L$6:$L$111,7F_7_MomRev_NG!$D$6:$D$111,"&lt;&gt;")</f>
        <v>118765.514480108</v>
      </c>
      <c r="M19" s="8" t="n">
        <f aca="false">_xlfn.MINIFS(7F_7_MomRev_NG!$L$6:$L$111,7F_7_MomRev_NG!$D$6:$D$111,"&lt;&gt;")</f>
        <v>-78115.5069809481</v>
      </c>
      <c r="N19" s="6" t="n">
        <f aca="false">MAX(7F_7_MomRev_NG!$O$6:$O$111)</f>
        <v>8</v>
      </c>
      <c r="O19" s="9" t="n">
        <v>-51326.58</v>
      </c>
      <c r="P19" s="5" t="s">
        <v>27</v>
      </c>
      <c r="Q19" s="8" t="n">
        <f aca="false">IF(P19="OOS",J19,K19)-O19</f>
        <v>-0.000977283554675523</v>
      </c>
      <c r="R19" s="5" t="s">
        <v>28</v>
      </c>
    </row>
  </sheetData>
  <hyperlinks>
    <hyperlink ref="A8" r:id="rId1" location="'7F_1_TSMOM_BR'!A1" display="7F_1_TSMOM_BR"/>
    <hyperlink ref="A9" r:id="rId2" location="'7F_1_TSMOM_NG'!A1" display="7F_1_TSMOM_NG"/>
    <hyperlink ref="A10" r:id="rId3" location="'7F_2_DualMA_BR'!A1" display="7F_2_DualMA_BR"/>
    <hyperlink ref="A11" r:id="rId4" location="'7F_2_DualMA_NG'!A1" display="7F_2_DualMA_NG"/>
    <hyperlink ref="A12" r:id="rId5" location="'7F_3_Breakout_BR'!A1" display="7F_3_Breakout_BR"/>
    <hyperlink ref="A13" r:id="rId6" location="'7F_3_Breakout_NG'!A1" display="7F_3_Breakout_NG"/>
    <hyperlink ref="A14" r:id="rId7" location="'7F_4_CrossSect_NGBR'!A1" display="7F_4_CrossSect_NGBR"/>
    <hyperlink ref="A15" r:id="rId8" location="'7F_5_Carry_BR'!A1" display="7F_5_Carry_BR"/>
    <hyperlink ref="A16" r:id="rId9" location="'7F_5_Carry_NG'!A1" display="7F_5_Carry_NG"/>
    <hyperlink ref="A17" r:id="rId10" location="'7F_6_PortfolioMA_NGBR'!A1" display="7F_6_PortfolioMA_NGBR"/>
    <hyperlink ref="A18" r:id="rId11" location="'7F_7_MomRev_BR'!A1" display="7F_7_MomRev_BR"/>
    <hyperlink ref="A19" r:id="rId12" location="'7F_7_MomRev_NG'!A1" display="7F_7_MomRev_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5" min="4" style="0" width="17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9" min="8" style="0" width="12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7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60"/>
  </cols>
  <sheetData>
    <row r="1" customFormat="false" ht="15" hidden="false" customHeight="false" outlineLevel="0" collapsed="false">
      <c r="A1" s="10" t="s">
        <v>26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A3" s="2" t="s">
        <v>54</v>
      </c>
    </row>
    <row r="5" customFormat="false" ht="30" hidden="false" customHeight="true" outlineLevel="0" collapsed="false">
      <c r="A5" s="3" t="s">
        <v>55</v>
      </c>
      <c r="B5" s="3" t="s">
        <v>56</v>
      </c>
      <c r="C5" s="3" t="s">
        <v>57</v>
      </c>
      <c r="D5" s="3" t="s">
        <v>58</v>
      </c>
      <c r="E5" s="3" t="s">
        <v>59</v>
      </c>
      <c r="F5" s="3" t="s">
        <v>60</v>
      </c>
      <c r="G5" s="3" t="s">
        <v>61</v>
      </c>
      <c r="H5" s="3" t="s">
        <v>62</v>
      </c>
      <c r="I5" s="3" t="s">
        <v>63</v>
      </c>
      <c r="J5" s="3" t="s">
        <v>64</v>
      </c>
      <c r="K5" s="3" t="s">
        <v>65</v>
      </c>
      <c r="L5" s="3" t="s">
        <v>66</v>
      </c>
      <c r="M5" s="3" t="s">
        <v>67</v>
      </c>
      <c r="N5" s="3" t="s">
        <v>68</v>
      </c>
      <c r="O5" s="3" t="s">
        <v>69</v>
      </c>
      <c r="P5" s="3" t="s">
        <v>70</v>
      </c>
      <c r="Q5" s="3" t="s">
        <v>71</v>
      </c>
    </row>
    <row r="6" customFormat="false" ht="15" hidden="false" customHeight="false" outlineLevel="0" collapsed="false">
      <c r="A6" s="6" t="n">
        <v>1</v>
      </c>
      <c r="B6" s="5" t="s">
        <v>72</v>
      </c>
      <c r="C6" s="5" t="s">
        <v>25</v>
      </c>
      <c r="D6" s="11" t="n">
        <v>40954</v>
      </c>
      <c r="E6" s="11" t="n">
        <v>40970</v>
      </c>
      <c r="F6" s="5" t="s">
        <v>73</v>
      </c>
      <c r="G6" s="12" t="n">
        <v>346662.80837223</v>
      </c>
      <c r="H6" s="13" t="n">
        <v>118</v>
      </c>
      <c r="I6" s="13" t="n">
        <v>126.01</v>
      </c>
      <c r="J6" s="5" t="s">
        <v>74</v>
      </c>
      <c r="K6" s="8" t="n">
        <v>76.089574295393</v>
      </c>
      <c r="L6" s="8" t="n">
        <v>20333.0809841861</v>
      </c>
      <c r="M6" s="8" t="n">
        <f aca="false">L6</f>
        <v>20333.0809841861</v>
      </c>
      <c r="N6" s="5" t="str">
        <f aca="false">IF(L6&gt;0,"прибыль",IF(L6&lt;0,"убыток","ноль"))</f>
        <v>прибыль</v>
      </c>
      <c r="O6" s="6" t="n">
        <f aca="false">IF(L6&lt;0,1,0)</f>
        <v>0</v>
      </c>
      <c r="P6" s="6" t="n">
        <v>11</v>
      </c>
    </row>
    <row r="7" customFormat="false" ht="15" hidden="false" customHeight="false" outlineLevel="0" collapsed="false">
      <c r="A7" s="6" t="n">
        <v>2</v>
      </c>
      <c r="B7" s="5" t="s">
        <v>72</v>
      </c>
      <c r="C7" s="5" t="s">
        <v>25</v>
      </c>
      <c r="D7" s="11" t="n">
        <v>40970</v>
      </c>
      <c r="E7" s="11" t="n">
        <v>41010</v>
      </c>
      <c r="F7" s="5" t="s">
        <v>73</v>
      </c>
      <c r="G7" s="12" t="n">
        <v>808056.698604918</v>
      </c>
      <c r="H7" s="13" t="n">
        <v>126.01</v>
      </c>
      <c r="I7" s="13" t="n">
        <v>120.02</v>
      </c>
      <c r="J7" s="5" t="s">
        <v>74</v>
      </c>
      <c r="K7" s="8" t="n">
        <v>84.2019775712951</v>
      </c>
      <c r="L7" s="8" t="n">
        <v>-8124.39868381839</v>
      </c>
      <c r="M7" s="8" t="n">
        <f aca="false">M6+L7</f>
        <v>12208.6823003677</v>
      </c>
      <c r="N7" s="5" t="str">
        <f aca="false">IF(L7&gt;0,"прибыль",IF(L7&lt;0,"убыток","ноль"))</f>
        <v>убыток</v>
      </c>
      <c r="O7" s="6" t="n">
        <f aca="false">IF(L7&lt;0,O6+1,0)</f>
        <v>1</v>
      </c>
      <c r="P7" s="6" t="n">
        <v>27</v>
      </c>
    </row>
    <row r="8" customFormat="false" ht="15" hidden="false" customHeight="false" outlineLevel="0" collapsed="false">
      <c r="A8" s="6" t="n">
        <v>3</v>
      </c>
      <c r="B8" s="5" t="s">
        <v>72</v>
      </c>
      <c r="C8" s="5" t="s">
        <v>25</v>
      </c>
      <c r="D8" s="11" t="n">
        <v>41010</v>
      </c>
      <c r="E8" s="11" t="n">
        <v>41012</v>
      </c>
      <c r="F8" s="5" t="s">
        <v>75</v>
      </c>
      <c r="G8" s="12" t="n">
        <v>884023.049527231</v>
      </c>
      <c r="H8" s="13" t="n">
        <v>120.02</v>
      </c>
      <c r="I8" s="13" t="n">
        <v>121.5</v>
      </c>
      <c r="K8" s="8" t="n">
        <v>87.3469198991358</v>
      </c>
      <c r="L8" s="8" t="n">
        <v>-12489.4003410207</v>
      </c>
      <c r="M8" s="8" t="n">
        <f aca="false">M7+L8</f>
        <v>-280.718040652919</v>
      </c>
      <c r="N8" s="5" t="str">
        <f aca="false">IF(L8&gt;0,"прибыль",IF(L8&lt;0,"убыток","ноль"))</f>
        <v>убыток</v>
      </c>
      <c r="O8" s="6" t="n">
        <f aca="false">IF(L8&lt;0,O7+1,0)</f>
        <v>2</v>
      </c>
      <c r="P8" s="6" t="n">
        <v>2</v>
      </c>
    </row>
    <row r="9" customFormat="false" ht="15" hidden="false" customHeight="false" outlineLevel="0" collapsed="false">
      <c r="A9" s="6" t="n">
        <v>4</v>
      </c>
      <c r="B9" s="5" t="s">
        <v>72</v>
      </c>
      <c r="C9" s="5" t="s">
        <v>25</v>
      </c>
      <c r="D9" s="11" t="n">
        <v>41012</v>
      </c>
      <c r="E9" s="11" t="n">
        <v>41016</v>
      </c>
      <c r="F9" s="5" t="s">
        <v>73</v>
      </c>
      <c r="G9" s="12" t="n">
        <v>850513.295034363</v>
      </c>
      <c r="H9" s="13" t="n">
        <v>121.5</v>
      </c>
      <c r="I9" s="13" t="n">
        <v>118.33</v>
      </c>
      <c r="J9" s="5" t="s">
        <v>74</v>
      </c>
      <c r="K9" s="8" t="n">
        <v>84.9643539093043</v>
      </c>
      <c r="L9" s="8" t="n">
        <v>429.534395775978</v>
      </c>
      <c r="M9" s="8" t="n">
        <f aca="false">M8+L9</f>
        <v>148.816355123059</v>
      </c>
      <c r="N9" s="5" t="str">
        <f aca="false">IF(L9&gt;0,"прибыль",IF(L9&lt;0,"убыток","ноль"))</f>
        <v>прибыль</v>
      </c>
      <c r="O9" s="6" t="n">
        <f aca="false">IF(L9&lt;0,O8+1,0)</f>
        <v>0</v>
      </c>
      <c r="P9" s="6" t="n">
        <v>2</v>
      </c>
    </row>
    <row r="10" customFormat="false" ht="15" hidden="false" customHeight="false" outlineLevel="0" collapsed="false">
      <c r="A10" s="6" t="n">
        <v>5</v>
      </c>
      <c r="B10" s="5" t="s">
        <v>72</v>
      </c>
      <c r="C10" s="5" t="s">
        <v>25</v>
      </c>
      <c r="D10" s="11" t="n">
        <v>41016</v>
      </c>
      <c r="E10" s="11" t="n">
        <v>41017</v>
      </c>
      <c r="F10" s="5" t="s">
        <v>75</v>
      </c>
      <c r="G10" s="12" t="n">
        <v>848259.284402038</v>
      </c>
      <c r="H10" s="13" t="n">
        <v>118.33</v>
      </c>
      <c r="I10" s="13" t="n">
        <v>118.75</v>
      </c>
      <c r="K10" s="8" t="n">
        <v>85.7880924681159</v>
      </c>
      <c r="L10" s="8" t="n">
        <v>-4536.5537640054</v>
      </c>
      <c r="M10" s="8" t="n">
        <f aca="false">M9+L10</f>
        <v>-4387.73740888235</v>
      </c>
      <c r="N10" s="5" t="str">
        <f aca="false">IF(L10&gt;0,"прибыль",IF(L10&lt;0,"убыток","ноль"))</f>
        <v>убыток</v>
      </c>
      <c r="O10" s="6" t="n">
        <f aca="false">IF(L10&lt;0,O9+1,0)</f>
        <v>1</v>
      </c>
      <c r="P10" s="6" t="n">
        <v>1</v>
      </c>
    </row>
    <row r="11" customFormat="false" ht="15" hidden="false" customHeight="false" outlineLevel="0" collapsed="false">
      <c r="A11" s="6" t="n">
        <v>6</v>
      </c>
      <c r="B11" s="5" t="s">
        <v>72</v>
      </c>
      <c r="C11" s="5" t="s">
        <v>25</v>
      </c>
      <c r="D11" s="11" t="n">
        <v>41017</v>
      </c>
      <c r="E11" s="11" t="n">
        <v>41018</v>
      </c>
      <c r="F11" s="5" t="s">
        <v>73</v>
      </c>
      <c r="G11" s="12" t="n">
        <v>863051.799288743</v>
      </c>
      <c r="H11" s="13" t="n">
        <v>118.75</v>
      </c>
      <c r="I11" s="13" t="n">
        <v>118.1</v>
      </c>
      <c r="K11" s="8" t="n">
        <v>85.7440215002243</v>
      </c>
      <c r="L11" s="8" t="n">
        <v>-6253.91887892514</v>
      </c>
      <c r="M11" s="8" t="n">
        <f aca="false">M10+L11</f>
        <v>-10641.6562878075</v>
      </c>
      <c r="N11" s="5" t="str">
        <f aca="false">IF(L11&gt;0,"прибыль",IF(L11&lt;0,"убыток","ноль"))</f>
        <v>убыток</v>
      </c>
      <c r="O11" s="6" t="n">
        <f aca="false">IF(L11&lt;0,O10+1,0)</f>
        <v>2</v>
      </c>
      <c r="P11" s="6" t="n">
        <v>1</v>
      </c>
    </row>
    <row r="12" customFormat="false" ht="15" hidden="false" customHeight="false" outlineLevel="0" collapsed="false">
      <c r="A12" s="6" t="n">
        <v>7</v>
      </c>
      <c r="B12" s="5" t="s">
        <v>72</v>
      </c>
      <c r="C12" s="5" t="s">
        <v>25</v>
      </c>
      <c r="D12" s="11" t="n">
        <v>41018</v>
      </c>
      <c r="E12" s="11" t="n">
        <v>41065</v>
      </c>
      <c r="F12" s="5" t="s">
        <v>75</v>
      </c>
      <c r="G12" s="12" t="n">
        <v>220358.456799345</v>
      </c>
      <c r="H12" s="13" t="n">
        <v>118.1</v>
      </c>
      <c r="I12" s="13" t="n">
        <v>99.2</v>
      </c>
      <c r="J12" s="5" t="s">
        <v>74</v>
      </c>
      <c r="K12" s="8" t="n">
        <v>18.6498369225975</v>
      </c>
      <c r="L12" s="8" t="n">
        <v>26871.1594475388</v>
      </c>
      <c r="M12" s="8" t="n">
        <f aca="false">M11+L12</f>
        <v>16229.5031597313</v>
      </c>
      <c r="N12" s="5" t="str">
        <f aca="false">IF(L12&gt;0,"прибыль",IF(L12&lt;0,"убыток","ноль"))</f>
        <v>прибыль</v>
      </c>
      <c r="O12" s="6" t="n">
        <f aca="false">IF(L12&lt;0,O11+1,0)</f>
        <v>0</v>
      </c>
      <c r="P12" s="6" t="n">
        <v>33</v>
      </c>
    </row>
    <row r="13" customFormat="false" ht="15" hidden="false" customHeight="false" outlineLevel="0" collapsed="false">
      <c r="A13" s="6" t="n">
        <v>8</v>
      </c>
      <c r="B13" s="5" t="s">
        <v>72</v>
      </c>
      <c r="C13" s="5" t="s">
        <v>25</v>
      </c>
      <c r="D13" s="11" t="n">
        <v>41065</v>
      </c>
      <c r="E13" s="11" t="n">
        <v>41085</v>
      </c>
      <c r="F13" s="5" t="s">
        <v>75</v>
      </c>
      <c r="G13" s="12" t="n">
        <v>177295.341918658</v>
      </c>
      <c r="H13" s="13" t="n">
        <v>99.2</v>
      </c>
      <c r="I13" s="13" t="n">
        <v>90.81</v>
      </c>
      <c r="J13" s="5" t="s">
        <v>74</v>
      </c>
      <c r="K13" s="8" t="n">
        <v>7.06678975567559</v>
      </c>
      <c r="L13" s="8" t="n">
        <v>35952.4800153902</v>
      </c>
      <c r="M13" s="8" t="n">
        <f aca="false">M12+L13</f>
        <v>52181.9831751215</v>
      </c>
      <c r="N13" s="5" t="str">
        <f aca="false">IF(L13&gt;0,"прибыль",IF(L13&lt;0,"убыток","ноль"))</f>
        <v>прибыль</v>
      </c>
      <c r="O13" s="6" t="n">
        <f aca="false">IF(L13&lt;0,O12+1,0)</f>
        <v>0</v>
      </c>
      <c r="P13" s="6" t="n">
        <v>13</v>
      </c>
    </row>
    <row r="14" customFormat="false" ht="15" hidden="false" customHeight="false" outlineLevel="0" collapsed="false">
      <c r="A14" s="6" t="n">
        <v>9</v>
      </c>
      <c r="B14" s="5" t="s">
        <v>72</v>
      </c>
      <c r="C14" s="5" t="s">
        <v>25</v>
      </c>
      <c r="D14" s="11" t="n">
        <v>41085</v>
      </c>
      <c r="E14" s="11" t="n">
        <v>41092</v>
      </c>
      <c r="F14" s="5" t="s">
        <v>75</v>
      </c>
      <c r="G14" s="12" t="n">
        <v>167097.129933981</v>
      </c>
      <c r="H14" s="13" t="n">
        <v>90.81</v>
      </c>
      <c r="I14" s="13" t="n">
        <v>97.03</v>
      </c>
      <c r="K14" s="8" t="n">
        <v>7.11824102037409</v>
      </c>
      <c r="L14" s="8" t="n">
        <v>24725.1912854785</v>
      </c>
      <c r="M14" s="8" t="n">
        <f aca="false">M13+L14</f>
        <v>76907.1744606</v>
      </c>
      <c r="N14" s="5" t="str">
        <f aca="false">IF(L14&gt;0,"прибыль",IF(L14&lt;0,"убыток","ноль"))</f>
        <v>прибыль</v>
      </c>
      <c r="O14" s="6" t="n">
        <f aca="false">IF(L14&lt;0,O13+1,0)</f>
        <v>0</v>
      </c>
      <c r="P14" s="6" t="n">
        <v>5</v>
      </c>
    </row>
    <row r="15" customFormat="false" ht="15" hidden="false" customHeight="false" outlineLevel="0" collapsed="false">
      <c r="A15" s="6" t="n">
        <v>10</v>
      </c>
      <c r="B15" s="5" t="s">
        <v>72</v>
      </c>
      <c r="C15" s="5" t="s">
        <v>25</v>
      </c>
      <c r="D15" s="11" t="n">
        <v>41092</v>
      </c>
      <c r="E15" s="11" t="n">
        <v>41110</v>
      </c>
      <c r="F15" s="5" t="s">
        <v>75</v>
      </c>
      <c r="G15" s="12" t="n">
        <v>472773.967858252</v>
      </c>
      <c r="H15" s="13" t="n">
        <v>97.03</v>
      </c>
      <c r="I15" s="13" t="n">
        <v>107.49</v>
      </c>
      <c r="J15" s="5" t="s">
        <v>74</v>
      </c>
      <c r="K15" s="8" t="n">
        <v>45.0480655324507</v>
      </c>
      <c r="L15" s="8" t="n">
        <v>26651.539356306</v>
      </c>
      <c r="M15" s="8" t="n">
        <f aca="false">M14+L15</f>
        <v>103558.713816906</v>
      </c>
      <c r="N15" s="5" t="str">
        <f aca="false">IF(L15&gt;0,"прибыль",IF(L15&lt;0,"убыток","ноль"))</f>
        <v>прибыль</v>
      </c>
      <c r="O15" s="6" t="n">
        <f aca="false">IF(L15&lt;0,O14+1,0)</f>
        <v>0</v>
      </c>
      <c r="P15" s="6" t="n">
        <v>14</v>
      </c>
    </row>
    <row r="16" customFormat="false" ht="15" hidden="false" customHeight="false" outlineLevel="0" collapsed="false">
      <c r="A16" s="6" t="n">
        <v>11</v>
      </c>
      <c r="B16" s="5" t="s">
        <v>72</v>
      </c>
      <c r="C16" s="5" t="s">
        <v>25</v>
      </c>
      <c r="D16" s="11" t="n">
        <v>41110</v>
      </c>
      <c r="E16" s="11" t="n">
        <v>41113</v>
      </c>
      <c r="F16" s="5" t="s">
        <v>73</v>
      </c>
      <c r="G16" s="12" t="n">
        <v>454883.9302126</v>
      </c>
      <c r="H16" s="13" t="n">
        <v>107.49</v>
      </c>
      <c r="I16" s="13" t="n">
        <v>106.35</v>
      </c>
      <c r="K16" s="8" t="n">
        <v>45.0286703733199</v>
      </c>
      <c r="L16" s="8" t="n">
        <v>-6062.49139419837</v>
      </c>
      <c r="M16" s="8" t="n">
        <f aca="false">M15+L16</f>
        <v>97496.2224227076</v>
      </c>
      <c r="N16" s="5" t="str">
        <f aca="false">IF(L16&gt;0,"прибыль",IF(L16&lt;0,"убыток","ноль"))</f>
        <v>убыток</v>
      </c>
      <c r="O16" s="6" t="n">
        <f aca="false">IF(L16&lt;0,O15+1,0)</f>
        <v>1</v>
      </c>
      <c r="P16" s="6" t="n">
        <v>1</v>
      </c>
    </row>
    <row r="17" customFormat="false" ht="15" hidden="false" customHeight="false" outlineLevel="0" collapsed="false">
      <c r="A17" s="6" t="n">
        <v>12</v>
      </c>
      <c r="B17" s="5" t="s">
        <v>72</v>
      </c>
      <c r="C17" s="5" t="s">
        <v>25</v>
      </c>
      <c r="D17" s="11" t="n">
        <v>41113</v>
      </c>
      <c r="E17" s="11" t="n">
        <v>41117</v>
      </c>
      <c r="F17" s="5" t="s">
        <v>75</v>
      </c>
      <c r="G17" s="12" t="n">
        <v>451706.939977623</v>
      </c>
      <c r="H17" s="13" t="n">
        <v>106.35</v>
      </c>
      <c r="I17" s="13" t="n">
        <v>105.77</v>
      </c>
      <c r="K17" s="8" t="n">
        <v>44.6835566589072</v>
      </c>
      <c r="L17" s="8" t="n">
        <v>1211.10268416945</v>
      </c>
      <c r="M17" s="8" t="n">
        <f aca="false">M16+L17</f>
        <v>98707.3251068771</v>
      </c>
      <c r="N17" s="5" t="str">
        <f aca="false">IF(L17&gt;0,"прибыль",IF(L17&lt;0,"убыток","ноль"))</f>
        <v>прибыль</v>
      </c>
      <c r="O17" s="6" t="n">
        <f aca="false">IF(L17&lt;0,O16+1,0)</f>
        <v>0</v>
      </c>
      <c r="P17" s="6" t="n">
        <v>4</v>
      </c>
    </row>
    <row r="18" customFormat="false" ht="15" hidden="false" customHeight="false" outlineLevel="0" collapsed="false">
      <c r="A18" s="6" t="n">
        <v>13</v>
      </c>
      <c r="B18" s="5" t="s">
        <v>72</v>
      </c>
      <c r="C18" s="5" t="s">
        <v>25</v>
      </c>
      <c r="D18" s="11" t="n">
        <v>41117</v>
      </c>
      <c r="E18" s="11" t="n">
        <v>41172</v>
      </c>
      <c r="F18" s="5" t="s">
        <v>73</v>
      </c>
      <c r="G18" s="12" t="n">
        <v>373628.045780783</v>
      </c>
      <c r="H18" s="13" t="n">
        <v>105.77</v>
      </c>
      <c r="I18" s="13" t="n">
        <v>107.9</v>
      </c>
      <c r="J18" s="5" t="s">
        <v>74</v>
      </c>
      <c r="K18" s="8" t="n">
        <v>49.9775604476832</v>
      </c>
      <c r="L18" s="8" t="n">
        <v>-98.367214158837</v>
      </c>
      <c r="M18" s="8" t="n">
        <f aca="false">M17+L18</f>
        <v>98608.9578927182</v>
      </c>
      <c r="N18" s="5" t="str">
        <f aca="false">IF(L18&gt;0,"прибыль",IF(L18&lt;0,"убыток","ноль"))</f>
        <v>убыток</v>
      </c>
      <c r="O18" s="6" t="n">
        <f aca="false">IF(L18&lt;0,O17+1,0)</f>
        <v>1</v>
      </c>
      <c r="P18" s="6" t="n">
        <v>39</v>
      </c>
    </row>
    <row r="19" customFormat="false" ht="15" hidden="false" customHeight="false" outlineLevel="0" collapsed="false">
      <c r="A19" s="6" t="n">
        <v>14</v>
      </c>
      <c r="B19" s="5" t="s">
        <v>72</v>
      </c>
      <c r="C19" s="5" t="s">
        <v>25</v>
      </c>
      <c r="D19" s="11" t="n">
        <v>41172</v>
      </c>
      <c r="E19" s="11" t="n">
        <v>41180</v>
      </c>
      <c r="F19" s="5" t="s">
        <v>73</v>
      </c>
      <c r="G19" s="12" t="n">
        <v>163319.64361399</v>
      </c>
      <c r="H19" s="13" t="n">
        <v>107.9</v>
      </c>
      <c r="I19" s="13" t="n">
        <v>112.42</v>
      </c>
      <c r="K19" s="8" t="n">
        <v>8.50543509701086</v>
      </c>
      <c r="L19" s="8" t="n">
        <v>6780.55289113009</v>
      </c>
      <c r="M19" s="8" t="n">
        <f aca="false">M18+L19</f>
        <v>105389.510783848</v>
      </c>
      <c r="N19" s="5" t="str">
        <f aca="false">IF(L19&gt;0,"прибыль",IF(L19&lt;0,"убыток","ноль"))</f>
        <v>прибыль</v>
      </c>
      <c r="O19" s="6" t="n">
        <f aca="false">IF(L19&lt;0,O18+1,0)</f>
        <v>0</v>
      </c>
      <c r="P19" s="6" t="n">
        <v>6</v>
      </c>
    </row>
    <row r="20" customFormat="false" ht="15" hidden="false" customHeight="false" outlineLevel="0" collapsed="false">
      <c r="A20" s="6" t="n">
        <v>15</v>
      </c>
      <c r="B20" s="5" t="s">
        <v>72</v>
      </c>
      <c r="C20" s="5" t="s">
        <v>25</v>
      </c>
      <c r="D20" s="11" t="n">
        <v>41180</v>
      </c>
      <c r="E20" s="11" t="n">
        <v>41186</v>
      </c>
      <c r="F20" s="5" t="s">
        <v>73</v>
      </c>
      <c r="G20" s="12" t="n">
        <v>532243.842873169</v>
      </c>
      <c r="H20" s="13" t="n">
        <v>112.42</v>
      </c>
      <c r="I20" s="13" t="n">
        <v>108.2</v>
      </c>
      <c r="K20" s="8" t="n">
        <v>53.6125870438804</v>
      </c>
      <c r="L20" s="8" t="n">
        <v>1247.63387389598</v>
      </c>
      <c r="M20" s="8" t="n">
        <f aca="false">M19+L20</f>
        <v>106637.144657744</v>
      </c>
      <c r="N20" s="5" t="str">
        <f aca="false">IF(L20&gt;0,"прибыль",IF(L20&lt;0,"убыток","ноль"))</f>
        <v>прибыль</v>
      </c>
      <c r="O20" s="6" t="n">
        <f aca="false">IF(L20&lt;0,O19+1,0)</f>
        <v>0</v>
      </c>
      <c r="P20" s="6" t="n">
        <v>4</v>
      </c>
    </row>
    <row r="21" customFormat="false" ht="15" hidden="false" customHeight="false" outlineLevel="0" collapsed="false">
      <c r="A21" s="6" t="n">
        <v>16</v>
      </c>
      <c r="B21" s="5" t="s">
        <v>72</v>
      </c>
      <c r="C21" s="5" t="s">
        <v>25</v>
      </c>
      <c r="D21" s="11" t="n">
        <v>41186</v>
      </c>
      <c r="E21" s="11" t="n">
        <v>41187</v>
      </c>
      <c r="F21" s="5" t="s">
        <v>75</v>
      </c>
      <c r="G21" s="12" t="n">
        <v>538706.651543499</v>
      </c>
      <c r="H21" s="13" t="n">
        <v>108.2</v>
      </c>
      <c r="I21" s="13" t="n">
        <v>112.29</v>
      </c>
      <c r="K21" s="8" t="n">
        <v>51.938826027871</v>
      </c>
      <c r="L21" s="8" t="n">
        <v>-21781.8329222206</v>
      </c>
      <c r="M21" s="8" t="n">
        <f aca="false">M20+L21</f>
        <v>84855.3117355237</v>
      </c>
      <c r="N21" s="5" t="str">
        <f aca="false">IF(L21&gt;0,"прибыль",IF(L21&lt;0,"убыток","ноль"))</f>
        <v>убыток</v>
      </c>
      <c r="O21" s="6" t="n">
        <f aca="false">IF(L21&lt;0,O20+1,0)</f>
        <v>1</v>
      </c>
      <c r="P21" s="6" t="n">
        <v>1</v>
      </c>
    </row>
    <row r="22" customFormat="false" ht="15" hidden="false" customHeight="false" outlineLevel="0" collapsed="false">
      <c r="A22" s="6" t="n">
        <v>17</v>
      </c>
      <c r="B22" s="5" t="s">
        <v>72</v>
      </c>
      <c r="C22" s="5" t="s">
        <v>25</v>
      </c>
      <c r="D22" s="11" t="n">
        <v>41187</v>
      </c>
      <c r="E22" s="11" t="n">
        <v>41200</v>
      </c>
      <c r="F22" s="5" t="s">
        <v>73</v>
      </c>
      <c r="G22" s="12" t="n">
        <v>478339.974917729</v>
      </c>
      <c r="H22" s="13" t="n">
        <v>112.29</v>
      </c>
      <c r="I22" s="13" t="n">
        <v>113.49</v>
      </c>
      <c r="J22" s="5" t="s">
        <v>74</v>
      </c>
      <c r="K22" s="8" t="n">
        <v>52.2890119206319</v>
      </c>
      <c r="L22" s="8" t="n">
        <v>10397.0394467858</v>
      </c>
      <c r="M22" s="8" t="n">
        <f aca="false">M21+L22</f>
        <v>95252.3511823096</v>
      </c>
      <c r="N22" s="5" t="str">
        <f aca="false">IF(L22&gt;0,"прибыль",IF(L22&lt;0,"убыток","ноль"))</f>
        <v>прибыль</v>
      </c>
      <c r="O22" s="6" t="n">
        <f aca="false">IF(L22&lt;0,O21+1,0)</f>
        <v>0</v>
      </c>
      <c r="P22" s="6" t="n">
        <v>9</v>
      </c>
    </row>
    <row r="23" customFormat="false" ht="15" hidden="false" customHeight="false" outlineLevel="0" collapsed="false">
      <c r="A23" s="6" t="n">
        <v>18</v>
      </c>
      <c r="B23" s="5" t="s">
        <v>72</v>
      </c>
      <c r="C23" s="5" t="s">
        <v>25</v>
      </c>
      <c r="D23" s="11" t="n">
        <v>41200</v>
      </c>
      <c r="E23" s="11" t="n">
        <v>41204</v>
      </c>
      <c r="F23" s="5" t="s">
        <v>75</v>
      </c>
      <c r="G23" s="12" t="n">
        <v>556990.935036204</v>
      </c>
      <c r="H23" s="13" t="n">
        <v>113.49</v>
      </c>
      <c r="I23" s="13" t="n">
        <v>110.69</v>
      </c>
      <c r="K23" s="8" t="n">
        <v>54.5216824020907</v>
      </c>
      <c r="L23" s="8" t="n">
        <v>12448.4781286136</v>
      </c>
      <c r="M23" s="8" t="n">
        <f aca="false">M22+L23</f>
        <v>107700.829310923</v>
      </c>
      <c r="N23" s="5" t="str">
        <f aca="false">IF(L23&gt;0,"прибыль",IF(L23&lt;0,"убыток","ноль"))</f>
        <v>прибыль</v>
      </c>
      <c r="O23" s="6" t="n">
        <f aca="false">IF(L23&lt;0,O22+1,0)</f>
        <v>0</v>
      </c>
      <c r="P23" s="6" t="n">
        <v>2</v>
      </c>
    </row>
    <row r="24" customFormat="false" ht="15" hidden="false" customHeight="false" outlineLevel="0" collapsed="false">
      <c r="A24" s="6" t="n">
        <v>19</v>
      </c>
      <c r="B24" s="5" t="s">
        <v>72</v>
      </c>
      <c r="C24" s="5" t="s">
        <v>25</v>
      </c>
      <c r="D24" s="11" t="n">
        <v>41204</v>
      </c>
      <c r="E24" s="11" t="n">
        <v>41205</v>
      </c>
      <c r="F24" s="5" t="s">
        <v>73</v>
      </c>
      <c r="G24" s="12" t="n">
        <v>545945.712816627</v>
      </c>
      <c r="H24" s="13" t="n">
        <v>110.69</v>
      </c>
      <c r="I24" s="13" t="n">
        <v>109.45</v>
      </c>
      <c r="K24" s="8" t="n">
        <v>54.0509198044553</v>
      </c>
      <c r="L24" s="8" t="n">
        <v>-7406.12591348803</v>
      </c>
      <c r="M24" s="8" t="n">
        <f aca="false">M23+L24</f>
        <v>100294.703397435</v>
      </c>
      <c r="N24" s="5" t="str">
        <f aca="false">IF(L24&gt;0,"прибыль",IF(L24&lt;0,"убыток","ноль"))</f>
        <v>убыток</v>
      </c>
      <c r="O24" s="6" t="n">
        <f aca="false">IF(L24&lt;0,O23+1,0)</f>
        <v>1</v>
      </c>
      <c r="P24" s="6" t="n">
        <v>1</v>
      </c>
    </row>
    <row r="25" customFormat="false" ht="15" hidden="false" customHeight="false" outlineLevel="0" collapsed="false">
      <c r="A25" s="6" t="n">
        <v>20</v>
      </c>
      <c r="B25" s="5" t="s">
        <v>72</v>
      </c>
      <c r="C25" s="5" t="s">
        <v>25</v>
      </c>
      <c r="D25" s="11" t="n">
        <v>41205</v>
      </c>
      <c r="E25" s="11" t="n">
        <v>41220</v>
      </c>
      <c r="F25" s="5" t="s">
        <v>75</v>
      </c>
      <c r="G25" s="12" t="n">
        <v>329351.156755525</v>
      </c>
      <c r="H25" s="13" t="n">
        <v>109.45</v>
      </c>
      <c r="I25" s="13" t="n">
        <v>110.7</v>
      </c>
      <c r="K25" s="8" t="n">
        <v>35.566969262615</v>
      </c>
      <c r="L25" s="8" t="n">
        <v>-5980.5438593275</v>
      </c>
      <c r="M25" s="8" t="n">
        <f aca="false">M24+L25</f>
        <v>94314.1595381076</v>
      </c>
      <c r="N25" s="5" t="str">
        <f aca="false">IF(L25&gt;0,"прибыль",IF(L25&lt;0,"убыток","ноль"))</f>
        <v>убыток</v>
      </c>
      <c r="O25" s="6" t="n">
        <f aca="false">IF(L25&lt;0,O24+1,0)</f>
        <v>2</v>
      </c>
      <c r="P25" s="6" t="n">
        <v>10</v>
      </c>
    </row>
    <row r="26" customFormat="false" ht="15" hidden="false" customHeight="false" outlineLevel="0" collapsed="false">
      <c r="A26" s="6" t="n">
        <v>21</v>
      </c>
      <c r="B26" s="5" t="s">
        <v>72</v>
      </c>
      <c r="C26" s="5" t="s">
        <v>25</v>
      </c>
      <c r="D26" s="11" t="n">
        <v>41220</v>
      </c>
      <c r="E26" s="11" t="n">
        <v>41229</v>
      </c>
      <c r="F26" s="5" t="s">
        <v>75</v>
      </c>
      <c r="G26" s="12" t="n">
        <v>589116.853117347</v>
      </c>
      <c r="H26" s="13" t="n">
        <v>110.7</v>
      </c>
      <c r="I26" s="13" t="n">
        <v>110.95</v>
      </c>
      <c r="K26" s="8" t="n">
        <v>55.719494862732</v>
      </c>
      <c r="L26" s="8" t="n">
        <v>-12125.1587891182</v>
      </c>
      <c r="M26" s="8" t="n">
        <f aca="false">M25+L26</f>
        <v>82189.0007489894</v>
      </c>
      <c r="N26" s="5" t="str">
        <f aca="false">IF(L26&gt;0,"прибыль",IF(L26&lt;0,"убыток","ноль"))</f>
        <v>убыток</v>
      </c>
      <c r="O26" s="6" t="n">
        <f aca="false">IF(L26&lt;0,O25+1,0)</f>
        <v>3</v>
      </c>
      <c r="P26" s="6" t="n">
        <v>7</v>
      </c>
    </row>
    <row r="27" customFormat="false" ht="15" hidden="false" customHeight="false" outlineLevel="0" collapsed="false">
      <c r="A27" s="6" t="n">
        <v>22</v>
      </c>
      <c r="B27" s="5" t="s">
        <v>72</v>
      </c>
      <c r="C27" s="5" t="s">
        <v>25</v>
      </c>
      <c r="D27" s="11" t="n">
        <v>41229</v>
      </c>
      <c r="E27" s="11" t="n">
        <v>41249</v>
      </c>
      <c r="F27" s="5" t="s">
        <v>73</v>
      </c>
      <c r="G27" s="12" t="n">
        <v>727125.668830478</v>
      </c>
      <c r="H27" s="13" t="n">
        <v>110.95</v>
      </c>
      <c r="I27" s="13" t="n">
        <v>108.85</v>
      </c>
      <c r="J27" s="5" t="s">
        <v>74</v>
      </c>
      <c r="K27" s="8" t="n">
        <v>91.7039195740577</v>
      </c>
      <c r="L27" s="8" t="n">
        <v>-5327.41784689199</v>
      </c>
      <c r="M27" s="8" t="n">
        <f aca="false">M26+L27</f>
        <v>76861.5829020974</v>
      </c>
      <c r="N27" s="5" t="str">
        <f aca="false">IF(L27&gt;0,"прибыль",IF(L27&lt;0,"убыток","ноль"))</f>
        <v>убыток</v>
      </c>
      <c r="O27" s="6" t="n">
        <f aca="false">IF(L27&lt;0,O26+1,0)</f>
        <v>4</v>
      </c>
      <c r="P27" s="6" t="n">
        <v>14</v>
      </c>
    </row>
    <row r="28" customFormat="false" ht="15" hidden="false" customHeight="false" outlineLevel="0" collapsed="false">
      <c r="A28" s="6" t="n">
        <v>23</v>
      </c>
      <c r="B28" s="5" t="s">
        <v>72</v>
      </c>
      <c r="C28" s="5" t="s">
        <v>25</v>
      </c>
      <c r="D28" s="11" t="n">
        <v>41249</v>
      </c>
      <c r="E28" s="11" t="n">
        <v>41262</v>
      </c>
      <c r="F28" s="5" t="s">
        <v>75</v>
      </c>
      <c r="G28" s="12" t="n">
        <v>1087407.64502888</v>
      </c>
      <c r="H28" s="13" t="n">
        <v>108.85</v>
      </c>
      <c r="I28" s="13" t="n">
        <v>108.9</v>
      </c>
      <c r="J28" s="5" t="s">
        <v>74</v>
      </c>
      <c r="K28" s="8" t="n">
        <v>123.754318175373</v>
      </c>
      <c r="L28" s="8" t="n">
        <v>-14738.5985948122</v>
      </c>
      <c r="M28" s="8" t="n">
        <f aca="false">M27+L28</f>
        <v>62122.9843072852</v>
      </c>
      <c r="N28" s="5" t="str">
        <f aca="false">IF(L28&gt;0,"прибыль",IF(L28&lt;0,"убыток","ноль"))</f>
        <v>убыток</v>
      </c>
      <c r="O28" s="6" t="n">
        <f aca="false">IF(L28&lt;0,O27+1,0)</f>
        <v>5</v>
      </c>
      <c r="P28" s="6" t="n">
        <v>9</v>
      </c>
    </row>
    <row r="29" customFormat="false" ht="15" hidden="false" customHeight="false" outlineLevel="0" collapsed="false">
      <c r="A29" s="6" t="n">
        <v>24</v>
      </c>
      <c r="B29" s="5" t="s">
        <v>72</v>
      </c>
      <c r="C29" s="5" t="s">
        <v>25</v>
      </c>
      <c r="D29" s="11" t="n">
        <v>41262</v>
      </c>
      <c r="E29" s="11" t="n">
        <v>41289</v>
      </c>
      <c r="F29" s="5" t="s">
        <v>73</v>
      </c>
      <c r="G29" s="12" t="n">
        <v>272988.802872791</v>
      </c>
      <c r="H29" s="13" t="n">
        <v>108.9</v>
      </c>
      <c r="I29" s="13" t="n">
        <v>111.71</v>
      </c>
      <c r="K29" s="8" t="n">
        <v>13.9807539119364</v>
      </c>
      <c r="L29" s="8" t="n">
        <v>6612.29461202496</v>
      </c>
      <c r="M29" s="8" t="n">
        <f aca="false">M28+L29</f>
        <v>68735.2789193101</v>
      </c>
      <c r="N29" s="5" t="str">
        <f aca="false">IF(L29&gt;0,"прибыль",IF(L29&lt;0,"убыток","ноль"))</f>
        <v>прибыль</v>
      </c>
      <c r="O29" s="6" t="n">
        <f aca="false">IF(L29&lt;0,O28+1,0)</f>
        <v>0</v>
      </c>
      <c r="P29" s="6" t="n">
        <v>13</v>
      </c>
    </row>
    <row r="30" customFormat="false" ht="15" hidden="false" customHeight="false" outlineLevel="0" collapsed="false">
      <c r="A30" s="6" t="n">
        <v>25</v>
      </c>
      <c r="B30" s="5" t="s">
        <v>72</v>
      </c>
      <c r="C30" s="5" t="s">
        <v>25</v>
      </c>
      <c r="D30" s="11" t="n">
        <v>41289</v>
      </c>
      <c r="E30" s="11" t="n">
        <v>41326</v>
      </c>
      <c r="F30" s="5" t="s">
        <v>73</v>
      </c>
      <c r="G30" s="12" t="n">
        <v>388137.057276453</v>
      </c>
      <c r="H30" s="13" t="n">
        <v>111.71</v>
      </c>
      <c r="I30" s="13" t="n">
        <v>115.2</v>
      </c>
      <c r="J30" s="5" t="s">
        <v>74</v>
      </c>
      <c r="K30" s="8" t="n">
        <v>59.3918179338518</v>
      </c>
      <c r="L30" s="8" t="n">
        <v>7467.17446244733</v>
      </c>
      <c r="M30" s="8" t="n">
        <f aca="false">M29+L30</f>
        <v>76202.4533817574</v>
      </c>
      <c r="N30" s="5" t="str">
        <f aca="false">IF(L30&gt;0,"прибыль",IF(L30&lt;0,"убыток","ноль"))</f>
        <v>прибыль</v>
      </c>
      <c r="O30" s="6" t="n">
        <f aca="false">IF(L30&lt;0,O29+1,0)</f>
        <v>0</v>
      </c>
      <c r="P30" s="6" t="n">
        <v>27</v>
      </c>
    </row>
    <row r="31" customFormat="false" ht="15" hidden="false" customHeight="false" outlineLevel="0" collapsed="false">
      <c r="A31" s="6" t="n">
        <v>26</v>
      </c>
      <c r="B31" s="5" t="s">
        <v>72</v>
      </c>
      <c r="C31" s="5" t="s">
        <v>25</v>
      </c>
      <c r="D31" s="11" t="n">
        <v>41326</v>
      </c>
      <c r="E31" s="11" t="n">
        <v>41337</v>
      </c>
      <c r="F31" s="5" t="s">
        <v>73</v>
      </c>
      <c r="G31" s="12" t="n">
        <v>1314969.47673459</v>
      </c>
      <c r="H31" s="13" t="n">
        <v>115.2</v>
      </c>
      <c r="I31" s="13" t="n">
        <v>110.35</v>
      </c>
      <c r="K31" s="8" t="n">
        <v>123.645402736275</v>
      </c>
      <c r="L31" s="8" t="n">
        <v>-31116.0484239126</v>
      </c>
      <c r="M31" s="8" t="n">
        <f aca="false">M30+L31</f>
        <v>45086.4049578449</v>
      </c>
      <c r="N31" s="5" t="str">
        <f aca="false">IF(L31&gt;0,"прибыль",IF(L31&lt;0,"убыток","ноль"))</f>
        <v>убыток</v>
      </c>
      <c r="O31" s="6" t="n">
        <f aca="false">IF(L31&lt;0,O30+1,0)</f>
        <v>1</v>
      </c>
      <c r="P31" s="6" t="n">
        <v>7</v>
      </c>
    </row>
    <row r="32" customFormat="false" ht="15" hidden="false" customHeight="false" outlineLevel="0" collapsed="false">
      <c r="A32" s="6" t="n">
        <v>27</v>
      </c>
      <c r="B32" s="5" t="s">
        <v>72</v>
      </c>
      <c r="C32" s="5" t="s">
        <v>25</v>
      </c>
      <c r="D32" s="11" t="n">
        <v>41337</v>
      </c>
      <c r="E32" s="11" t="n">
        <v>41368</v>
      </c>
      <c r="F32" s="5" t="s">
        <v>75</v>
      </c>
      <c r="G32" s="12" t="n">
        <v>390514.749543074</v>
      </c>
      <c r="H32" s="13" t="n">
        <v>110.35</v>
      </c>
      <c r="I32" s="13" t="n">
        <v>107.3</v>
      </c>
      <c r="J32" s="5" t="s">
        <v>74</v>
      </c>
      <c r="K32" s="8" t="n">
        <v>35.0991027952605</v>
      </c>
      <c r="L32" s="8" t="n">
        <v>9448.27525226944</v>
      </c>
      <c r="M32" s="8" t="n">
        <f aca="false">M31+L32</f>
        <v>54534.6802101143</v>
      </c>
      <c r="N32" s="5" t="str">
        <f aca="false">IF(L32&gt;0,"прибыль",IF(L32&lt;0,"убыток","ноль"))</f>
        <v>прибыль</v>
      </c>
      <c r="O32" s="6" t="n">
        <f aca="false">IF(L32&lt;0,O31+1,0)</f>
        <v>0</v>
      </c>
      <c r="P32" s="6" t="n">
        <v>22</v>
      </c>
    </row>
    <row r="33" customFormat="false" ht="15" hidden="false" customHeight="false" outlineLevel="0" collapsed="false">
      <c r="A33" s="6" t="n">
        <v>28</v>
      </c>
      <c r="B33" s="5" t="s">
        <v>72</v>
      </c>
      <c r="C33" s="5" t="s">
        <v>25</v>
      </c>
      <c r="D33" s="11" t="n">
        <v>41368</v>
      </c>
      <c r="E33" s="11" t="n">
        <v>41380</v>
      </c>
      <c r="F33" s="5" t="s">
        <v>75</v>
      </c>
      <c r="G33" s="12" t="n">
        <v>240864.452781319</v>
      </c>
      <c r="H33" s="13" t="n">
        <v>107.3</v>
      </c>
      <c r="I33" s="13" t="n">
        <v>100.27</v>
      </c>
      <c r="K33" s="8" t="n">
        <v>10.9825532642174</v>
      </c>
      <c r="L33" s="8" t="n">
        <v>21202.404943707</v>
      </c>
      <c r="M33" s="8" t="n">
        <f aca="false">M32+L33</f>
        <v>75737.0851538214</v>
      </c>
      <c r="N33" s="5" t="str">
        <f aca="false">IF(L33&gt;0,"прибыль",IF(L33&lt;0,"убыток","ноль"))</f>
        <v>прибыль</v>
      </c>
      <c r="O33" s="6" t="n">
        <f aca="false">IF(L33&lt;0,O32+1,0)</f>
        <v>0</v>
      </c>
      <c r="P33" s="6" t="n">
        <v>8</v>
      </c>
    </row>
    <row r="34" customFormat="false" ht="15" hidden="false" customHeight="false" outlineLevel="0" collapsed="false">
      <c r="A34" s="6" t="n">
        <v>29</v>
      </c>
      <c r="B34" s="5" t="s">
        <v>72</v>
      </c>
      <c r="C34" s="5" t="s">
        <v>25</v>
      </c>
      <c r="D34" s="11" t="n">
        <v>41380</v>
      </c>
      <c r="E34" s="11" t="n">
        <v>41438</v>
      </c>
      <c r="F34" s="5" t="s">
        <v>75</v>
      </c>
      <c r="G34" s="12" t="n">
        <v>229883.177674344</v>
      </c>
      <c r="H34" s="13" t="n">
        <v>100.27</v>
      </c>
      <c r="I34" s="13" t="n">
        <v>103.14</v>
      </c>
      <c r="J34" s="5" t="s">
        <v>74</v>
      </c>
      <c r="K34" s="8" t="n">
        <v>24.0231137988431</v>
      </c>
      <c r="L34" s="8" t="n">
        <v>12459.6275957759</v>
      </c>
      <c r="M34" s="8" t="n">
        <f aca="false">M33+L34</f>
        <v>88196.7127495973</v>
      </c>
      <c r="N34" s="5" t="str">
        <f aca="false">IF(L34&gt;0,"прибыль",IF(L34&lt;0,"убыток","ноль"))</f>
        <v>прибыль</v>
      </c>
      <c r="O34" s="6" t="n">
        <f aca="false">IF(L34&lt;0,O33+1,0)</f>
        <v>0</v>
      </c>
      <c r="P34" s="6" t="n">
        <v>39</v>
      </c>
    </row>
    <row r="35" customFormat="false" ht="15" hidden="false" customHeight="false" outlineLevel="0" collapsed="false">
      <c r="A35" s="6" t="n">
        <v>30</v>
      </c>
      <c r="B35" s="5" t="s">
        <v>72</v>
      </c>
      <c r="C35" s="5" t="s">
        <v>25</v>
      </c>
      <c r="D35" s="11" t="n">
        <v>41438</v>
      </c>
      <c r="E35" s="11" t="n">
        <v>41439</v>
      </c>
      <c r="F35" s="5" t="s">
        <v>75</v>
      </c>
      <c r="G35" s="12" t="n">
        <v>911682.03074265</v>
      </c>
      <c r="H35" s="13" t="n">
        <v>103.14</v>
      </c>
      <c r="I35" s="13" t="n">
        <v>104.15</v>
      </c>
      <c r="K35" s="8" t="n">
        <v>87.5707493353627</v>
      </c>
      <c r="L35" s="8" t="n">
        <v>40985.8963072164</v>
      </c>
      <c r="M35" s="8" t="n">
        <f aca="false">M34+L35</f>
        <v>129182.609056814</v>
      </c>
      <c r="N35" s="5" t="str">
        <f aca="false">IF(L35&gt;0,"прибыль",IF(L35&lt;0,"убыток","ноль"))</f>
        <v>прибыль</v>
      </c>
      <c r="O35" s="6" t="n">
        <f aca="false">IF(L35&lt;0,O34+1,0)</f>
        <v>0</v>
      </c>
      <c r="P35" s="6" t="n">
        <v>1</v>
      </c>
    </row>
    <row r="36" customFormat="false" ht="15" hidden="false" customHeight="false" outlineLevel="0" collapsed="false">
      <c r="A36" s="6" t="n">
        <v>31</v>
      </c>
      <c r="B36" s="5" t="s">
        <v>72</v>
      </c>
      <c r="C36" s="5" t="s">
        <v>25</v>
      </c>
      <c r="D36" s="11" t="n">
        <v>41439</v>
      </c>
      <c r="E36" s="11" t="n">
        <v>41446</v>
      </c>
      <c r="F36" s="5" t="s">
        <v>73</v>
      </c>
      <c r="G36" s="12" t="n">
        <v>880806.423021155</v>
      </c>
      <c r="H36" s="13" t="n">
        <v>104.15</v>
      </c>
      <c r="I36" s="13" t="n">
        <v>102.47</v>
      </c>
      <c r="J36" s="5" t="s">
        <v>74</v>
      </c>
      <c r="K36" s="8" t="n">
        <v>80.4864930997602</v>
      </c>
      <c r="L36" s="8" t="n">
        <v>-27017.1403244317</v>
      </c>
      <c r="M36" s="8" t="n">
        <f aca="false">M35+L36</f>
        <v>102165.468732382</v>
      </c>
      <c r="N36" s="5" t="str">
        <f aca="false">IF(L36&gt;0,"прибыль",IF(L36&lt;0,"убыток","ноль"))</f>
        <v>убыток</v>
      </c>
      <c r="O36" s="6" t="n">
        <f aca="false">IF(L36&lt;0,O35+1,0)</f>
        <v>1</v>
      </c>
      <c r="P36" s="6" t="n">
        <v>5</v>
      </c>
    </row>
    <row r="37" customFormat="false" ht="15" hidden="false" customHeight="false" outlineLevel="0" collapsed="false">
      <c r="A37" s="6" t="n">
        <v>32</v>
      </c>
      <c r="B37" s="5" t="s">
        <v>72</v>
      </c>
      <c r="C37" s="5" t="s">
        <v>25</v>
      </c>
      <c r="D37" s="11" t="n">
        <v>41446</v>
      </c>
      <c r="E37" s="11" t="n">
        <v>41463</v>
      </c>
      <c r="F37" s="5" t="s">
        <v>75</v>
      </c>
      <c r="G37" s="12" t="n">
        <v>755860.092805381</v>
      </c>
      <c r="H37" s="13" t="n">
        <v>102.47</v>
      </c>
      <c r="I37" s="13" t="n">
        <v>107.67</v>
      </c>
      <c r="K37" s="8" t="n">
        <v>80.4290443165354</v>
      </c>
      <c r="L37" s="8" t="n">
        <v>-39864.1269507422</v>
      </c>
      <c r="M37" s="8" t="n">
        <f aca="false">M36+L37</f>
        <v>62301.3417816398</v>
      </c>
      <c r="N37" s="5" t="str">
        <f aca="false">IF(L37&gt;0,"прибыль",IF(L37&lt;0,"убыток","ноль"))</f>
        <v>убыток</v>
      </c>
      <c r="O37" s="6" t="n">
        <f aca="false">IF(L37&lt;0,O36+1,0)</f>
        <v>2</v>
      </c>
      <c r="P37" s="6" t="n">
        <v>11</v>
      </c>
    </row>
    <row r="38" customFormat="false" ht="15" hidden="false" customHeight="false" outlineLevel="0" collapsed="false">
      <c r="A38" s="6" t="n">
        <v>33</v>
      </c>
      <c r="B38" s="5" t="s">
        <v>72</v>
      </c>
      <c r="C38" s="5" t="s">
        <v>25</v>
      </c>
      <c r="D38" s="11" t="n">
        <v>41463</v>
      </c>
      <c r="E38" s="11" t="n">
        <v>41514</v>
      </c>
      <c r="F38" s="5" t="s">
        <v>73</v>
      </c>
      <c r="G38" s="12" t="n">
        <v>534357.080767928</v>
      </c>
      <c r="H38" s="13" t="n">
        <v>107.67</v>
      </c>
      <c r="I38" s="13" t="n">
        <v>114.35</v>
      </c>
      <c r="J38" s="5" t="s">
        <v>74</v>
      </c>
      <c r="K38" s="8" t="n">
        <v>60.1996895310652</v>
      </c>
      <c r="L38" s="8" t="n">
        <v>36715.180445828</v>
      </c>
      <c r="M38" s="8" t="n">
        <f aca="false">M37+L38</f>
        <v>99016.5222274677</v>
      </c>
      <c r="N38" s="5" t="str">
        <f aca="false">IF(L38&gt;0,"прибыль",IF(L38&lt;0,"убыток","ноль"))</f>
        <v>прибыль</v>
      </c>
      <c r="O38" s="6" t="n">
        <f aca="false">IF(L38&lt;0,O37+1,0)</f>
        <v>0</v>
      </c>
      <c r="P38" s="6" t="n">
        <v>37</v>
      </c>
    </row>
    <row r="39" customFormat="false" ht="15" hidden="false" customHeight="false" outlineLevel="0" collapsed="false">
      <c r="A39" s="6" t="n">
        <v>34</v>
      </c>
      <c r="B39" s="5" t="s">
        <v>72</v>
      </c>
      <c r="C39" s="5" t="s">
        <v>25</v>
      </c>
      <c r="D39" s="11" t="n">
        <v>41514</v>
      </c>
      <c r="E39" s="11" t="n">
        <v>41535</v>
      </c>
      <c r="F39" s="5" t="s">
        <v>73</v>
      </c>
      <c r="G39" s="12" t="n">
        <v>184448.163971707</v>
      </c>
      <c r="H39" s="13" t="n">
        <v>114.35</v>
      </c>
      <c r="I39" s="13" t="n">
        <v>107.81</v>
      </c>
      <c r="J39" s="5" t="s">
        <v>74</v>
      </c>
      <c r="K39" s="8" t="n">
        <v>9.49859821695534</v>
      </c>
      <c r="L39" s="8" t="n">
        <v>5514.30176918335</v>
      </c>
      <c r="M39" s="8" t="n">
        <f aca="false">M38+L39</f>
        <v>104530.823996651</v>
      </c>
      <c r="N39" s="5" t="str">
        <f aca="false">IF(L39&gt;0,"прибыль",IF(L39&lt;0,"убыток","ноль"))</f>
        <v>прибыль</v>
      </c>
      <c r="O39" s="6" t="n">
        <f aca="false">IF(L39&lt;0,O38+1,0)</f>
        <v>0</v>
      </c>
      <c r="P39" s="6" t="n">
        <v>15</v>
      </c>
    </row>
    <row r="40" customFormat="false" ht="15" hidden="false" customHeight="false" outlineLevel="0" collapsed="false">
      <c r="A40" s="6" t="n">
        <v>35</v>
      </c>
      <c r="B40" s="5" t="s">
        <v>72</v>
      </c>
      <c r="C40" s="5" t="s">
        <v>25</v>
      </c>
      <c r="D40" s="11" t="n">
        <v>41535</v>
      </c>
      <c r="E40" s="11" t="n">
        <v>41572</v>
      </c>
      <c r="F40" s="5" t="s">
        <v>73</v>
      </c>
      <c r="G40" s="12" t="n">
        <v>972067.686949199</v>
      </c>
      <c r="H40" s="13" t="n">
        <v>107.81</v>
      </c>
      <c r="I40" s="13" t="n">
        <v>107.01</v>
      </c>
      <c r="J40" s="5" t="s">
        <v>74</v>
      </c>
      <c r="K40" s="8" t="n">
        <v>107.881722050437</v>
      </c>
      <c r="L40" s="8" t="n">
        <v>22956.4201225437</v>
      </c>
      <c r="M40" s="8" t="n">
        <f aca="false">M39+L40</f>
        <v>127487.244119195</v>
      </c>
      <c r="N40" s="5" t="str">
        <f aca="false">IF(L40&gt;0,"прибыль",IF(L40&lt;0,"убыток","ноль"))</f>
        <v>прибыль</v>
      </c>
      <c r="O40" s="6" t="n">
        <f aca="false">IF(L40&lt;0,O39+1,0)</f>
        <v>0</v>
      </c>
      <c r="P40" s="6" t="n">
        <v>25</v>
      </c>
    </row>
    <row r="41" customFormat="false" ht="15" hidden="false" customHeight="false" outlineLevel="0" collapsed="false">
      <c r="A41" s="6" t="n">
        <v>36</v>
      </c>
      <c r="B41" s="5" t="s">
        <v>72</v>
      </c>
      <c r="C41" s="5" t="s">
        <v>25</v>
      </c>
      <c r="D41" s="11" t="n">
        <v>41572</v>
      </c>
      <c r="E41" s="11" t="n">
        <v>41578</v>
      </c>
      <c r="F41" s="5" t="s">
        <v>75</v>
      </c>
      <c r="G41" s="12" t="n">
        <v>917427.945863026</v>
      </c>
      <c r="H41" s="13" t="n">
        <v>107.01</v>
      </c>
      <c r="I41" s="13" t="n">
        <v>109.87</v>
      </c>
      <c r="K41" s="8" t="n">
        <v>92.8730454663582</v>
      </c>
      <c r="L41" s="8" t="n">
        <v>-26138.386003637</v>
      </c>
      <c r="M41" s="8" t="n">
        <f aca="false">M40+L41</f>
        <v>101348.858115558</v>
      </c>
      <c r="N41" s="5" t="str">
        <f aca="false">IF(L41&gt;0,"прибыль",IF(L41&lt;0,"убыток","ноль"))</f>
        <v>убыток</v>
      </c>
      <c r="O41" s="6" t="n">
        <f aca="false">IF(L41&lt;0,O40+1,0)</f>
        <v>1</v>
      </c>
      <c r="P41" s="6" t="n">
        <v>4</v>
      </c>
    </row>
    <row r="42" customFormat="false" ht="15" hidden="false" customHeight="false" outlineLevel="0" collapsed="false">
      <c r="A42" s="6" t="n">
        <v>37</v>
      </c>
      <c r="B42" s="5" t="s">
        <v>72</v>
      </c>
      <c r="C42" s="5" t="s">
        <v>25</v>
      </c>
      <c r="D42" s="11" t="n">
        <v>41578</v>
      </c>
      <c r="E42" s="11" t="n">
        <v>41579</v>
      </c>
      <c r="F42" s="5" t="s">
        <v>73</v>
      </c>
      <c r="G42" s="12" t="n">
        <v>913987.450505966</v>
      </c>
      <c r="H42" s="13" t="n">
        <v>109.87</v>
      </c>
      <c r="I42" s="13" t="n">
        <v>108.76</v>
      </c>
      <c r="K42" s="8" t="n">
        <v>92.4318044633244</v>
      </c>
      <c r="L42" s="8" t="n">
        <v>-10775.7798122253</v>
      </c>
      <c r="M42" s="8" t="n">
        <f aca="false">M41+L42</f>
        <v>90573.0783033325</v>
      </c>
      <c r="N42" s="5" t="str">
        <f aca="false">IF(L42&gt;0,"прибыль",IF(L42&lt;0,"убыток","ноль"))</f>
        <v>убыток</v>
      </c>
      <c r="O42" s="6" t="n">
        <f aca="false">IF(L42&lt;0,O41+1,0)</f>
        <v>2</v>
      </c>
      <c r="P42" s="6" t="n">
        <v>1</v>
      </c>
    </row>
    <row r="43" customFormat="false" ht="15" hidden="false" customHeight="false" outlineLevel="0" collapsed="false">
      <c r="A43" s="6" t="n">
        <v>38</v>
      </c>
      <c r="B43" s="5" t="s">
        <v>72</v>
      </c>
      <c r="C43" s="5" t="s">
        <v>25</v>
      </c>
      <c r="D43" s="11" t="n">
        <v>41579</v>
      </c>
      <c r="E43" s="11" t="n">
        <v>41593</v>
      </c>
      <c r="F43" s="5" t="s">
        <v>75</v>
      </c>
      <c r="G43" s="12" t="n">
        <v>945331.986768285</v>
      </c>
      <c r="H43" s="13" t="n">
        <v>108.76</v>
      </c>
      <c r="I43" s="13" t="n">
        <v>108.66</v>
      </c>
      <c r="K43" s="8" t="n">
        <v>85.7980239100462</v>
      </c>
      <c r="L43" s="8" t="n">
        <v>-823.11320934858</v>
      </c>
      <c r="M43" s="8" t="n">
        <f aca="false">M42+L43</f>
        <v>89749.9650939839</v>
      </c>
      <c r="N43" s="5" t="str">
        <f aca="false">IF(L43&gt;0,"прибыль",IF(L43&lt;0,"убыток","ноль"))</f>
        <v>убыток</v>
      </c>
      <c r="O43" s="6" t="n">
        <f aca="false">IF(L43&lt;0,O42+1,0)</f>
        <v>3</v>
      </c>
      <c r="P43" s="6" t="n">
        <v>9</v>
      </c>
    </row>
    <row r="44" customFormat="false" ht="15" hidden="false" customHeight="false" outlineLevel="0" collapsed="false">
      <c r="A44" s="6" t="n">
        <v>39</v>
      </c>
      <c r="B44" s="5" t="s">
        <v>72</v>
      </c>
      <c r="C44" s="5" t="s">
        <v>25</v>
      </c>
      <c r="D44" s="11" t="n">
        <v>41593</v>
      </c>
      <c r="E44" s="11" t="n">
        <v>41597</v>
      </c>
      <c r="F44" s="5" t="s">
        <v>73</v>
      </c>
      <c r="G44" s="12" t="n">
        <v>769891.1762472</v>
      </c>
      <c r="H44" s="13" t="n">
        <v>108.66</v>
      </c>
      <c r="I44" s="13" t="n">
        <v>108.35</v>
      </c>
      <c r="J44" s="5" t="s">
        <v>74</v>
      </c>
      <c r="K44" s="8" t="n">
        <v>77.4731590371273</v>
      </c>
      <c r="L44" s="8" t="n">
        <v>-1675.14269385292</v>
      </c>
      <c r="M44" s="8" t="n">
        <f aca="false">M43+L44</f>
        <v>88074.822400131</v>
      </c>
      <c r="N44" s="5" t="str">
        <f aca="false">IF(L44&gt;0,"прибыль",IF(L44&lt;0,"убыток","ноль"))</f>
        <v>убыток</v>
      </c>
      <c r="O44" s="6" t="n">
        <f aca="false">IF(L44&lt;0,O43+1,0)</f>
        <v>4</v>
      </c>
      <c r="P44" s="6" t="n">
        <v>2</v>
      </c>
    </row>
    <row r="45" customFormat="false" ht="15" hidden="false" customHeight="false" outlineLevel="0" collapsed="false">
      <c r="A45" s="6" t="n">
        <v>40</v>
      </c>
      <c r="B45" s="5" t="s">
        <v>72</v>
      </c>
      <c r="C45" s="5" t="s">
        <v>25</v>
      </c>
      <c r="D45" s="11" t="n">
        <v>41597</v>
      </c>
      <c r="E45" s="11" t="n">
        <v>41598</v>
      </c>
      <c r="F45" s="5" t="s">
        <v>75</v>
      </c>
      <c r="G45" s="12" t="n">
        <v>781169.674030162</v>
      </c>
      <c r="H45" s="13" t="n">
        <v>108.35</v>
      </c>
      <c r="I45" s="13" t="n">
        <v>106.62</v>
      </c>
      <c r="K45" s="8" t="n">
        <v>76.3288567596179</v>
      </c>
      <c r="L45" s="8" t="n">
        <v>11002.7660738363</v>
      </c>
      <c r="M45" s="8" t="n">
        <f aca="false">M44+L45</f>
        <v>99077.5884739673</v>
      </c>
      <c r="N45" s="5" t="str">
        <f aca="false">IF(L45&gt;0,"прибыль",IF(L45&lt;0,"убыток","ноль"))</f>
        <v>прибыль</v>
      </c>
      <c r="O45" s="6" t="n">
        <f aca="false">IF(L45&lt;0,O44+1,0)</f>
        <v>0</v>
      </c>
      <c r="P45" s="6" t="n">
        <v>1</v>
      </c>
    </row>
    <row r="46" customFormat="false" ht="15" hidden="false" customHeight="false" outlineLevel="0" collapsed="false">
      <c r="A46" s="6" t="n">
        <v>41</v>
      </c>
      <c r="B46" s="5" t="s">
        <v>72</v>
      </c>
      <c r="C46" s="5" t="s">
        <v>25</v>
      </c>
      <c r="D46" s="11" t="n">
        <v>41598</v>
      </c>
      <c r="E46" s="11" t="n">
        <v>41621</v>
      </c>
      <c r="F46" s="5" t="s">
        <v>73</v>
      </c>
      <c r="G46" s="12" t="n">
        <v>919871.15893779</v>
      </c>
      <c r="H46" s="13" t="n">
        <v>106.62</v>
      </c>
      <c r="I46" s="13" t="n">
        <v>108.64</v>
      </c>
      <c r="K46" s="8" t="n">
        <v>102.016698807927</v>
      </c>
      <c r="L46" s="8" t="n">
        <v>8588.02268342368</v>
      </c>
      <c r="M46" s="8" t="n">
        <f aca="false">M45+L46</f>
        <v>107665.611157391</v>
      </c>
      <c r="N46" s="5" t="str">
        <f aca="false">IF(L46&gt;0,"прибыль",IF(L46&lt;0,"убыток","ноль"))</f>
        <v>прибыль</v>
      </c>
      <c r="O46" s="6" t="n">
        <f aca="false">IF(L46&lt;0,O45+1,0)</f>
        <v>0</v>
      </c>
      <c r="P46" s="6" t="n">
        <v>17</v>
      </c>
    </row>
    <row r="47" customFormat="false" ht="15" hidden="false" customHeight="false" outlineLevel="0" collapsed="false">
      <c r="A47" s="6" t="n">
        <v>42</v>
      </c>
      <c r="B47" s="5" t="s">
        <v>72</v>
      </c>
      <c r="C47" s="5" t="s">
        <v>25</v>
      </c>
      <c r="D47" s="11" t="n">
        <v>41621</v>
      </c>
      <c r="E47" s="11" t="n">
        <v>41624</v>
      </c>
      <c r="F47" s="5" t="s">
        <v>75</v>
      </c>
      <c r="G47" s="12" t="n">
        <v>948388.174993528</v>
      </c>
      <c r="H47" s="13" t="n">
        <v>108.64</v>
      </c>
      <c r="I47" s="13" t="n">
        <v>109.01</v>
      </c>
      <c r="K47" s="8" t="n">
        <v>95.2379789230179</v>
      </c>
      <c r="L47" s="8" t="n">
        <v>-4832.00281999246</v>
      </c>
      <c r="M47" s="8" t="n">
        <f aca="false">M46+L47</f>
        <v>102833.608337399</v>
      </c>
      <c r="N47" s="5" t="str">
        <f aca="false">IF(L47&gt;0,"прибыль",IF(L47&lt;0,"убыток","ноль"))</f>
        <v>убыток</v>
      </c>
      <c r="O47" s="6" t="n">
        <f aca="false">IF(L47&lt;0,O46+1,0)</f>
        <v>1</v>
      </c>
      <c r="P47" s="6" t="n">
        <v>1</v>
      </c>
    </row>
    <row r="48" customFormat="false" ht="15" hidden="false" customHeight="false" outlineLevel="0" collapsed="false">
      <c r="A48" s="6" t="n">
        <v>43</v>
      </c>
      <c r="B48" s="5" t="s">
        <v>72</v>
      </c>
      <c r="C48" s="5" t="s">
        <v>25</v>
      </c>
      <c r="D48" s="11" t="n">
        <v>41624</v>
      </c>
      <c r="E48" s="11" t="n">
        <v>41663</v>
      </c>
      <c r="F48" s="5" t="s">
        <v>73</v>
      </c>
      <c r="G48" s="12" t="n">
        <v>951634.638625761</v>
      </c>
      <c r="H48" s="13" t="n">
        <v>109.01</v>
      </c>
      <c r="I48" s="13" t="n">
        <v>107.66</v>
      </c>
      <c r="J48" s="5" t="s">
        <v>74</v>
      </c>
      <c r="K48" s="8" t="n">
        <v>93.3210296071544</v>
      </c>
      <c r="L48" s="8" t="n">
        <v>7861.93646854446</v>
      </c>
      <c r="M48" s="8" t="n">
        <f aca="false">M47+L48</f>
        <v>110695.544805943</v>
      </c>
      <c r="N48" s="5" t="str">
        <f aca="false">IF(L48&gt;0,"прибыль",IF(L48&lt;0,"убыток","ноль"))</f>
        <v>прибыль</v>
      </c>
      <c r="O48" s="6" t="n">
        <f aca="false">IF(L48&lt;0,O47+1,0)</f>
        <v>0</v>
      </c>
      <c r="P48" s="6" t="n">
        <v>24</v>
      </c>
    </row>
    <row r="49" customFormat="false" ht="15" hidden="false" customHeight="false" outlineLevel="0" collapsed="false">
      <c r="A49" s="6" t="n">
        <v>44</v>
      </c>
      <c r="B49" s="5" t="s">
        <v>72</v>
      </c>
      <c r="C49" s="5" t="s">
        <v>25</v>
      </c>
      <c r="D49" s="11" t="n">
        <v>41663</v>
      </c>
      <c r="E49" s="11" t="n">
        <v>41680</v>
      </c>
      <c r="F49" s="5" t="s">
        <v>75</v>
      </c>
      <c r="G49" s="12" t="n">
        <v>1429031.07860838</v>
      </c>
      <c r="H49" s="13" t="n">
        <v>107.66</v>
      </c>
      <c r="I49" s="13" t="n">
        <v>109.38</v>
      </c>
      <c r="K49" s="8" t="n">
        <v>157.251377682531</v>
      </c>
      <c r="L49" s="8" t="n">
        <v>-33411.8566596052</v>
      </c>
      <c r="M49" s="8" t="n">
        <f aca="false">M48+L49</f>
        <v>77283.6881463378</v>
      </c>
      <c r="N49" s="5" t="str">
        <f aca="false">IF(L49&gt;0,"прибыль",IF(L49&lt;0,"убыток","ноль"))</f>
        <v>убыток</v>
      </c>
      <c r="O49" s="6" t="n">
        <f aca="false">IF(L49&lt;0,O48+1,0)</f>
        <v>1</v>
      </c>
      <c r="P49" s="6" t="n">
        <v>11</v>
      </c>
    </row>
    <row r="50" customFormat="false" ht="15" hidden="false" customHeight="false" outlineLevel="0" collapsed="false">
      <c r="A50" s="6" t="n">
        <v>45</v>
      </c>
      <c r="B50" s="5" t="s">
        <v>72</v>
      </c>
      <c r="C50" s="5" t="s">
        <v>25</v>
      </c>
      <c r="D50" s="11" t="n">
        <v>41680</v>
      </c>
      <c r="E50" s="11" t="n">
        <v>41694</v>
      </c>
      <c r="F50" s="5" t="s">
        <v>73</v>
      </c>
      <c r="G50" s="12" t="n">
        <v>1160541.48717111</v>
      </c>
      <c r="H50" s="13" t="n">
        <v>109.38</v>
      </c>
      <c r="I50" s="13" t="n">
        <v>109.98</v>
      </c>
      <c r="J50" s="5" t="s">
        <v>74</v>
      </c>
      <c r="K50" s="8" t="n">
        <v>118.456145631759</v>
      </c>
      <c r="L50" s="8" t="n">
        <v>1101.93016255501</v>
      </c>
      <c r="M50" s="8" t="n">
        <f aca="false">M49+L50</f>
        <v>78385.6183088928</v>
      </c>
      <c r="N50" s="5" t="str">
        <f aca="false">IF(L50&gt;0,"прибыль",IF(L50&lt;0,"убыток","ноль"))</f>
        <v>прибыль</v>
      </c>
      <c r="O50" s="6" t="n">
        <f aca="false">IF(L50&lt;0,O49+1,0)</f>
        <v>0</v>
      </c>
      <c r="P50" s="6" t="n">
        <v>10</v>
      </c>
    </row>
    <row r="51" customFormat="false" ht="15" hidden="false" customHeight="false" outlineLevel="0" collapsed="false">
      <c r="A51" s="6" t="n">
        <v>46</v>
      </c>
      <c r="B51" s="5" t="s">
        <v>72</v>
      </c>
      <c r="C51" s="5" t="s">
        <v>25</v>
      </c>
      <c r="D51" s="11" t="n">
        <v>41694</v>
      </c>
      <c r="E51" s="11" t="n">
        <v>41702</v>
      </c>
      <c r="F51" s="5" t="s">
        <v>75</v>
      </c>
      <c r="G51" s="12" t="n">
        <v>1207361.03915588</v>
      </c>
      <c r="H51" s="13" t="n">
        <v>109.98</v>
      </c>
      <c r="I51" s="13" t="n">
        <v>111.2</v>
      </c>
      <c r="K51" s="8" t="n">
        <v>119.079454611055</v>
      </c>
      <c r="L51" s="8" t="n">
        <v>-15211.2210236944</v>
      </c>
      <c r="M51" s="8" t="n">
        <f aca="false">M50+L51</f>
        <v>63174.3972851983</v>
      </c>
      <c r="N51" s="5" t="str">
        <f aca="false">IF(L51&gt;0,"прибыль",IF(L51&lt;0,"убыток","ноль"))</f>
        <v>убыток</v>
      </c>
      <c r="O51" s="6" t="n">
        <f aca="false">IF(L51&lt;0,O50+1,0)</f>
        <v>1</v>
      </c>
      <c r="P51" s="6" t="n">
        <v>6</v>
      </c>
    </row>
    <row r="52" customFormat="false" ht="15" hidden="false" customHeight="false" outlineLevel="0" collapsed="false">
      <c r="A52" s="6" t="n">
        <v>47</v>
      </c>
      <c r="B52" s="5" t="s">
        <v>72</v>
      </c>
      <c r="C52" s="5" t="s">
        <v>25</v>
      </c>
      <c r="D52" s="11" t="n">
        <v>41702</v>
      </c>
      <c r="E52" s="11" t="n">
        <v>41719</v>
      </c>
      <c r="F52" s="5" t="s">
        <v>73</v>
      </c>
      <c r="G52" s="12" t="n">
        <v>1159135.91149613</v>
      </c>
      <c r="H52" s="13" t="n">
        <v>111.2</v>
      </c>
      <c r="I52" s="13" t="n">
        <v>106.28</v>
      </c>
      <c r="J52" s="5" t="s">
        <v>74</v>
      </c>
      <c r="K52" s="8" t="n">
        <v>111.627571178501</v>
      </c>
      <c r="L52" s="8" t="n">
        <v>-29982.3074291099</v>
      </c>
      <c r="M52" s="8" t="n">
        <f aca="false">M51+L52</f>
        <v>33192.0898560884</v>
      </c>
      <c r="N52" s="5" t="str">
        <f aca="false">IF(L52&gt;0,"прибыль",IF(L52&lt;0,"убыток","ноль"))</f>
        <v>убыток</v>
      </c>
      <c r="O52" s="6" t="n">
        <f aca="false">IF(L52&lt;0,O51+1,0)</f>
        <v>2</v>
      </c>
      <c r="P52" s="6" t="n">
        <v>12</v>
      </c>
    </row>
    <row r="53" customFormat="false" ht="15" hidden="false" customHeight="false" outlineLevel="0" collapsed="false">
      <c r="A53" s="6" t="n">
        <v>48</v>
      </c>
      <c r="B53" s="5" t="s">
        <v>72</v>
      </c>
      <c r="C53" s="5" t="s">
        <v>25</v>
      </c>
      <c r="D53" s="11" t="n">
        <v>41719</v>
      </c>
      <c r="E53" s="11" t="n">
        <v>41722</v>
      </c>
      <c r="F53" s="5" t="s">
        <v>75</v>
      </c>
      <c r="G53" s="12" t="n">
        <v>1103286.19193183</v>
      </c>
      <c r="H53" s="13" t="n">
        <v>106.28</v>
      </c>
      <c r="I53" s="13" t="n">
        <v>106.84</v>
      </c>
      <c r="K53" s="8" t="n">
        <v>109.618315700244</v>
      </c>
      <c r="L53" s="8" t="n">
        <v>-7534.98387872976</v>
      </c>
      <c r="M53" s="8" t="n">
        <f aca="false">M52+L53</f>
        <v>25657.1059773586</v>
      </c>
      <c r="N53" s="5" t="str">
        <f aca="false">IF(L53&gt;0,"прибыль",IF(L53&lt;0,"убыток","ноль"))</f>
        <v>убыток</v>
      </c>
      <c r="O53" s="6" t="n">
        <f aca="false">IF(L53&lt;0,O52+1,0)</f>
        <v>3</v>
      </c>
      <c r="P53" s="6" t="n">
        <v>1</v>
      </c>
    </row>
    <row r="54" customFormat="false" ht="15" hidden="false" customHeight="false" outlineLevel="0" collapsed="false">
      <c r="A54" s="6" t="n">
        <v>49</v>
      </c>
      <c r="B54" s="5" t="s">
        <v>72</v>
      </c>
      <c r="C54" s="5" t="s">
        <v>25</v>
      </c>
      <c r="D54" s="11" t="n">
        <v>41722</v>
      </c>
      <c r="E54" s="11" t="n">
        <v>41737</v>
      </c>
      <c r="F54" s="5" t="s">
        <v>73</v>
      </c>
      <c r="G54" s="12" t="n">
        <v>1081654.75651002</v>
      </c>
      <c r="H54" s="13" t="n">
        <v>106.84</v>
      </c>
      <c r="I54" s="13" t="n">
        <v>105.85</v>
      </c>
      <c r="K54" s="8" t="n">
        <v>110.111836663149</v>
      </c>
      <c r="L54" s="8" t="n">
        <v>-11677.0269562839</v>
      </c>
      <c r="M54" s="8" t="n">
        <f aca="false">M53+L54</f>
        <v>13980.0790210747</v>
      </c>
      <c r="N54" s="5" t="str">
        <f aca="false">IF(L54&gt;0,"прибыль",IF(L54&lt;0,"убыток","ноль"))</f>
        <v>убыток</v>
      </c>
      <c r="O54" s="6" t="n">
        <f aca="false">IF(L54&lt;0,O53+1,0)</f>
        <v>4</v>
      </c>
      <c r="P54" s="6" t="n">
        <v>11</v>
      </c>
    </row>
    <row r="55" customFormat="false" ht="15" hidden="false" customHeight="false" outlineLevel="0" collapsed="false">
      <c r="A55" s="6" t="n">
        <v>50</v>
      </c>
      <c r="B55" s="5" t="s">
        <v>72</v>
      </c>
      <c r="C55" s="5" t="s">
        <v>25</v>
      </c>
      <c r="D55" s="11" t="n">
        <v>41737</v>
      </c>
      <c r="E55" s="11" t="n">
        <v>41738</v>
      </c>
      <c r="F55" s="5" t="s">
        <v>75</v>
      </c>
      <c r="G55" s="12" t="n">
        <v>1132148.89187259</v>
      </c>
      <c r="H55" s="13" t="n">
        <v>105.85</v>
      </c>
      <c r="I55" s="13" t="n">
        <v>107.44</v>
      </c>
      <c r="K55" s="8" t="n">
        <v>110.066546254392</v>
      </c>
      <c r="L55" s="8" t="n">
        <v>-18790.1411024323</v>
      </c>
      <c r="M55" s="8" t="n">
        <f aca="false">M54+L55</f>
        <v>-4810.06208135756</v>
      </c>
      <c r="N55" s="5" t="str">
        <f aca="false">IF(L55&gt;0,"прибыль",IF(L55&lt;0,"убыток","ноль"))</f>
        <v>убыток</v>
      </c>
      <c r="O55" s="6" t="n">
        <f aca="false">IF(L55&lt;0,O54+1,0)</f>
        <v>5</v>
      </c>
      <c r="P55" s="6" t="n">
        <v>1</v>
      </c>
    </row>
    <row r="56" customFormat="false" ht="15" hidden="false" customHeight="false" outlineLevel="0" collapsed="false">
      <c r="A56" s="6" t="n">
        <v>51</v>
      </c>
      <c r="B56" s="5" t="s">
        <v>72</v>
      </c>
      <c r="C56" s="5" t="s">
        <v>25</v>
      </c>
      <c r="D56" s="11" t="n">
        <v>41738</v>
      </c>
      <c r="E56" s="11" t="n">
        <v>41759</v>
      </c>
      <c r="F56" s="5" t="s">
        <v>73</v>
      </c>
      <c r="G56" s="12" t="n">
        <v>1050501.95865908</v>
      </c>
      <c r="H56" s="13" t="n">
        <v>107.44</v>
      </c>
      <c r="I56" s="13" t="n">
        <v>108.87</v>
      </c>
      <c r="J56" s="5" t="s">
        <v>74</v>
      </c>
      <c r="K56" s="8" t="n">
        <v>110.392295991841</v>
      </c>
      <c r="L56" s="8" t="n">
        <v>4860.00677174512</v>
      </c>
      <c r="M56" s="8" t="n">
        <f aca="false">M55+L56</f>
        <v>49.9446903875578</v>
      </c>
      <c r="N56" s="5" t="str">
        <f aca="false">IF(L56&gt;0,"прибыль",IF(L56&lt;0,"убыток","ноль"))</f>
        <v>прибыль</v>
      </c>
      <c r="O56" s="6" t="n">
        <f aca="false">IF(L56&lt;0,O55+1,0)</f>
        <v>0</v>
      </c>
      <c r="P56" s="6" t="n">
        <v>15</v>
      </c>
    </row>
    <row r="57" customFormat="false" ht="15" hidden="false" customHeight="false" outlineLevel="0" collapsed="false">
      <c r="A57" s="6" t="n">
        <v>52</v>
      </c>
      <c r="B57" s="5" t="s">
        <v>72</v>
      </c>
      <c r="C57" s="5" t="s">
        <v>25</v>
      </c>
      <c r="D57" s="11" t="n">
        <v>41759</v>
      </c>
      <c r="E57" s="11" t="n">
        <v>41761</v>
      </c>
      <c r="F57" s="5" t="s">
        <v>75</v>
      </c>
      <c r="G57" s="12" t="n">
        <v>1152373.56211</v>
      </c>
      <c r="H57" s="13" t="n">
        <v>108.87</v>
      </c>
      <c r="I57" s="13" t="n">
        <v>108.11</v>
      </c>
      <c r="K57" s="8" t="n">
        <v>115.773158268542</v>
      </c>
      <c r="L57" s="8" t="n">
        <v>6323.02286349145</v>
      </c>
      <c r="M57" s="8" t="n">
        <f aca="false">M56+L57</f>
        <v>6372.96755387901</v>
      </c>
      <c r="N57" s="5" t="str">
        <f aca="false">IF(L57&gt;0,"прибыль",IF(L57&lt;0,"убыток","ноль"))</f>
        <v>прибыль</v>
      </c>
      <c r="O57" s="6" t="n">
        <f aca="false">IF(L57&lt;0,O56+1,0)</f>
        <v>0</v>
      </c>
      <c r="P57" s="6" t="n">
        <v>1</v>
      </c>
    </row>
    <row r="58" customFormat="false" ht="15" hidden="false" customHeight="false" outlineLevel="0" collapsed="false">
      <c r="A58" s="6" t="n">
        <v>53</v>
      </c>
      <c r="B58" s="5" t="s">
        <v>72</v>
      </c>
      <c r="C58" s="5" t="s">
        <v>25</v>
      </c>
      <c r="D58" s="11" t="n">
        <v>41761</v>
      </c>
      <c r="E58" s="11" t="n">
        <v>41766</v>
      </c>
      <c r="F58" s="5" t="s">
        <v>73</v>
      </c>
      <c r="G58" s="12" t="n">
        <v>1169528.39928259</v>
      </c>
      <c r="H58" s="13" t="n">
        <v>108.11</v>
      </c>
      <c r="I58" s="13" t="n">
        <v>107.47</v>
      </c>
      <c r="K58" s="8" t="n">
        <v>122.052008788676</v>
      </c>
      <c r="L58" s="8" t="n">
        <v>-8628.76546755367</v>
      </c>
      <c r="M58" s="8" t="n">
        <f aca="false">M57+L58</f>
        <v>-2255.79791367466</v>
      </c>
      <c r="N58" s="5" t="str">
        <f aca="false">IF(L58&gt;0,"прибыль",IF(L58&lt;0,"убыток","ноль"))</f>
        <v>убыток</v>
      </c>
      <c r="O58" s="6" t="n">
        <f aca="false">IF(L58&lt;0,O57+1,0)</f>
        <v>1</v>
      </c>
      <c r="P58" s="6" t="n">
        <v>3</v>
      </c>
    </row>
    <row r="59" customFormat="false" ht="15" hidden="false" customHeight="false" outlineLevel="0" collapsed="false">
      <c r="A59" s="6" t="n">
        <v>54</v>
      </c>
      <c r="B59" s="5" t="s">
        <v>72</v>
      </c>
      <c r="C59" s="5" t="s">
        <v>25</v>
      </c>
      <c r="D59" s="11" t="n">
        <v>41766</v>
      </c>
      <c r="E59" s="11" t="n">
        <v>41767</v>
      </c>
      <c r="F59" s="5" t="s">
        <v>75</v>
      </c>
      <c r="G59" s="12" t="n">
        <v>1280018.48994971</v>
      </c>
      <c r="H59" s="13" t="n">
        <v>107.47</v>
      </c>
      <c r="I59" s="13" t="n">
        <v>108.4</v>
      </c>
      <c r="K59" s="8" t="n">
        <v>132.770413254588</v>
      </c>
      <c r="L59" s="8" t="n">
        <v>-12898.120850763</v>
      </c>
      <c r="M59" s="8" t="n">
        <f aca="false">M58+L59</f>
        <v>-15153.9187644376</v>
      </c>
      <c r="N59" s="5" t="str">
        <f aca="false">IF(L59&gt;0,"прибыль",IF(L59&lt;0,"убыток","ноль"))</f>
        <v>убыток</v>
      </c>
      <c r="O59" s="6" t="n">
        <f aca="false">IF(L59&lt;0,O58+1,0)</f>
        <v>2</v>
      </c>
      <c r="P59" s="6" t="n">
        <v>1</v>
      </c>
    </row>
    <row r="60" customFormat="false" ht="15" hidden="false" customHeight="false" outlineLevel="0" collapsed="false">
      <c r="A60" s="6" t="n">
        <v>55</v>
      </c>
      <c r="B60" s="5" t="s">
        <v>72</v>
      </c>
      <c r="C60" s="5" t="s">
        <v>25</v>
      </c>
      <c r="D60" s="11" t="n">
        <v>41767</v>
      </c>
      <c r="E60" s="11" t="n">
        <v>41806</v>
      </c>
      <c r="F60" s="5" t="s">
        <v>73</v>
      </c>
      <c r="G60" s="12" t="n">
        <v>1088104.72840735</v>
      </c>
      <c r="H60" s="13" t="n">
        <v>108.4</v>
      </c>
      <c r="I60" s="13" t="n">
        <v>113.37</v>
      </c>
      <c r="J60" s="5" t="s">
        <v>74</v>
      </c>
      <c r="K60" s="8" t="n">
        <v>100.160710638586</v>
      </c>
      <c r="L60" s="8" t="n">
        <v>47789.5582218888</v>
      </c>
      <c r="M60" s="8" t="n">
        <f aca="false">M59+L60</f>
        <v>32635.6394574512</v>
      </c>
      <c r="N60" s="5" t="str">
        <f aca="false">IF(L60&gt;0,"прибыль",IF(L60&lt;0,"убыток","ноль"))</f>
        <v>прибыль</v>
      </c>
      <c r="O60" s="6" t="n">
        <f aca="false">IF(L60&lt;0,O59+1,0)</f>
        <v>0</v>
      </c>
      <c r="P60" s="6" t="n">
        <v>25</v>
      </c>
    </row>
    <row r="61" customFormat="false" ht="15" hidden="false" customHeight="false" outlineLevel="0" collapsed="false">
      <c r="A61" s="6" t="n">
        <v>56</v>
      </c>
      <c r="B61" s="5" t="s">
        <v>72</v>
      </c>
      <c r="C61" s="5" t="s">
        <v>25</v>
      </c>
      <c r="D61" s="11" t="n">
        <v>41806</v>
      </c>
      <c r="E61" s="11" t="n">
        <v>41830</v>
      </c>
      <c r="F61" s="5" t="s">
        <v>73</v>
      </c>
      <c r="G61" s="12" t="n">
        <v>1141739.46172905</v>
      </c>
      <c r="H61" s="13" t="n">
        <v>113.37</v>
      </c>
      <c r="I61" s="13" t="n">
        <v>108.13</v>
      </c>
      <c r="J61" s="5" t="s">
        <v>74</v>
      </c>
      <c r="K61" s="8" t="n">
        <v>108.75085721713</v>
      </c>
      <c r="L61" s="8" t="n">
        <v>-2099.66465023691</v>
      </c>
      <c r="M61" s="8" t="n">
        <f aca="false">M60+L61</f>
        <v>30535.9748072143</v>
      </c>
      <c r="N61" s="5" t="str">
        <f aca="false">IF(L61&gt;0,"прибыль",IF(L61&lt;0,"убыток","ноль"))</f>
        <v>убыток</v>
      </c>
      <c r="O61" s="6" t="n">
        <f aca="false">IF(L61&lt;0,O60+1,0)</f>
        <v>1</v>
      </c>
      <c r="P61" s="6" t="n">
        <v>18</v>
      </c>
    </row>
    <row r="62" customFormat="false" ht="15" hidden="false" customHeight="false" outlineLevel="0" collapsed="false">
      <c r="A62" s="6" t="n">
        <v>57</v>
      </c>
      <c r="B62" s="5" t="s">
        <v>72</v>
      </c>
      <c r="C62" s="5" t="s">
        <v>25</v>
      </c>
      <c r="D62" s="11" t="n">
        <v>41830</v>
      </c>
      <c r="E62" s="11" t="n">
        <v>41886</v>
      </c>
      <c r="F62" s="5" t="s">
        <v>75</v>
      </c>
      <c r="G62" s="12" t="n">
        <v>383633.686647366</v>
      </c>
      <c r="H62" s="13" t="n">
        <v>108.13</v>
      </c>
      <c r="I62" s="13" t="n">
        <v>102.33</v>
      </c>
      <c r="J62" s="5" t="s">
        <v>74</v>
      </c>
      <c r="K62" s="8" t="n">
        <v>37.0152442676192</v>
      </c>
      <c r="L62" s="8" t="n">
        <v>30144.0042503869</v>
      </c>
      <c r="M62" s="8" t="n">
        <f aca="false">M61+L62</f>
        <v>60679.9790576012</v>
      </c>
      <c r="N62" s="5" t="str">
        <f aca="false">IF(L62&gt;0,"прибыль",IF(L62&lt;0,"убыток","ноль"))</f>
        <v>прибыль</v>
      </c>
      <c r="O62" s="6" t="n">
        <f aca="false">IF(L62&lt;0,O61+1,0)</f>
        <v>0</v>
      </c>
      <c r="P62" s="6" t="n">
        <v>40</v>
      </c>
    </row>
    <row r="63" customFormat="false" ht="15" hidden="false" customHeight="false" outlineLevel="0" collapsed="false">
      <c r="A63" s="6" t="n">
        <v>58</v>
      </c>
      <c r="B63" s="5" t="s">
        <v>72</v>
      </c>
      <c r="C63" s="5" t="s">
        <v>25</v>
      </c>
      <c r="D63" s="11" t="n">
        <v>41886</v>
      </c>
      <c r="E63" s="11" t="n">
        <v>41927</v>
      </c>
      <c r="F63" s="5" t="s">
        <v>75</v>
      </c>
      <c r="G63" s="12" t="n">
        <v>394399.941692133</v>
      </c>
      <c r="H63" s="13" t="n">
        <v>102.33</v>
      </c>
      <c r="I63" s="13" t="n">
        <v>85.21</v>
      </c>
      <c r="J63" s="5" t="s">
        <v>74</v>
      </c>
      <c r="K63" s="8" t="n">
        <v>37.8573311691997</v>
      </c>
      <c r="L63" s="8" t="n">
        <v>83686.7275982741</v>
      </c>
      <c r="M63" s="8" t="n">
        <f aca="false">M62+L63</f>
        <v>144366.706655875</v>
      </c>
      <c r="N63" s="5" t="str">
        <f aca="false">IF(L63&gt;0,"прибыль",IF(L63&lt;0,"убыток","ноль"))</f>
        <v>прибыль</v>
      </c>
      <c r="O63" s="6" t="n">
        <f aca="false">IF(L63&lt;0,O62+1,0)</f>
        <v>0</v>
      </c>
      <c r="P63" s="6" t="n">
        <v>29</v>
      </c>
    </row>
    <row r="64" customFormat="false" ht="15" hidden="false" customHeight="false" outlineLevel="0" collapsed="false">
      <c r="A64" s="6" t="n">
        <v>59</v>
      </c>
      <c r="B64" s="5" t="s">
        <v>72</v>
      </c>
      <c r="C64" s="5" t="s">
        <v>25</v>
      </c>
      <c r="D64" s="11" t="n">
        <v>41927</v>
      </c>
      <c r="E64" s="11" t="n">
        <v>41942</v>
      </c>
      <c r="F64" s="5" t="s">
        <v>75</v>
      </c>
      <c r="G64" s="12" t="n">
        <v>224257.820114996</v>
      </c>
      <c r="H64" s="13" t="n">
        <v>85.21</v>
      </c>
      <c r="I64" s="13" t="n">
        <v>87.03</v>
      </c>
      <c r="J64" s="5" t="s">
        <v>74</v>
      </c>
      <c r="K64" s="8" t="n">
        <v>8.84051111073768</v>
      </c>
      <c r="L64" s="8" t="n">
        <v>47438.757389132</v>
      </c>
      <c r="M64" s="8" t="n">
        <f aca="false">M63+L64</f>
        <v>191805.464045007</v>
      </c>
      <c r="N64" s="5" t="str">
        <f aca="false">IF(L64&gt;0,"прибыль",IF(L64&lt;0,"убыток","ноль"))</f>
        <v>прибыль</v>
      </c>
      <c r="O64" s="6" t="n">
        <f aca="false">IF(L64&lt;0,O63+1,0)</f>
        <v>0</v>
      </c>
      <c r="P64" s="6" t="n">
        <v>11</v>
      </c>
    </row>
    <row r="65" customFormat="false" ht="15" hidden="false" customHeight="false" outlineLevel="0" collapsed="false">
      <c r="A65" s="6" t="n">
        <v>60</v>
      </c>
      <c r="B65" s="5" t="s">
        <v>72</v>
      </c>
      <c r="C65" s="5" t="s">
        <v>25</v>
      </c>
      <c r="D65" s="11" t="n">
        <v>41942</v>
      </c>
      <c r="E65" s="11" t="n">
        <v>41971</v>
      </c>
      <c r="F65" s="5" t="s">
        <v>75</v>
      </c>
      <c r="G65" s="12" t="n">
        <v>232949.497247908</v>
      </c>
      <c r="H65" s="13" t="n">
        <v>87.03</v>
      </c>
      <c r="I65" s="13" t="n">
        <v>72.51</v>
      </c>
      <c r="J65" s="5" t="s">
        <v>74</v>
      </c>
      <c r="K65" s="8" t="n">
        <v>17.7059426225197</v>
      </c>
      <c r="L65" s="8" t="n">
        <v>72935.3650538628</v>
      </c>
      <c r="M65" s="8" t="n">
        <f aca="false">M64+L65</f>
        <v>264740.82909887</v>
      </c>
      <c r="N65" s="5" t="str">
        <f aca="false">IF(L65&gt;0,"прибыль",IF(L65&lt;0,"убыток","ноль"))</f>
        <v>прибыль</v>
      </c>
      <c r="O65" s="6" t="n">
        <f aca="false">IF(L65&lt;0,O64+1,0)</f>
        <v>0</v>
      </c>
      <c r="P65" s="6" t="n">
        <v>20</v>
      </c>
    </row>
    <row r="66" customFormat="false" ht="15" hidden="false" customHeight="false" outlineLevel="0" collapsed="false">
      <c r="A66" s="6" t="n">
        <v>61</v>
      </c>
      <c r="B66" s="5" t="s">
        <v>72</v>
      </c>
      <c r="C66" s="5" t="s">
        <v>25</v>
      </c>
      <c r="D66" s="11" t="n">
        <v>41971</v>
      </c>
      <c r="E66" s="11" t="n">
        <v>41997</v>
      </c>
      <c r="F66" s="5" t="s">
        <v>75</v>
      </c>
      <c r="G66" s="12" t="n">
        <v>188057.043149934</v>
      </c>
      <c r="H66" s="13" t="n">
        <v>72.51</v>
      </c>
      <c r="I66" s="13" t="n">
        <v>61.56</v>
      </c>
      <c r="J66" s="5" t="s">
        <v>74</v>
      </c>
      <c r="K66" s="8" t="n">
        <v>5.37746773022919</v>
      </c>
      <c r="L66" s="8" t="n">
        <v>80502.3110776198</v>
      </c>
      <c r="M66" s="8" t="n">
        <f aca="false">M65+L66</f>
        <v>345243.14017649</v>
      </c>
      <c r="N66" s="5" t="str">
        <f aca="false">IF(L66&gt;0,"прибыль",IF(L66&lt;0,"убыток","ноль"))</f>
        <v>прибыль</v>
      </c>
      <c r="O66" s="6" t="n">
        <f aca="false">IF(L66&lt;0,O65+1,0)</f>
        <v>0</v>
      </c>
      <c r="P66" s="6" t="n">
        <v>18</v>
      </c>
    </row>
    <row r="67" customFormat="false" ht="15" hidden="false" customHeight="false" outlineLevel="0" collapsed="false">
      <c r="A67" s="6" t="n">
        <v>62</v>
      </c>
      <c r="B67" s="5" t="s">
        <v>72</v>
      </c>
      <c r="C67" s="5" t="s">
        <v>25</v>
      </c>
      <c r="D67" s="11" t="n">
        <v>41997</v>
      </c>
      <c r="E67" s="11" t="n">
        <v>42038</v>
      </c>
      <c r="F67" s="5" t="s">
        <v>75</v>
      </c>
      <c r="G67" s="12" t="n">
        <v>213497.221901674</v>
      </c>
      <c r="H67" s="13" t="n">
        <v>61.56</v>
      </c>
      <c r="I67" s="13" t="n">
        <v>54.9</v>
      </c>
      <c r="J67" s="5" t="s">
        <v>74</v>
      </c>
      <c r="K67" s="8" t="n">
        <v>10.9272173746181</v>
      </c>
      <c r="L67" s="8" t="n">
        <v>97165.5220661232</v>
      </c>
      <c r="M67" s="8" t="n">
        <f aca="false">M66+L67</f>
        <v>442408.662242613</v>
      </c>
      <c r="N67" s="5" t="str">
        <f aca="false">IF(L67&gt;0,"прибыль",IF(L67&lt;0,"убыток","ноль"))</f>
        <v>прибыль</v>
      </c>
      <c r="O67" s="6" t="n">
        <f aca="false">IF(L67&lt;0,O66+1,0)</f>
        <v>0</v>
      </c>
      <c r="P67" s="6" t="n">
        <v>25</v>
      </c>
    </row>
    <row r="68" customFormat="false" ht="15" hidden="false" customHeight="false" outlineLevel="0" collapsed="false">
      <c r="A68" s="6" t="n">
        <v>63</v>
      </c>
      <c r="B68" s="5" t="s">
        <v>72</v>
      </c>
      <c r="C68" s="5" t="s">
        <v>25</v>
      </c>
      <c r="D68" s="11" t="n">
        <v>42038</v>
      </c>
      <c r="E68" s="11" t="n">
        <v>42068</v>
      </c>
      <c r="F68" s="5" t="s">
        <v>75</v>
      </c>
      <c r="G68" s="12" t="n">
        <v>528142.871546685</v>
      </c>
      <c r="H68" s="13" t="n">
        <v>54.9</v>
      </c>
      <c r="I68" s="13" t="n">
        <v>60.6</v>
      </c>
      <c r="J68" s="5" t="s">
        <v>74</v>
      </c>
      <c r="K68" s="8" t="n">
        <v>31.1175196081737</v>
      </c>
      <c r="L68" s="8" t="n">
        <v>232101.519683392</v>
      </c>
      <c r="M68" s="8" t="n">
        <f aca="false">M67+L68</f>
        <v>674510.181926005</v>
      </c>
      <c r="N68" s="5" t="str">
        <f aca="false">IF(L68&gt;0,"прибыль",IF(L68&lt;0,"убыток","ноль"))</f>
        <v>прибыль</v>
      </c>
      <c r="O68" s="6" t="n">
        <f aca="false">IF(L68&lt;0,O67+1,0)</f>
        <v>0</v>
      </c>
      <c r="P68" s="6" t="n">
        <v>21</v>
      </c>
    </row>
    <row r="69" customFormat="false" ht="15" hidden="false" customHeight="false" outlineLevel="0" collapsed="false">
      <c r="A69" s="6" t="n">
        <v>64</v>
      </c>
      <c r="B69" s="5" t="s">
        <v>72</v>
      </c>
      <c r="C69" s="5" t="s">
        <v>25</v>
      </c>
      <c r="D69" s="11" t="n">
        <v>42068</v>
      </c>
      <c r="E69" s="11" t="n">
        <v>42080</v>
      </c>
      <c r="F69" s="5" t="s">
        <v>73</v>
      </c>
      <c r="G69" s="12" t="n">
        <v>326340.157819789</v>
      </c>
      <c r="H69" s="13" t="n">
        <v>60.6</v>
      </c>
      <c r="I69" s="13" t="n">
        <v>53.29</v>
      </c>
      <c r="K69" s="8" t="n">
        <v>31.9429103000163</v>
      </c>
      <c r="L69" s="8" t="n">
        <v>-40359.3775870138</v>
      </c>
      <c r="M69" s="8" t="n">
        <f aca="false">M68+L69</f>
        <v>634150.804338991</v>
      </c>
      <c r="N69" s="5" t="str">
        <f aca="false">IF(L69&gt;0,"прибыль",IF(L69&lt;0,"убыток","ноль"))</f>
        <v>убыток</v>
      </c>
      <c r="O69" s="6" t="n">
        <f aca="false">IF(L69&lt;0,O68+1,0)</f>
        <v>1</v>
      </c>
      <c r="P69" s="6" t="n">
        <v>7</v>
      </c>
    </row>
    <row r="70" customFormat="false" ht="15" hidden="false" customHeight="false" outlineLevel="0" collapsed="false">
      <c r="A70" s="6" t="n">
        <v>65</v>
      </c>
      <c r="B70" s="5" t="s">
        <v>72</v>
      </c>
      <c r="C70" s="5" t="s">
        <v>25</v>
      </c>
      <c r="D70" s="11" t="n">
        <v>42080</v>
      </c>
      <c r="E70" s="11" t="n">
        <v>42082</v>
      </c>
      <c r="F70" s="5" t="s">
        <v>75</v>
      </c>
      <c r="G70" s="12" t="n">
        <v>352845.48285725</v>
      </c>
      <c r="H70" s="13" t="n">
        <v>53.29</v>
      </c>
      <c r="I70" s="13" t="n">
        <v>55.94</v>
      </c>
      <c r="J70" s="5" t="s">
        <v>74</v>
      </c>
      <c r="K70" s="8" t="n">
        <v>34.4649787151304</v>
      </c>
      <c r="L70" s="8" t="n">
        <v>-20590.0715962926</v>
      </c>
      <c r="M70" s="8" t="n">
        <f aca="false">M69+L70</f>
        <v>613560.732742699</v>
      </c>
      <c r="N70" s="5" t="str">
        <f aca="false">IF(L70&gt;0,"прибыль",IF(L70&lt;0,"убыток","ноль"))</f>
        <v>убыток</v>
      </c>
      <c r="O70" s="6" t="n">
        <f aca="false">IF(L70&lt;0,O69+1,0)</f>
        <v>2</v>
      </c>
      <c r="P70" s="6" t="n">
        <v>2</v>
      </c>
    </row>
    <row r="71" customFormat="false" ht="15" hidden="false" customHeight="false" outlineLevel="0" collapsed="false">
      <c r="A71" s="6" t="n">
        <v>66</v>
      </c>
      <c r="B71" s="5" t="s">
        <v>72</v>
      </c>
      <c r="C71" s="5" t="s">
        <v>25</v>
      </c>
      <c r="D71" s="11" t="n">
        <v>42082</v>
      </c>
      <c r="E71" s="11" t="n">
        <v>42096</v>
      </c>
      <c r="F71" s="5" t="s">
        <v>73</v>
      </c>
      <c r="G71" s="12" t="n">
        <v>315898.484827781</v>
      </c>
      <c r="H71" s="13" t="n">
        <v>55.94</v>
      </c>
      <c r="I71" s="13" t="n">
        <v>56.76</v>
      </c>
      <c r="K71" s="8" t="n">
        <v>31.5692487920191</v>
      </c>
      <c r="L71" s="8" t="n">
        <v>3456.19336885344</v>
      </c>
      <c r="M71" s="8" t="n">
        <f aca="false">M70+L71</f>
        <v>617016.926111552</v>
      </c>
      <c r="N71" s="5" t="str">
        <f aca="false">IF(L71&gt;0,"прибыль",IF(L71&lt;0,"убыток","ноль"))</f>
        <v>прибыль</v>
      </c>
      <c r="O71" s="6" t="n">
        <f aca="false">IF(L71&lt;0,O70+1,0)</f>
        <v>0</v>
      </c>
      <c r="P71" s="6" t="n">
        <v>10</v>
      </c>
    </row>
    <row r="72" customFormat="false" ht="15" hidden="false" customHeight="false" outlineLevel="0" collapsed="false">
      <c r="A72" s="6" t="n">
        <v>67</v>
      </c>
      <c r="B72" s="5" t="s">
        <v>72</v>
      </c>
      <c r="C72" s="5" t="s">
        <v>25</v>
      </c>
      <c r="D72" s="11" t="n">
        <v>42096</v>
      </c>
      <c r="E72" s="11" t="n">
        <v>42114</v>
      </c>
      <c r="F72" s="5" t="s">
        <v>75</v>
      </c>
      <c r="G72" s="12" t="n">
        <v>311998.728394955</v>
      </c>
      <c r="H72" s="13" t="n">
        <v>56.76</v>
      </c>
      <c r="I72" s="13" t="n">
        <v>63.88</v>
      </c>
      <c r="J72" s="5" t="s">
        <v>74</v>
      </c>
      <c r="K72" s="8" t="n">
        <v>34.7991118961845</v>
      </c>
      <c r="L72" s="8" t="n">
        <v>-22215.9331463283</v>
      </c>
      <c r="M72" s="8" t="n">
        <f aca="false">M71+L72</f>
        <v>594800.992965224</v>
      </c>
      <c r="N72" s="5" t="str">
        <f aca="false">IF(L72&gt;0,"прибыль",IF(L72&lt;0,"убыток","ноль"))</f>
        <v>убыток</v>
      </c>
      <c r="O72" s="6" t="n">
        <f aca="false">IF(L72&lt;0,O71+1,0)</f>
        <v>1</v>
      </c>
      <c r="P72" s="6" t="n">
        <v>12</v>
      </c>
    </row>
    <row r="73" customFormat="false" ht="15" hidden="false" customHeight="false" outlineLevel="0" collapsed="false">
      <c r="A73" s="6" t="n">
        <v>68</v>
      </c>
      <c r="B73" s="5" t="s">
        <v>72</v>
      </c>
      <c r="C73" s="5" t="s">
        <v>25</v>
      </c>
      <c r="D73" s="11" t="n">
        <v>42114</v>
      </c>
      <c r="E73" s="11" t="n">
        <v>42116</v>
      </c>
      <c r="F73" s="5" t="s">
        <v>73</v>
      </c>
      <c r="G73" s="12" t="n">
        <v>361802.375494303</v>
      </c>
      <c r="H73" s="13" t="n">
        <v>63.88</v>
      </c>
      <c r="I73" s="13" t="n">
        <v>61.8</v>
      </c>
      <c r="K73" s="8" t="n">
        <v>34.9179092432025</v>
      </c>
      <c r="L73" s="8" t="n">
        <v>-12942.5868176068</v>
      </c>
      <c r="M73" s="8" t="n">
        <f aca="false">M72+L73</f>
        <v>581858.406147617</v>
      </c>
      <c r="N73" s="5" t="str">
        <f aca="false">IF(L73&gt;0,"прибыль",IF(L73&lt;0,"убыток","ноль"))</f>
        <v>убыток</v>
      </c>
      <c r="O73" s="6" t="n">
        <f aca="false">IF(L73&lt;0,O72+1,0)</f>
        <v>2</v>
      </c>
      <c r="P73" s="6" t="n">
        <v>2</v>
      </c>
    </row>
    <row r="74" customFormat="false" ht="15" hidden="false" customHeight="false" outlineLevel="0" collapsed="false">
      <c r="A74" s="6" t="n">
        <v>69</v>
      </c>
      <c r="B74" s="5" t="s">
        <v>72</v>
      </c>
      <c r="C74" s="5" t="s">
        <v>25</v>
      </c>
      <c r="D74" s="11" t="n">
        <v>42116</v>
      </c>
      <c r="E74" s="11" t="n">
        <v>42117</v>
      </c>
      <c r="F74" s="5" t="s">
        <v>75</v>
      </c>
      <c r="G74" s="12" t="n">
        <v>349463.478278111</v>
      </c>
      <c r="H74" s="13" t="n">
        <v>61.8</v>
      </c>
      <c r="I74" s="13" t="n">
        <v>62.65</v>
      </c>
      <c r="K74" s="8" t="n">
        <v>35.4422953243352</v>
      </c>
      <c r="L74" s="8" t="n">
        <v>-5996.06313146297</v>
      </c>
      <c r="M74" s="8" t="n">
        <f aca="false">M73+L74</f>
        <v>575862.343016154</v>
      </c>
      <c r="N74" s="5" t="str">
        <f aca="false">IF(L74&gt;0,"прибыль",IF(L74&lt;0,"убыток","ноль"))</f>
        <v>убыток</v>
      </c>
      <c r="O74" s="6" t="n">
        <f aca="false">IF(L74&lt;0,O73+1,0)</f>
        <v>3</v>
      </c>
      <c r="P74" s="6" t="n">
        <v>1</v>
      </c>
    </row>
    <row r="75" customFormat="false" ht="15" hidden="false" customHeight="false" outlineLevel="0" collapsed="false">
      <c r="A75" s="6" t="n">
        <v>70</v>
      </c>
      <c r="B75" s="5" t="s">
        <v>72</v>
      </c>
      <c r="C75" s="5" t="s">
        <v>25</v>
      </c>
      <c r="D75" s="11" t="n">
        <v>42117</v>
      </c>
      <c r="E75" s="11" t="n">
        <v>42122</v>
      </c>
      <c r="F75" s="5" t="s">
        <v>73</v>
      </c>
      <c r="G75" s="12" t="n">
        <v>353421.807372454</v>
      </c>
      <c r="H75" s="13" t="n">
        <v>62.65</v>
      </c>
      <c r="I75" s="13" t="n">
        <v>64.52</v>
      </c>
      <c r="K75" s="8" t="n">
        <v>39.1005836311281</v>
      </c>
      <c r="L75" s="8" t="n">
        <v>9410.00830060165</v>
      </c>
      <c r="M75" s="8" t="n">
        <f aca="false">M74+L75</f>
        <v>585272.351316756</v>
      </c>
      <c r="N75" s="5" t="str">
        <f aca="false">IF(L75&gt;0,"прибыль",IF(L75&lt;0,"убыток","ноль"))</f>
        <v>прибыль</v>
      </c>
      <c r="O75" s="6" t="n">
        <f aca="false">IF(L75&lt;0,O74+1,0)</f>
        <v>0</v>
      </c>
      <c r="P75" s="6" t="n">
        <v>3</v>
      </c>
    </row>
    <row r="76" customFormat="false" ht="15" hidden="false" customHeight="false" outlineLevel="0" collapsed="false">
      <c r="A76" s="6" t="n">
        <v>71</v>
      </c>
      <c r="B76" s="5" t="s">
        <v>72</v>
      </c>
      <c r="C76" s="5" t="s">
        <v>25</v>
      </c>
      <c r="D76" s="11" t="n">
        <v>42122</v>
      </c>
      <c r="E76" s="11" t="n">
        <v>42123</v>
      </c>
      <c r="F76" s="5" t="s">
        <v>75</v>
      </c>
      <c r="G76" s="12" t="n">
        <v>419140.756365874</v>
      </c>
      <c r="H76" s="13" t="n">
        <v>64.52</v>
      </c>
      <c r="I76" s="13" t="n">
        <v>64.59</v>
      </c>
      <c r="K76" s="8" t="n">
        <v>42.8128524328896</v>
      </c>
      <c r="L76" s="8" t="n">
        <v>-1664.18409753728</v>
      </c>
      <c r="M76" s="8" t="n">
        <f aca="false">M75+L76</f>
        <v>583608.167219218</v>
      </c>
      <c r="N76" s="5" t="str">
        <f aca="false">IF(L76&gt;0,"прибыль",IF(L76&lt;0,"убыток","ноль"))</f>
        <v>убыток</v>
      </c>
      <c r="O76" s="6" t="n">
        <f aca="false">IF(L76&lt;0,O75+1,0)</f>
        <v>1</v>
      </c>
      <c r="P76" s="6" t="n">
        <v>1</v>
      </c>
    </row>
    <row r="77" customFormat="false" ht="15" hidden="false" customHeight="false" outlineLevel="0" collapsed="false">
      <c r="A77" s="6" t="n">
        <v>72</v>
      </c>
      <c r="B77" s="5" t="s">
        <v>72</v>
      </c>
      <c r="C77" s="5" t="s">
        <v>25</v>
      </c>
      <c r="D77" s="11" t="n">
        <v>42123</v>
      </c>
      <c r="E77" s="11" t="n">
        <v>42124</v>
      </c>
      <c r="F77" s="5" t="s">
        <v>73</v>
      </c>
      <c r="G77" s="12" t="n">
        <v>9.47379953748626E-011</v>
      </c>
      <c r="H77" s="13" t="n">
        <v>64.59</v>
      </c>
      <c r="I77" s="13" t="n">
        <v>65.64</v>
      </c>
      <c r="K77" s="8" t="n">
        <v>4.80082161057525E-015</v>
      </c>
      <c r="L77" s="8" t="n">
        <v>1.27363601503175E-012</v>
      </c>
      <c r="M77" s="8" t="n">
        <f aca="false">M76+L77</f>
        <v>583608.167219218</v>
      </c>
      <c r="N77" s="5" t="str">
        <f aca="false">IF(L77&gt;0,"прибыль",IF(L77&lt;0,"убыток","ноль"))</f>
        <v>прибыль</v>
      </c>
      <c r="O77" s="6" t="n">
        <f aca="false">IF(L77&lt;0,O76+1,0)</f>
        <v>0</v>
      </c>
      <c r="P77" s="6" t="n">
        <v>1</v>
      </c>
    </row>
    <row r="78" customFormat="false" ht="15" hidden="false" customHeight="false" outlineLevel="0" collapsed="false">
      <c r="A78" s="6" t="n">
        <v>73</v>
      </c>
      <c r="B78" s="5" t="s">
        <v>72</v>
      </c>
      <c r="C78" s="5" t="s">
        <v>25</v>
      </c>
      <c r="D78" s="11" t="n">
        <v>42124</v>
      </c>
      <c r="E78" s="11" t="n">
        <v>42156</v>
      </c>
      <c r="F78" s="5" t="s">
        <v>73</v>
      </c>
      <c r="G78" s="12" t="n">
        <v>122521.827266931</v>
      </c>
      <c r="H78" s="13" t="n">
        <v>65.64</v>
      </c>
      <c r="I78" s="13" t="n">
        <v>65.33</v>
      </c>
      <c r="J78" s="5" t="s">
        <v>74</v>
      </c>
      <c r="K78" s="8" t="n">
        <v>14.4583520378348</v>
      </c>
      <c r="L78" s="8" t="n">
        <v>-167.495300175443</v>
      </c>
      <c r="M78" s="8" t="n">
        <f aca="false">M77+L78</f>
        <v>583440.671919043</v>
      </c>
      <c r="N78" s="5" t="str">
        <f aca="false">IF(L78&gt;0,"прибыль",IF(L78&lt;0,"убыток","ноль"))</f>
        <v>убыток</v>
      </c>
      <c r="O78" s="6" t="n">
        <f aca="false">IF(L78&lt;0,O77+1,0)</f>
        <v>1</v>
      </c>
      <c r="P78" s="6" t="n">
        <v>19</v>
      </c>
    </row>
    <row r="79" customFormat="false" ht="15" hidden="false" customHeight="false" outlineLevel="0" collapsed="false">
      <c r="A79" s="6" t="n">
        <v>74</v>
      </c>
      <c r="B79" s="5" t="s">
        <v>72</v>
      </c>
      <c r="C79" s="5" t="s">
        <v>25</v>
      </c>
      <c r="D79" s="11" t="n">
        <v>42156</v>
      </c>
      <c r="E79" s="11" t="n">
        <v>42172</v>
      </c>
      <c r="F79" s="5" t="s">
        <v>73</v>
      </c>
      <c r="G79" s="12" t="n">
        <v>479771.344217785</v>
      </c>
      <c r="H79" s="13" t="n">
        <v>65.33</v>
      </c>
      <c r="I79" s="13" t="n">
        <v>63.73</v>
      </c>
      <c r="J79" s="5" t="s">
        <v>74</v>
      </c>
      <c r="K79" s="8" t="n">
        <v>43.8448710681127</v>
      </c>
      <c r="L79" s="8" t="n">
        <v>-20586.8777789776</v>
      </c>
      <c r="M79" s="8" t="n">
        <f aca="false">M78+L79</f>
        <v>562853.794140065</v>
      </c>
      <c r="N79" s="5" t="str">
        <f aca="false">IF(L79&gt;0,"прибыль",IF(L79&lt;0,"убыток","ноль"))</f>
        <v>убыток</v>
      </c>
      <c r="O79" s="6" t="n">
        <f aca="false">IF(L79&lt;0,O78+1,0)</f>
        <v>2</v>
      </c>
      <c r="P79" s="6" t="n">
        <v>11</v>
      </c>
    </row>
    <row r="80" customFormat="false" ht="15" hidden="false" customHeight="false" outlineLevel="0" collapsed="false">
      <c r="A80" s="6" t="n">
        <v>75</v>
      </c>
      <c r="B80" s="5" t="s">
        <v>72</v>
      </c>
      <c r="C80" s="5" t="s">
        <v>25</v>
      </c>
      <c r="D80" s="11" t="n">
        <v>42172</v>
      </c>
      <c r="E80" s="11" t="n">
        <v>42173</v>
      </c>
      <c r="F80" s="5" t="s">
        <v>75</v>
      </c>
      <c r="G80" s="12" t="n">
        <v>9.10050925777594E-011</v>
      </c>
      <c r="H80" s="13" t="n">
        <v>63.73</v>
      </c>
      <c r="I80" s="13" t="n">
        <v>63.66</v>
      </c>
      <c r="K80" s="8" t="n">
        <v>4.55793112008164E-015</v>
      </c>
      <c r="L80" s="8" t="n">
        <v>-1.58087754993506E-013</v>
      </c>
      <c r="M80" s="8" t="n">
        <f aca="false">M79+L80</f>
        <v>562853.794140065</v>
      </c>
      <c r="N80" s="5" t="str">
        <f aca="false">IF(L80&gt;0,"прибыль",IF(L80&lt;0,"убыток","ноль"))</f>
        <v>убыток</v>
      </c>
      <c r="O80" s="6" t="n">
        <f aca="false">IF(L80&lt;0,O79+1,0)</f>
        <v>3</v>
      </c>
      <c r="P80" s="6" t="n">
        <v>1</v>
      </c>
    </row>
    <row r="81" customFormat="false" ht="15" hidden="false" customHeight="false" outlineLevel="0" collapsed="false">
      <c r="A81" s="6" t="n">
        <v>76</v>
      </c>
      <c r="B81" s="5" t="s">
        <v>72</v>
      </c>
      <c r="C81" s="5" t="s">
        <v>25</v>
      </c>
      <c r="D81" s="11" t="n">
        <v>42173</v>
      </c>
      <c r="E81" s="11" t="n">
        <v>42179</v>
      </c>
      <c r="F81" s="5" t="s">
        <v>75</v>
      </c>
      <c r="G81" s="12" t="n">
        <v>417669.110052379</v>
      </c>
      <c r="H81" s="13" t="n">
        <v>63.66</v>
      </c>
      <c r="I81" s="13" t="n">
        <v>64.5</v>
      </c>
      <c r="K81" s="8" t="n">
        <v>43.1965317324804</v>
      </c>
      <c r="L81" s="8" t="n">
        <v>-6264.717002979</v>
      </c>
      <c r="M81" s="8" t="n">
        <f aca="false">M80+L81</f>
        <v>556589.077137086</v>
      </c>
      <c r="N81" s="5" t="str">
        <f aca="false">IF(L81&gt;0,"прибыль",IF(L81&lt;0,"убыток","ноль"))</f>
        <v>убыток</v>
      </c>
      <c r="O81" s="6" t="n">
        <f aca="false">IF(L81&lt;0,O80+1,0)</f>
        <v>4</v>
      </c>
      <c r="P81" s="6" t="n">
        <v>4</v>
      </c>
    </row>
    <row r="82" customFormat="false" ht="15" hidden="false" customHeight="false" outlineLevel="0" collapsed="false">
      <c r="A82" s="6" t="n">
        <v>77</v>
      </c>
      <c r="B82" s="5" t="s">
        <v>72</v>
      </c>
      <c r="C82" s="5" t="s">
        <v>25</v>
      </c>
      <c r="D82" s="11" t="n">
        <v>42179</v>
      </c>
      <c r="E82" s="11" t="n">
        <v>42180</v>
      </c>
      <c r="F82" s="5" t="s">
        <v>73</v>
      </c>
      <c r="G82" s="12" t="n">
        <v>440040.004125982</v>
      </c>
      <c r="H82" s="13" t="n">
        <v>64.5</v>
      </c>
      <c r="I82" s="13" t="n">
        <v>63.54</v>
      </c>
      <c r="K82" s="8" t="n">
        <v>44.395412187932</v>
      </c>
      <c r="L82" s="8" t="n">
        <v>-7755.47637305321</v>
      </c>
      <c r="M82" s="8" t="n">
        <f aca="false">M81+L82</f>
        <v>548833.600764033</v>
      </c>
      <c r="N82" s="5" t="str">
        <f aca="false">IF(L82&gt;0,"прибыль",IF(L82&lt;0,"убыток","ноль"))</f>
        <v>убыток</v>
      </c>
      <c r="O82" s="6" t="n">
        <f aca="false">IF(L82&lt;0,O81+1,0)</f>
        <v>5</v>
      </c>
      <c r="P82" s="6" t="n">
        <v>1</v>
      </c>
    </row>
    <row r="83" customFormat="false" ht="15" hidden="false" customHeight="false" outlineLevel="0" collapsed="false">
      <c r="A83" s="6" t="n">
        <v>78</v>
      </c>
      <c r="B83" s="5" t="s">
        <v>72</v>
      </c>
      <c r="C83" s="5" t="s">
        <v>25</v>
      </c>
      <c r="D83" s="11" t="n">
        <v>42180</v>
      </c>
      <c r="E83" s="11" t="n">
        <v>42244</v>
      </c>
      <c r="F83" s="5" t="s">
        <v>75</v>
      </c>
      <c r="G83" s="12" t="n">
        <v>300721.989603157</v>
      </c>
      <c r="H83" s="13" t="n">
        <v>63.54</v>
      </c>
      <c r="I83" s="13" t="n">
        <v>47.5</v>
      </c>
      <c r="J83" s="5" t="s">
        <v>74</v>
      </c>
      <c r="K83" s="8" t="n">
        <v>22.8663081095464</v>
      </c>
      <c r="L83" s="8" t="n">
        <v>58531.4124945028</v>
      </c>
      <c r="M83" s="8" t="n">
        <f aca="false">M82+L83</f>
        <v>607365.013258536</v>
      </c>
      <c r="N83" s="5" t="str">
        <f aca="false">IF(L83&gt;0,"прибыль",IF(L83&lt;0,"убыток","ноль"))</f>
        <v>прибыль</v>
      </c>
      <c r="O83" s="6" t="n">
        <f aca="false">IF(L83&lt;0,O82+1,0)</f>
        <v>0</v>
      </c>
      <c r="P83" s="6" t="n">
        <v>46</v>
      </c>
    </row>
    <row r="84" customFormat="false" ht="15" hidden="false" customHeight="false" outlineLevel="0" collapsed="false">
      <c r="A84" s="6" t="n">
        <v>79</v>
      </c>
      <c r="B84" s="5" t="s">
        <v>72</v>
      </c>
      <c r="C84" s="5" t="s">
        <v>25</v>
      </c>
      <c r="D84" s="11" t="n">
        <v>42244</v>
      </c>
      <c r="E84" s="11" t="n">
        <v>42249</v>
      </c>
      <c r="F84" s="5" t="s">
        <v>75</v>
      </c>
      <c r="G84" s="12" t="n">
        <v>82509.1507065414</v>
      </c>
      <c r="H84" s="13" t="n">
        <v>47.5</v>
      </c>
      <c r="I84" s="13" t="n">
        <v>48.66</v>
      </c>
      <c r="K84" s="8" t="n">
        <v>3.40467826442671</v>
      </c>
      <c r="L84" s="8" t="n">
        <v>14412.1807397428</v>
      </c>
      <c r="M84" s="8" t="n">
        <f aca="false">M83+L84</f>
        <v>621777.193998279</v>
      </c>
      <c r="N84" s="5" t="str">
        <f aca="false">IF(L84&gt;0,"прибыль",IF(L84&lt;0,"убыток","ноль"))</f>
        <v>прибыль</v>
      </c>
      <c r="O84" s="6" t="n">
        <f aca="false">IF(L84&lt;0,O83+1,0)</f>
        <v>0</v>
      </c>
      <c r="P84" s="6" t="n">
        <v>3</v>
      </c>
    </row>
    <row r="85" customFormat="false" ht="15" hidden="false" customHeight="false" outlineLevel="0" collapsed="false">
      <c r="A85" s="6" t="n">
        <v>80</v>
      </c>
      <c r="B85" s="5" t="s">
        <v>72</v>
      </c>
      <c r="C85" s="5" t="s">
        <v>25</v>
      </c>
      <c r="D85" s="11" t="n">
        <v>42249</v>
      </c>
      <c r="E85" s="11" t="n">
        <v>42286</v>
      </c>
      <c r="F85" s="5" t="s">
        <v>75</v>
      </c>
      <c r="G85" s="12" t="n">
        <v>479000.143871758</v>
      </c>
      <c r="H85" s="13" t="n">
        <v>48.66</v>
      </c>
      <c r="I85" s="13" t="n">
        <v>53.3</v>
      </c>
      <c r="J85" s="5" t="s">
        <v>74</v>
      </c>
      <c r="K85" s="8" t="n">
        <v>53.5763136891878</v>
      </c>
      <c r="L85" s="8" t="n">
        <v>22703.7127965915</v>
      </c>
      <c r="M85" s="8" t="n">
        <f aca="false">M84+L85</f>
        <v>644480.90679487</v>
      </c>
      <c r="N85" s="5" t="str">
        <f aca="false">IF(L85&gt;0,"прибыль",IF(L85&lt;0,"убыток","ноль"))</f>
        <v>прибыль</v>
      </c>
      <c r="O85" s="6" t="n">
        <f aca="false">IF(L85&lt;0,O84+1,0)</f>
        <v>0</v>
      </c>
      <c r="P85" s="6" t="n">
        <v>27</v>
      </c>
    </row>
    <row r="86" customFormat="false" ht="15" hidden="false" customHeight="false" outlineLevel="0" collapsed="false">
      <c r="A86" s="6" t="n">
        <v>81</v>
      </c>
      <c r="B86" s="5" t="s">
        <v>72</v>
      </c>
      <c r="C86" s="5" t="s">
        <v>25</v>
      </c>
      <c r="D86" s="11" t="n">
        <v>42286</v>
      </c>
      <c r="E86" s="11" t="n">
        <v>42290</v>
      </c>
      <c r="F86" s="5" t="s">
        <v>73</v>
      </c>
      <c r="G86" s="12" t="n">
        <v>423789.906824729</v>
      </c>
      <c r="H86" s="13" t="n">
        <v>53.3</v>
      </c>
      <c r="I86" s="13" t="n">
        <v>50.4</v>
      </c>
      <c r="K86" s="8" t="n">
        <v>40.4473205155221</v>
      </c>
      <c r="L86" s="8" t="n">
        <v>-24235.2643299176</v>
      </c>
      <c r="M86" s="8" t="n">
        <f aca="false">M85+L86</f>
        <v>620245.642464953</v>
      </c>
      <c r="N86" s="5" t="str">
        <f aca="false">IF(L86&gt;0,"прибыль",IF(L86&lt;0,"убыток","ноль"))</f>
        <v>убыток</v>
      </c>
      <c r="O86" s="6" t="n">
        <f aca="false">IF(L86&lt;0,O85+1,0)</f>
        <v>1</v>
      </c>
      <c r="P86" s="6" t="n">
        <v>2</v>
      </c>
    </row>
    <row r="87" customFormat="false" ht="15" hidden="false" customHeight="false" outlineLevel="0" collapsed="false">
      <c r="A87" s="6" t="n">
        <v>82</v>
      </c>
      <c r="B87" s="5" t="s">
        <v>72</v>
      </c>
      <c r="C87" s="5" t="s">
        <v>25</v>
      </c>
      <c r="D87" s="11" t="n">
        <v>42290</v>
      </c>
      <c r="E87" s="11" t="n">
        <v>42291</v>
      </c>
      <c r="F87" s="5" t="s">
        <v>75</v>
      </c>
      <c r="G87" s="12" t="n">
        <v>6.82875236005749E-011</v>
      </c>
      <c r="H87" s="13" t="n">
        <v>50.4</v>
      </c>
      <c r="I87" s="13" t="n">
        <v>49.2</v>
      </c>
      <c r="K87" s="8" t="n">
        <v>3.34278689172311E-015</v>
      </c>
      <c r="L87" s="8" t="n">
        <v>1.42844297922089E-012</v>
      </c>
      <c r="M87" s="8" t="n">
        <f aca="false">M86+L87</f>
        <v>620245.642464953</v>
      </c>
      <c r="N87" s="5" t="str">
        <f aca="false">IF(L87&gt;0,"прибыль",IF(L87&lt;0,"убыток","ноль"))</f>
        <v>прибыль</v>
      </c>
      <c r="O87" s="6" t="n">
        <f aca="false">IF(L87&lt;0,O86+1,0)</f>
        <v>0</v>
      </c>
      <c r="P87" s="6" t="n">
        <v>1</v>
      </c>
    </row>
    <row r="88" customFormat="false" ht="15" hidden="false" customHeight="false" outlineLevel="0" collapsed="false">
      <c r="A88" s="6" t="n">
        <v>83</v>
      </c>
      <c r="B88" s="5" t="s">
        <v>72</v>
      </c>
      <c r="C88" s="5" t="s">
        <v>25</v>
      </c>
      <c r="D88" s="11" t="n">
        <v>42291</v>
      </c>
      <c r="E88" s="11" t="n">
        <v>42296</v>
      </c>
      <c r="F88" s="5" t="s">
        <v>75</v>
      </c>
      <c r="G88" s="12" t="n">
        <v>409351.320495114</v>
      </c>
      <c r="H88" s="13" t="n">
        <v>49.2</v>
      </c>
      <c r="I88" s="13" t="n">
        <v>50.37</v>
      </c>
      <c r="J88" s="5" t="s">
        <v>74</v>
      </c>
      <c r="K88" s="8" t="n">
        <v>40.9322792756535</v>
      </c>
      <c r="L88" s="8" t="n">
        <v>12476.4598858951</v>
      </c>
      <c r="M88" s="8" t="n">
        <f aca="false">M87+L88</f>
        <v>632722.102350848</v>
      </c>
      <c r="N88" s="5" t="str">
        <f aca="false">IF(L88&gt;0,"прибыль",IF(L88&lt;0,"убыток","ноль"))</f>
        <v>прибыль</v>
      </c>
      <c r="O88" s="6" t="n">
        <f aca="false">IF(L88&lt;0,O87+1,0)</f>
        <v>0</v>
      </c>
      <c r="P88" s="6" t="n">
        <v>3</v>
      </c>
    </row>
    <row r="89" customFormat="false" ht="15" hidden="false" customHeight="false" outlineLevel="0" collapsed="false">
      <c r="A89" s="6" t="n">
        <v>84</v>
      </c>
      <c r="B89" s="5" t="s">
        <v>72</v>
      </c>
      <c r="C89" s="5" t="s">
        <v>25</v>
      </c>
      <c r="D89" s="11" t="n">
        <v>42296</v>
      </c>
      <c r="E89" s="11" t="n">
        <v>42299</v>
      </c>
      <c r="F89" s="5" t="s">
        <v>73</v>
      </c>
      <c r="G89" s="12" t="n">
        <v>421811.657183127</v>
      </c>
      <c r="H89" s="13" t="n">
        <v>50.37</v>
      </c>
      <c r="I89" s="13" t="n">
        <v>47.97</v>
      </c>
      <c r="K89" s="8" t="n">
        <v>41.1905312617445</v>
      </c>
      <c r="L89" s="8" t="n">
        <v>-21265.6431864762</v>
      </c>
      <c r="M89" s="8" t="n">
        <f aca="false">M88+L89</f>
        <v>611456.459164372</v>
      </c>
      <c r="N89" s="5" t="str">
        <f aca="false">IF(L89&gt;0,"прибыль",IF(L89&lt;0,"убыток","ноль"))</f>
        <v>убыток</v>
      </c>
      <c r="O89" s="6" t="n">
        <f aca="false">IF(L89&lt;0,O88+1,0)</f>
        <v>1</v>
      </c>
      <c r="P89" s="6" t="n">
        <v>3</v>
      </c>
    </row>
    <row r="90" customFormat="false" ht="15" hidden="false" customHeight="false" outlineLevel="0" collapsed="false">
      <c r="A90" s="6" t="n">
        <v>85</v>
      </c>
      <c r="B90" s="5" t="s">
        <v>72</v>
      </c>
      <c r="C90" s="5" t="s">
        <v>25</v>
      </c>
      <c r="D90" s="11" t="n">
        <v>42299</v>
      </c>
      <c r="E90" s="11" t="n">
        <v>42368</v>
      </c>
      <c r="F90" s="5" t="s">
        <v>75</v>
      </c>
      <c r="G90" s="12" t="n">
        <v>126849.246561344</v>
      </c>
      <c r="H90" s="13" t="n">
        <v>47.97</v>
      </c>
      <c r="I90" s="13" t="n">
        <v>37.75</v>
      </c>
      <c r="J90" s="5" t="s">
        <v>74</v>
      </c>
      <c r="K90" s="8" t="n">
        <v>13.5588580221038</v>
      </c>
      <c r="L90" s="8" t="n">
        <v>22774.9852032803</v>
      </c>
      <c r="M90" s="8" t="n">
        <f aca="false">M89+L90</f>
        <v>634231.444367652</v>
      </c>
      <c r="N90" s="5" t="str">
        <f aca="false">IF(L90&gt;0,"прибыль",IF(L90&lt;0,"убыток","ноль"))</f>
        <v>прибыль</v>
      </c>
      <c r="O90" s="6" t="n">
        <f aca="false">IF(L90&lt;0,O89+1,0)</f>
        <v>0</v>
      </c>
      <c r="P90" s="6" t="n">
        <v>48</v>
      </c>
    </row>
    <row r="91" customFormat="false" ht="15" hidden="false" customHeight="false" outlineLevel="0" collapsed="false">
      <c r="A91" s="6" t="n">
        <v>86</v>
      </c>
      <c r="B91" s="5" t="s">
        <v>72</v>
      </c>
      <c r="C91" s="5" t="s">
        <v>25</v>
      </c>
      <c r="D91" s="11" t="n">
        <v>42368</v>
      </c>
      <c r="E91" s="11" t="n">
        <v>42394</v>
      </c>
      <c r="F91" s="5" t="s">
        <v>75</v>
      </c>
      <c r="G91" s="12" t="n">
        <v>136074.30572101</v>
      </c>
      <c r="H91" s="13" t="n">
        <v>37.75</v>
      </c>
      <c r="I91" s="13" t="n">
        <v>32.15</v>
      </c>
      <c r="J91" s="5" t="s">
        <v>74</v>
      </c>
      <c r="K91" s="8" t="n">
        <v>5.06376740899213</v>
      </c>
      <c r="L91" s="8" t="n">
        <v>34793.8937737588</v>
      </c>
      <c r="M91" s="8" t="n">
        <f aca="false">M90+L91</f>
        <v>669025.338141411</v>
      </c>
      <c r="N91" s="5" t="str">
        <f aca="false">IF(L91&gt;0,"прибыль",IF(L91&lt;0,"убыток","ноль"))</f>
        <v>прибыль</v>
      </c>
      <c r="O91" s="6" t="n">
        <f aca="false">IF(L91&lt;0,O90+1,0)</f>
        <v>0</v>
      </c>
      <c r="P91" s="6" t="n">
        <v>14</v>
      </c>
    </row>
    <row r="92" customFormat="false" ht="15" hidden="false" customHeight="false" outlineLevel="0" collapsed="false">
      <c r="A92" s="6" t="n">
        <v>87</v>
      </c>
      <c r="B92" s="5" t="s">
        <v>72</v>
      </c>
      <c r="C92" s="5" t="s">
        <v>25</v>
      </c>
      <c r="D92" s="11" t="n">
        <v>42394</v>
      </c>
      <c r="E92" s="11" t="n">
        <v>42404</v>
      </c>
      <c r="F92" s="5" t="s">
        <v>75</v>
      </c>
      <c r="G92" s="12" t="n">
        <v>87869.1006793565</v>
      </c>
      <c r="H92" s="13" t="n">
        <v>32.15</v>
      </c>
      <c r="I92" s="13" t="n">
        <v>35.48</v>
      </c>
      <c r="J92" s="5" t="s">
        <v>74</v>
      </c>
      <c r="K92" s="8" t="n">
        <v>3.67683392643543</v>
      </c>
      <c r="L92" s="8" t="n">
        <v>14328.7453167214</v>
      </c>
      <c r="M92" s="8" t="n">
        <f aca="false">M91+L92</f>
        <v>683354.083458132</v>
      </c>
      <c r="N92" s="5" t="str">
        <f aca="false">IF(L92&gt;0,"прибыль",IF(L92&lt;0,"убыток","ноль"))</f>
        <v>прибыль</v>
      </c>
      <c r="O92" s="6" t="n">
        <f aca="false">IF(L92&lt;0,O91+1,0)</f>
        <v>0</v>
      </c>
      <c r="P92" s="6" t="n">
        <v>8</v>
      </c>
    </row>
    <row r="93" customFormat="false" ht="15" hidden="false" customHeight="false" outlineLevel="0" collapsed="false">
      <c r="A93" s="6" t="n">
        <v>88</v>
      </c>
      <c r="B93" s="5" t="s">
        <v>72</v>
      </c>
      <c r="C93" s="5" t="s">
        <v>25</v>
      </c>
      <c r="D93" s="11" t="n">
        <v>42404</v>
      </c>
      <c r="E93" s="11" t="n">
        <v>42418</v>
      </c>
      <c r="F93" s="5" t="s">
        <v>75</v>
      </c>
      <c r="G93" s="12" t="n">
        <v>284384.40876375</v>
      </c>
      <c r="H93" s="13" t="n">
        <v>35.48</v>
      </c>
      <c r="I93" s="13" t="n">
        <v>34.3</v>
      </c>
      <c r="K93" s="8" t="n">
        <v>24.2766129791232</v>
      </c>
      <c r="L93" s="8" t="n">
        <v>43830.2443237195</v>
      </c>
      <c r="M93" s="8" t="n">
        <f aca="false">M92+L93</f>
        <v>727184.327781852</v>
      </c>
      <c r="N93" s="5" t="str">
        <f aca="false">IF(L93&gt;0,"прибыль",IF(L93&lt;0,"убыток","ноль"))</f>
        <v>прибыль</v>
      </c>
      <c r="O93" s="6" t="n">
        <f aca="false">IF(L93&lt;0,O92+1,0)</f>
        <v>0</v>
      </c>
      <c r="P93" s="6" t="n">
        <v>10</v>
      </c>
    </row>
    <row r="94" customFormat="false" ht="15" hidden="false" customHeight="false" outlineLevel="0" collapsed="false">
      <c r="A94" s="6" t="n">
        <v>89</v>
      </c>
      <c r="B94" s="5" t="s">
        <v>72</v>
      </c>
      <c r="C94" s="5" t="s">
        <v>25</v>
      </c>
      <c r="D94" s="11" t="n">
        <v>42418</v>
      </c>
      <c r="E94" s="11" t="n">
        <v>42419</v>
      </c>
      <c r="F94" s="5" t="s">
        <v>73</v>
      </c>
      <c r="G94" s="12" t="n">
        <v>200165.188678963</v>
      </c>
      <c r="H94" s="13" t="n">
        <v>34.3</v>
      </c>
      <c r="I94" s="13" t="n">
        <v>33.9</v>
      </c>
      <c r="K94" s="8" t="n">
        <v>19.8913636833603</v>
      </c>
      <c r="L94" s="8" t="n">
        <v>-3391.00794392113</v>
      </c>
      <c r="M94" s="8" t="n">
        <f aca="false">M93+L94</f>
        <v>723793.319837931</v>
      </c>
      <c r="N94" s="5" t="str">
        <f aca="false">IF(L94&gt;0,"прибыль",IF(L94&lt;0,"убыток","ноль"))</f>
        <v>убыток</v>
      </c>
      <c r="O94" s="6" t="n">
        <f aca="false">IF(L94&lt;0,O93+1,0)</f>
        <v>1</v>
      </c>
      <c r="P94" s="6" t="n">
        <v>1</v>
      </c>
    </row>
    <row r="95" customFormat="false" ht="15" hidden="false" customHeight="false" outlineLevel="0" collapsed="false">
      <c r="A95" s="6" t="n">
        <v>90</v>
      </c>
      <c r="B95" s="5" t="s">
        <v>72</v>
      </c>
      <c r="C95" s="5" t="s">
        <v>25</v>
      </c>
      <c r="D95" s="11" t="n">
        <v>42419</v>
      </c>
      <c r="E95" s="11" t="n">
        <v>42426</v>
      </c>
      <c r="F95" s="5" t="s">
        <v>75</v>
      </c>
      <c r="G95" s="12" t="n">
        <v>201033.201568481</v>
      </c>
      <c r="H95" s="13" t="n">
        <v>33.9</v>
      </c>
      <c r="I95" s="13" t="n">
        <v>35.15</v>
      </c>
      <c r="K95" s="8" t="n">
        <v>22.4715532413499</v>
      </c>
      <c r="L95" s="8" t="n">
        <v>-8451.35356555987</v>
      </c>
      <c r="M95" s="8" t="n">
        <f aca="false">M94+L95</f>
        <v>715341.966272371</v>
      </c>
      <c r="N95" s="5" t="str">
        <f aca="false">IF(L95&gt;0,"прибыль",IF(L95&lt;0,"убыток","ноль"))</f>
        <v>убыток</v>
      </c>
      <c r="O95" s="6" t="n">
        <f aca="false">IF(L95&lt;0,O94+1,0)</f>
        <v>2</v>
      </c>
      <c r="P95" s="6" t="n">
        <v>5</v>
      </c>
    </row>
    <row r="96" customFormat="false" ht="15" hidden="false" customHeight="false" outlineLevel="0" collapsed="false">
      <c r="A96" s="6" t="n">
        <v>91</v>
      </c>
      <c r="B96" s="5" t="s">
        <v>72</v>
      </c>
      <c r="C96" s="5" t="s">
        <v>25</v>
      </c>
      <c r="D96" s="11" t="n">
        <v>42426</v>
      </c>
      <c r="E96" s="11" t="n">
        <v>42472</v>
      </c>
      <c r="F96" s="5" t="s">
        <v>73</v>
      </c>
      <c r="G96" s="12" t="n">
        <v>94377.1650222556</v>
      </c>
      <c r="H96" s="13" t="n">
        <v>35.15</v>
      </c>
      <c r="I96" s="13" t="n">
        <v>42.78</v>
      </c>
      <c r="J96" s="5" t="s">
        <v>74</v>
      </c>
      <c r="K96" s="8" t="n">
        <v>16.2928055502853</v>
      </c>
      <c r="L96" s="8" t="n">
        <v>14632.0560755085</v>
      </c>
      <c r="M96" s="8" t="n">
        <f aca="false">M95+L96</f>
        <v>729974.022347879</v>
      </c>
      <c r="N96" s="5" t="str">
        <f aca="false">IF(L96&gt;0,"прибыль",IF(L96&lt;0,"убыток","ноль"))</f>
        <v>прибыль</v>
      </c>
      <c r="O96" s="6" t="n">
        <f aca="false">IF(L96&lt;0,O95+1,0)</f>
        <v>0</v>
      </c>
      <c r="P96" s="6" t="n">
        <v>31</v>
      </c>
    </row>
    <row r="97" customFormat="false" ht="15" hidden="false" customHeight="false" outlineLevel="0" collapsed="false">
      <c r="A97" s="6" t="n">
        <v>92</v>
      </c>
      <c r="B97" s="5" t="s">
        <v>72</v>
      </c>
      <c r="C97" s="5" t="s">
        <v>25</v>
      </c>
      <c r="D97" s="11" t="n">
        <v>42472</v>
      </c>
      <c r="E97" s="11" t="n">
        <v>42541</v>
      </c>
      <c r="F97" s="5" t="s">
        <v>73</v>
      </c>
      <c r="G97" s="12" t="n">
        <v>192127.073473314</v>
      </c>
      <c r="H97" s="13" t="n">
        <v>42.78</v>
      </c>
      <c r="I97" s="13" t="n">
        <v>49.29</v>
      </c>
      <c r="J97" s="5" t="s">
        <v>74</v>
      </c>
      <c r="K97" s="8" t="n">
        <v>23.3510409856669</v>
      </c>
      <c r="L97" s="8" t="n">
        <v>38891.5836159316</v>
      </c>
      <c r="M97" s="8" t="n">
        <f aca="false">M96+L97</f>
        <v>768865.605963811</v>
      </c>
      <c r="N97" s="5" t="str">
        <f aca="false">IF(L97&gt;0,"прибыль",IF(L97&lt;0,"убыток","ноль"))</f>
        <v>прибыль</v>
      </c>
      <c r="O97" s="6" t="n">
        <f aca="false">IF(L97&lt;0,O96+1,0)</f>
        <v>0</v>
      </c>
      <c r="P97" s="6" t="n">
        <v>45</v>
      </c>
    </row>
    <row r="98" customFormat="false" ht="15" hidden="false" customHeight="false" outlineLevel="0" collapsed="false">
      <c r="A98" s="6" t="n">
        <v>93</v>
      </c>
      <c r="B98" s="5" t="s">
        <v>72</v>
      </c>
      <c r="C98" s="5" t="s">
        <v>25</v>
      </c>
      <c r="D98" s="11" t="n">
        <v>42541</v>
      </c>
      <c r="E98" s="11" t="n">
        <v>42550</v>
      </c>
      <c r="F98" s="5" t="s">
        <v>73</v>
      </c>
      <c r="G98" s="12" t="n">
        <v>88794.6260647137</v>
      </c>
      <c r="H98" s="13" t="n">
        <v>49.29</v>
      </c>
      <c r="I98" s="13" t="n">
        <v>48.75</v>
      </c>
      <c r="K98" s="8" t="n">
        <v>5.27901874334859</v>
      </c>
      <c r="L98" s="8" t="n">
        <v>16780.4697835147</v>
      </c>
      <c r="M98" s="8" t="n">
        <f aca="false">M97+L98</f>
        <v>785646.075747326</v>
      </c>
      <c r="N98" s="5" t="str">
        <f aca="false">IF(L98&gt;0,"прибыль",IF(L98&lt;0,"убыток","ноль"))</f>
        <v>прибыль</v>
      </c>
      <c r="O98" s="6" t="n">
        <f aca="false">IF(L98&lt;0,O97+1,0)</f>
        <v>0</v>
      </c>
      <c r="P98" s="6" t="n">
        <v>7</v>
      </c>
    </row>
    <row r="99" customFormat="false" ht="15" hidden="false" customHeight="false" outlineLevel="0" collapsed="false">
      <c r="A99" s="6" t="n">
        <v>94</v>
      </c>
      <c r="B99" s="5" t="s">
        <v>72</v>
      </c>
      <c r="C99" s="5" t="s">
        <v>25</v>
      </c>
      <c r="D99" s="11" t="n">
        <v>42550</v>
      </c>
      <c r="E99" s="11" t="n">
        <v>42559</v>
      </c>
      <c r="F99" s="5" t="s">
        <v>73</v>
      </c>
      <c r="G99" s="12" t="n">
        <v>317479.525371412</v>
      </c>
      <c r="H99" s="13" t="n">
        <v>48.75</v>
      </c>
      <c r="I99" s="13" t="n">
        <v>46.58</v>
      </c>
      <c r="J99" s="5" t="s">
        <v>74</v>
      </c>
      <c r="K99" s="8" t="n">
        <v>34.2630981496715</v>
      </c>
      <c r="L99" s="8" t="n">
        <v>37908.4777238251</v>
      </c>
      <c r="M99" s="8" t="n">
        <f aca="false">M98+L99</f>
        <v>823554.553471151</v>
      </c>
      <c r="N99" s="5" t="str">
        <f aca="false">IF(L99&gt;0,"прибыль",IF(L99&lt;0,"убыток","ноль"))</f>
        <v>прибыль</v>
      </c>
      <c r="O99" s="6" t="n">
        <f aca="false">IF(L99&lt;0,O98+1,0)</f>
        <v>0</v>
      </c>
      <c r="P99" s="6" t="n">
        <v>7</v>
      </c>
    </row>
    <row r="100" customFormat="false" ht="15" hidden="false" customHeight="false" outlineLevel="0" collapsed="false">
      <c r="A100" s="6" t="n">
        <v>95</v>
      </c>
      <c r="B100" s="5" t="s">
        <v>72</v>
      </c>
      <c r="C100" s="5" t="s">
        <v>25</v>
      </c>
      <c r="D100" s="11" t="n">
        <v>42559</v>
      </c>
      <c r="E100" s="11" t="n">
        <v>42562</v>
      </c>
      <c r="F100" s="5" t="s">
        <v>75</v>
      </c>
      <c r="G100" s="12" t="n">
        <v>6.42658144809399E-011</v>
      </c>
      <c r="H100" s="13" t="n">
        <v>46.58</v>
      </c>
      <c r="I100" s="13" t="n">
        <v>46.6</v>
      </c>
      <c r="K100" s="8" t="n">
        <v>3.22568586199295E-015</v>
      </c>
      <c r="L100" s="8" t="n">
        <v>-2.51128444780963E-013</v>
      </c>
      <c r="M100" s="8" t="n">
        <f aca="false">M99+L100</f>
        <v>823554.553471151</v>
      </c>
      <c r="N100" s="5" t="str">
        <f aca="false">IF(L100&gt;0,"прибыль",IF(L100&lt;0,"убыток","ноль"))</f>
        <v>убыток</v>
      </c>
      <c r="O100" s="6" t="n">
        <f aca="false">IF(L100&lt;0,O99+1,0)</f>
        <v>1</v>
      </c>
      <c r="P100" s="6" t="n">
        <v>1</v>
      </c>
    </row>
    <row r="101" customFormat="false" ht="15" hidden="false" customHeight="false" outlineLevel="0" collapsed="false">
      <c r="A101" s="6" t="n">
        <v>96</v>
      </c>
      <c r="B101" s="5" t="s">
        <v>72</v>
      </c>
      <c r="C101" s="5" t="s">
        <v>25</v>
      </c>
      <c r="D101" s="11" t="n">
        <v>42562</v>
      </c>
      <c r="E101" s="11" t="n">
        <v>42594</v>
      </c>
      <c r="F101" s="5" t="s">
        <v>75</v>
      </c>
      <c r="G101" s="12" t="n">
        <v>126998.157580229</v>
      </c>
      <c r="H101" s="13" t="n">
        <v>46.6</v>
      </c>
      <c r="I101" s="13" t="n">
        <v>46.06</v>
      </c>
      <c r="J101" s="5" t="s">
        <v>74</v>
      </c>
      <c r="K101" s="8" t="n">
        <v>19.0903928658543</v>
      </c>
      <c r="L101" s="8" t="n">
        <v>-3149.553171206</v>
      </c>
      <c r="M101" s="8" t="n">
        <f aca="false">M100+L101</f>
        <v>820405.000299945</v>
      </c>
      <c r="N101" s="5" t="str">
        <f aca="false">IF(L101&gt;0,"прибыль",IF(L101&lt;0,"убыток","ноль"))</f>
        <v>убыток</v>
      </c>
      <c r="O101" s="6" t="n">
        <f aca="false">IF(L101&lt;0,O100+1,0)</f>
        <v>2</v>
      </c>
      <c r="P101" s="6" t="n">
        <v>24</v>
      </c>
    </row>
    <row r="102" customFormat="false" ht="15" hidden="false" customHeight="false" outlineLevel="0" collapsed="false">
      <c r="A102" s="6" t="n">
        <v>97</v>
      </c>
      <c r="B102" s="5" t="s">
        <v>72</v>
      </c>
      <c r="C102" s="5" t="s">
        <v>25</v>
      </c>
      <c r="D102" s="11" t="n">
        <v>42594</v>
      </c>
      <c r="E102" s="11" t="n">
        <v>42604</v>
      </c>
      <c r="F102" s="5" t="s">
        <v>75</v>
      </c>
      <c r="G102" s="12" t="n">
        <v>454520.776178331</v>
      </c>
      <c r="H102" s="13" t="n">
        <v>46.06</v>
      </c>
      <c r="I102" s="13" t="n">
        <v>50.8</v>
      </c>
      <c r="K102" s="8" t="n">
        <v>48.6380556177436</v>
      </c>
      <c r="L102" s="8" t="n">
        <v>-59186.8894316441</v>
      </c>
      <c r="M102" s="8" t="n">
        <f aca="false">M101+L102</f>
        <v>761218.110868301</v>
      </c>
      <c r="N102" s="5" t="str">
        <f aca="false">IF(L102&gt;0,"прибыль",IF(L102&lt;0,"убыток","ноль"))</f>
        <v>убыток</v>
      </c>
      <c r="O102" s="6" t="n">
        <f aca="false">IF(L102&lt;0,O101+1,0)</f>
        <v>3</v>
      </c>
      <c r="P102" s="6" t="n">
        <v>6</v>
      </c>
    </row>
    <row r="103" customFormat="false" ht="15" hidden="false" customHeight="false" outlineLevel="0" collapsed="false">
      <c r="A103" s="6" t="n">
        <v>98</v>
      </c>
      <c r="B103" s="5" t="s">
        <v>72</v>
      </c>
      <c r="C103" s="5" t="s">
        <v>25</v>
      </c>
      <c r="D103" s="11" t="n">
        <v>42604</v>
      </c>
      <c r="E103" s="11" t="n">
        <v>42605</v>
      </c>
      <c r="F103" s="5" t="s">
        <v>73</v>
      </c>
      <c r="G103" s="12" t="n">
        <v>7.05834487855487E-011</v>
      </c>
      <c r="H103" s="13" t="n">
        <v>50.8</v>
      </c>
      <c r="I103" s="13" t="n">
        <v>49.11</v>
      </c>
      <c r="K103" s="8" t="n">
        <v>3.4026276503556E-015</v>
      </c>
      <c r="L103" s="8" t="n">
        <v>-2.53429840608712E-012</v>
      </c>
      <c r="M103" s="8" t="n">
        <f aca="false">M102+L103</f>
        <v>761218.110868301</v>
      </c>
      <c r="N103" s="5" t="str">
        <f aca="false">IF(L103&gt;0,"прибыль",IF(L103&lt;0,"убыток","ноль"))</f>
        <v>убыток</v>
      </c>
      <c r="O103" s="6" t="n">
        <f aca="false">IF(L103&lt;0,O102+1,0)</f>
        <v>4</v>
      </c>
      <c r="P103" s="6" t="n">
        <v>1</v>
      </c>
    </row>
    <row r="104" customFormat="false" ht="15" hidden="false" customHeight="false" outlineLevel="0" collapsed="false">
      <c r="A104" s="6" t="n">
        <v>99</v>
      </c>
      <c r="B104" s="5" t="s">
        <v>72</v>
      </c>
      <c r="C104" s="5" t="s">
        <v>25</v>
      </c>
      <c r="D104" s="11" t="n">
        <v>42605</v>
      </c>
      <c r="E104" s="11" t="n">
        <v>42607</v>
      </c>
      <c r="F104" s="5" t="s">
        <v>73</v>
      </c>
      <c r="G104" s="12" t="n">
        <v>459102.084800513</v>
      </c>
      <c r="H104" s="13" t="n">
        <v>49.11</v>
      </c>
      <c r="I104" s="13" t="n">
        <v>49.02</v>
      </c>
      <c r="K104" s="8" t="n">
        <v>45.0403377858382</v>
      </c>
      <c r="L104" s="8" t="n">
        <v>-17296.0287042619</v>
      </c>
      <c r="M104" s="8" t="n">
        <f aca="false">M103+L104</f>
        <v>743922.082164039</v>
      </c>
      <c r="N104" s="5" t="str">
        <f aca="false">IF(L104&gt;0,"прибыль",IF(L104&lt;0,"убыток","ноль"))</f>
        <v>убыток</v>
      </c>
      <c r="O104" s="6" t="n">
        <f aca="false">IF(L104&lt;0,O103+1,0)</f>
        <v>5</v>
      </c>
      <c r="P104" s="6" t="n">
        <v>2</v>
      </c>
    </row>
    <row r="105" customFormat="false" ht="15" hidden="false" customHeight="false" outlineLevel="0" collapsed="false">
      <c r="A105" s="6" t="n">
        <v>100</v>
      </c>
      <c r="B105" s="5" t="s">
        <v>72</v>
      </c>
      <c r="C105" s="5" t="s">
        <v>25</v>
      </c>
      <c r="D105" s="11" t="n">
        <v>42607</v>
      </c>
      <c r="E105" s="11" t="n">
        <v>42613</v>
      </c>
      <c r="F105" s="5" t="s">
        <v>75</v>
      </c>
      <c r="G105" s="12" t="n">
        <v>458955.659282726</v>
      </c>
      <c r="H105" s="13" t="n">
        <v>49.02</v>
      </c>
      <c r="I105" s="13" t="n">
        <v>48.35</v>
      </c>
      <c r="K105" s="8" t="n">
        <v>45.7380537537508</v>
      </c>
      <c r="L105" s="8" t="n">
        <v>5036.03068359844</v>
      </c>
      <c r="M105" s="8" t="n">
        <f aca="false">M104+L105</f>
        <v>748958.112847637</v>
      </c>
      <c r="N105" s="5" t="str">
        <f aca="false">IF(L105&gt;0,"прибыль",IF(L105&lt;0,"убыток","ноль"))</f>
        <v>прибыль</v>
      </c>
      <c r="O105" s="6" t="n">
        <f aca="false">IF(L105&lt;0,O104+1,0)</f>
        <v>0</v>
      </c>
      <c r="P105" s="6" t="n">
        <v>4</v>
      </c>
    </row>
    <row r="106" customFormat="false" ht="15" hidden="false" customHeight="false" outlineLevel="0" collapsed="false">
      <c r="A106" s="6" t="n">
        <v>101</v>
      </c>
      <c r="B106" s="5" t="s">
        <v>72</v>
      </c>
      <c r="C106" s="5" t="s">
        <v>25</v>
      </c>
      <c r="D106" s="11" t="n">
        <v>42613</v>
      </c>
      <c r="E106" s="11" t="n">
        <v>42614</v>
      </c>
      <c r="F106" s="5" t="s">
        <v>73</v>
      </c>
      <c r="G106" s="12" t="n">
        <v>460887.184529641</v>
      </c>
      <c r="H106" s="13" t="n">
        <v>48.35</v>
      </c>
      <c r="I106" s="13" t="n">
        <v>46.96</v>
      </c>
      <c r="K106" s="8" t="n">
        <v>44.7170617494652</v>
      </c>
      <c r="L106" s="8" t="n">
        <v>-14480.7527490991</v>
      </c>
      <c r="M106" s="8" t="n">
        <f aca="false">M105+L106</f>
        <v>734477.360098538</v>
      </c>
      <c r="N106" s="5" t="str">
        <f aca="false">IF(L106&gt;0,"прибыль",IF(L106&lt;0,"убыток","ноль"))</f>
        <v>убыток</v>
      </c>
      <c r="O106" s="6" t="n">
        <f aca="false">IF(L106&lt;0,O105+1,0)</f>
        <v>1</v>
      </c>
      <c r="P106" s="6" t="n">
        <v>1</v>
      </c>
    </row>
    <row r="107" customFormat="false" ht="15" hidden="false" customHeight="false" outlineLevel="0" collapsed="false">
      <c r="A107" s="6" t="n">
        <v>102</v>
      </c>
      <c r="B107" s="5" t="s">
        <v>72</v>
      </c>
      <c r="C107" s="5" t="s">
        <v>25</v>
      </c>
      <c r="D107" s="11" t="n">
        <v>42614</v>
      </c>
      <c r="E107" s="11" t="n">
        <v>42615</v>
      </c>
      <c r="F107" s="5" t="s">
        <v>75</v>
      </c>
      <c r="G107" s="12" t="n">
        <v>447890.086147013</v>
      </c>
      <c r="H107" s="13" t="n">
        <v>46.96</v>
      </c>
      <c r="I107" s="13" t="n">
        <v>45.77</v>
      </c>
      <c r="J107" s="5" t="s">
        <v>74</v>
      </c>
      <c r="K107" s="8" t="n">
        <v>45.1803100626639</v>
      </c>
      <c r="L107" s="8" t="n">
        <v>-2103.06173520167</v>
      </c>
      <c r="M107" s="8" t="n">
        <f aca="false">M106+L107</f>
        <v>732374.298363337</v>
      </c>
      <c r="N107" s="5" t="str">
        <f aca="false">IF(L107&gt;0,"прибыль",IF(L107&lt;0,"убыток","ноль"))</f>
        <v>убыток</v>
      </c>
      <c r="O107" s="6" t="n">
        <f aca="false">IF(L107&lt;0,O106+1,0)</f>
        <v>2</v>
      </c>
      <c r="P107" s="6" t="n">
        <v>1</v>
      </c>
    </row>
    <row r="108" customFormat="false" ht="15" hidden="false" customHeight="false" outlineLevel="0" collapsed="false">
      <c r="A108" s="6" t="n">
        <v>103</v>
      </c>
      <c r="B108" s="5" t="s">
        <v>72</v>
      </c>
      <c r="C108" s="5" t="s">
        <v>25</v>
      </c>
      <c r="D108" s="11" t="n">
        <v>42615</v>
      </c>
      <c r="E108" s="11" t="n">
        <v>42675</v>
      </c>
      <c r="F108" s="5" t="s">
        <v>73</v>
      </c>
      <c r="G108" s="12" t="n">
        <v>680729.129464402</v>
      </c>
      <c r="H108" s="13" t="n">
        <v>45.77</v>
      </c>
      <c r="I108" s="13" t="n">
        <v>48.29</v>
      </c>
      <c r="J108" s="5" t="s">
        <v>74</v>
      </c>
      <c r="K108" s="8" t="n">
        <v>76.3558283587895</v>
      </c>
      <c r="L108" s="8" t="n">
        <v>21.1861489677441</v>
      </c>
      <c r="M108" s="8" t="n">
        <f aca="false">M107+L108</f>
        <v>732395.484512304</v>
      </c>
      <c r="N108" s="5" t="str">
        <f aca="false">IF(L108&gt;0,"прибыль",IF(L108&lt;0,"убыток","ноль"))</f>
        <v>прибыль</v>
      </c>
      <c r="O108" s="6" t="n">
        <f aca="false">IF(L108&lt;0,O107+1,0)</f>
        <v>0</v>
      </c>
      <c r="P108" s="6" t="n">
        <v>42</v>
      </c>
    </row>
    <row r="109" customFormat="false" ht="15" hidden="false" customHeight="false" outlineLevel="0" collapsed="false">
      <c r="A109" s="6" t="n">
        <v>104</v>
      </c>
      <c r="B109" s="5" t="s">
        <v>72</v>
      </c>
      <c r="C109" s="5" t="s">
        <v>25</v>
      </c>
      <c r="D109" s="11" t="n">
        <v>42675</v>
      </c>
      <c r="E109" s="11" t="n">
        <v>42690</v>
      </c>
      <c r="F109" s="5" t="s">
        <v>75</v>
      </c>
      <c r="G109" s="12" t="n">
        <v>331089.006019415</v>
      </c>
      <c r="H109" s="13" t="n">
        <v>48.29</v>
      </c>
      <c r="I109" s="13" t="n">
        <v>47.12</v>
      </c>
      <c r="J109" s="5" t="s">
        <v>74</v>
      </c>
      <c r="K109" s="8" t="n">
        <v>26.046530698468</v>
      </c>
      <c r="L109" s="8" t="n">
        <v>1332.33891727249</v>
      </c>
      <c r="M109" s="8" t="n">
        <f aca="false">M108+L109</f>
        <v>733727.823429577</v>
      </c>
      <c r="N109" s="5" t="str">
        <f aca="false">IF(L109&gt;0,"прибыль",IF(L109&lt;0,"убыток","ноль"))</f>
        <v>прибыль</v>
      </c>
      <c r="O109" s="6" t="n">
        <f aca="false">IF(L109&lt;0,O108+1,0)</f>
        <v>0</v>
      </c>
      <c r="P109" s="6" t="n">
        <v>10</v>
      </c>
    </row>
    <row r="110" customFormat="false" ht="15" hidden="false" customHeight="false" outlineLevel="0" collapsed="false">
      <c r="A110" s="6" t="n">
        <v>105</v>
      </c>
      <c r="B110" s="5" t="s">
        <v>72</v>
      </c>
      <c r="C110" s="5" t="s">
        <v>25</v>
      </c>
      <c r="D110" s="11" t="n">
        <v>42690</v>
      </c>
      <c r="E110" s="11" t="n">
        <v>42696</v>
      </c>
      <c r="F110" s="5" t="s">
        <v>75</v>
      </c>
      <c r="G110" s="12" t="n">
        <v>479329.987329285</v>
      </c>
      <c r="H110" s="13" t="n">
        <v>47.12</v>
      </c>
      <c r="I110" s="13" t="n">
        <v>49.12</v>
      </c>
      <c r="K110" s="8" t="n">
        <v>45.7016482138896</v>
      </c>
      <c r="L110" s="8" t="n">
        <v>-18412.075300596</v>
      </c>
      <c r="M110" s="8" t="n">
        <f aca="false">M109+L110</f>
        <v>715315.748128981</v>
      </c>
      <c r="N110" s="5" t="str">
        <f aca="false">IF(L110&gt;0,"прибыль",IF(L110&lt;0,"убыток","ноль"))</f>
        <v>убыток</v>
      </c>
      <c r="O110" s="6" t="n">
        <f aca="false">IF(L110&lt;0,O109+1,0)</f>
        <v>1</v>
      </c>
      <c r="P110" s="6" t="n">
        <v>4</v>
      </c>
    </row>
    <row r="111" customFormat="false" ht="15" hidden="false" customHeight="false" outlineLevel="0" collapsed="false">
      <c r="A111" s="6" t="n">
        <v>106</v>
      </c>
      <c r="B111" s="5" t="s">
        <v>72</v>
      </c>
      <c r="C111" s="5" t="s">
        <v>25</v>
      </c>
      <c r="D111" s="11" t="n">
        <v>42696</v>
      </c>
      <c r="E111" s="11" t="n">
        <v>42699</v>
      </c>
      <c r="F111" s="5" t="s">
        <v>73</v>
      </c>
      <c r="G111" s="12" t="n">
        <v>416336.603296125</v>
      </c>
      <c r="H111" s="13" t="n">
        <v>49.12</v>
      </c>
      <c r="I111" s="13" t="n">
        <v>48.95</v>
      </c>
      <c r="K111" s="8" t="n">
        <v>42.0128307508201</v>
      </c>
      <c r="L111" s="8" t="n">
        <v>-2648.40607037458</v>
      </c>
      <c r="M111" s="8" t="n">
        <f aca="false">M110+L111</f>
        <v>712667.342058606</v>
      </c>
      <c r="N111" s="5" t="str">
        <f aca="false">IF(L111&gt;0,"прибыль",IF(L111&lt;0,"убыток","ноль"))</f>
        <v>убыток</v>
      </c>
      <c r="O111" s="6" t="n">
        <f aca="false">IF(L111&lt;0,O110+1,0)</f>
        <v>2</v>
      </c>
      <c r="P111" s="6" t="n">
        <v>3</v>
      </c>
    </row>
    <row r="112" customFormat="false" ht="15" hidden="false" customHeight="false" outlineLevel="0" collapsed="false">
      <c r="A112" s="6" t="n">
        <v>107</v>
      </c>
      <c r="B112" s="5" t="s">
        <v>72</v>
      </c>
      <c r="C112" s="5" t="s">
        <v>25</v>
      </c>
      <c r="D112" s="11" t="n">
        <v>42699</v>
      </c>
      <c r="E112" s="11" t="n">
        <v>42705</v>
      </c>
      <c r="F112" s="5" t="s">
        <v>75</v>
      </c>
      <c r="G112" s="12" t="n">
        <v>133154.799320379</v>
      </c>
      <c r="H112" s="13" t="n">
        <v>48.95</v>
      </c>
      <c r="I112" s="13" t="n">
        <v>50.44</v>
      </c>
      <c r="K112" s="8" t="n">
        <v>6.88259621672</v>
      </c>
      <c r="L112" s="8" t="n">
        <v>-4504.0076102379</v>
      </c>
      <c r="M112" s="8" t="n">
        <f aca="false">M111+L112</f>
        <v>708163.334448368</v>
      </c>
      <c r="N112" s="5" t="str">
        <f aca="false">IF(L112&gt;0,"прибыль",IF(L112&lt;0,"убыток","ноль"))</f>
        <v>убыток</v>
      </c>
      <c r="O112" s="6" t="n">
        <f aca="false">IF(L112&lt;0,O111+1,0)</f>
        <v>3</v>
      </c>
      <c r="P112" s="6" t="n">
        <v>4</v>
      </c>
    </row>
    <row r="113" customFormat="false" ht="15" hidden="false" customHeight="false" outlineLevel="0" collapsed="false">
      <c r="A113" s="6" t="n">
        <v>108</v>
      </c>
      <c r="B113" s="5" t="s">
        <v>72</v>
      </c>
      <c r="C113" s="5" t="s">
        <v>25</v>
      </c>
      <c r="D113" s="11" t="n">
        <v>42705</v>
      </c>
      <c r="E113" s="11" t="n">
        <v>42717</v>
      </c>
      <c r="F113" s="5" t="s">
        <v>75</v>
      </c>
      <c r="G113" s="12" t="n">
        <v>293371.605639521</v>
      </c>
      <c r="H113" s="13" t="n">
        <v>50.44</v>
      </c>
      <c r="I113" s="13" t="n">
        <v>56</v>
      </c>
      <c r="J113" s="5" t="s">
        <v>74</v>
      </c>
      <c r="K113" s="8" t="n">
        <v>31.8024764139264</v>
      </c>
      <c r="L113" s="8" t="n">
        <v>-19934.1483252458</v>
      </c>
      <c r="M113" s="8" t="n">
        <f aca="false">M112+L113</f>
        <v>688229.186123123</v>
      </c>
      <c r="N113" s="5" t="str">
        <f aca="false">IF(L113&gt;0,"прибыль",IF(L113&lt;0,"убыток","ноль"))</f>
        <v>убыток</v>
      </c>
      <c r="O113" s="6" t="n">
        <f aca="false">IF(L113&lt;0,O112+1,0)</f>
        <v>4</v>
      </c>
      <c r="P113" s="6" t="n">
        <v>8</v>
      </c>
    </row>
    <row r="114" customFormat="false" ht="15" hidden="false" customHeight="false" outlineLevel="0" collapsed="false">
      <c r="A114" s="6" t="n">
        <v>109</v>
      </c>
      <c r="B114" s="5" t="s">
        <v>72</v>
      </c>
      <c r="C114" s="5" t="s">
        <v>25</v>
      </c>
      <c r="D114" s="11" t="n">
        <v>42717</v>
      </c>
      <c r="E114" s="11" t="n">
        <v>42719</v>
      </c>
      <c r="F114" s="5" t="s">
        <v>73</v>
      </c>
      <c r="G114" s="12" t="n">
        <v>322775.576790175</v>
      </c>
      <c r="H114" s="13" t="n">
        <v>56</v>
      </c>
      <c r="I114" s="13" t="n">
        <v>54.64</v>
      </c>
      <c r="K114" s="8" t="n">
        <v>32.6101671069323</v>
      </c>
      <c r="L114" s="8" t="n">
        <v>-8948.6361880717</v>
      </c>
      <c r="M114" s="8" t="n">
        <f aca="false">M113+L114</f>
        <v>679280.549935051</v>
      </c>
      <c r="N114" s="5" t="str">
        <f aca="false">IF(L114&gt;0,"прибыль",IF(L114&lt;0,"убыток","ноль"))</f>
        <v>убыток</v>
      </c>
      <c r="O114" s="6" t="n">
        <f aca="false">IF(L114&lt;0,O113+1,0)</f>
        <v>5</v>
      </c>
      <c r="P114" s="6" t="n">
        <v>2</v>
      </c>
    </row>
    <row r="115" customFormat="false" ht="15" hidden="false" customHeight="false" outlineLevel="0" collapsed="false">
      <c r="A115" s="6" t="n">
        <v>110</v>
      </c>
      <c r="B115" s="5" t="s">
        <v>72</v>
      </c>
      <c r="C115" s="5" t="s">
        <v>25</v>
      </c>
      <c r="D115" s="11" t="n">
        <v>42719</v>
      </c>
      <c r="E115" s="11" t="n">
        <v>42723</v>
      </c>
      <c r="F115" s="5" t="s">
        <v>75</v>
      </c>
      <c r="G115" s="12" t="n">
        <v>338343.791369437</v>
      </c>
      <c r="H115" s="13" t="n">
        <v>54.64</v>
      </c>
      <c r="I115" s="13" t="n">
        <v>55.92</v>
      </c>
      <c r="K115" s="8" t="n">
        <v>34.3789126858651</v>
      </c>
      <c r="L115" s="8" t="n">
        <v>-9122.66114811328</v>
      </c>
      <c r="M115" s="8" t="n">
        <f aca="false">M114+L115</f>
        <v>670157.888786938</v>
      </c>
      <c r="N115" s="5" t="str">
        <f aca="false">IF(L115&gt;0,"прибыль",IF(L115&lt;0,"убыток","ноль"))</f>
        <v>убыток</v>
      </c>
      <c r="O115" s="6" t="n">
        <f aca="false">IF(L115&lt;0,O114+1,0)</f>
        <v>6</v>
      </c>
      <c r="P115" s="6" t="n">
        <v>2</v>
      </c>
    </row>
    <row r="116" customFormat="false" ht="15" hidden="false" customHeight="false" outlineLevel="0" collapsed="false">
      <c r="A116" s="6" t="n">
        <v>111</v>
      </c>
      <c r="B116" s="5" t="s">
        <v>72</v>
      </c>
      <c r="C116" s="5" t="s">
        <v>25</v>
      </c>
      <c r="D116" s="11" t="n">
        <v>42723</v>
      </c>
      <c r="E116" s="11" t="n">
        <v>42747</v>
      </c>
      <c r="F116" s="5" t="s">
        <v>73</v>
      </c>
      <c r="G116" s="12" t="n">
        <v>178661.378288933</v>
      </c>
      <c r="H116" s="13" t="n">
        <v>55.92</v>
      </c>
      <c r="I116" s="13" t="n">
        <v>55.19</v>
      </c>
      <c r="K116" s="8" t="n">
        <v>30.1684036377456</v>
      </c>
      <c r="L116" s="8" t="n">
        <v>-4435.39560459458</v>
      </c>
      <c r="M116" s="8" t="n">
        <f aca="false">M115+L116</f>
        <v>665722.493182343</v>
      </c>
      <c r="N116" s="5" t="str">
        <f aca="false">IF(L116&gt;0,"прибыль",IF(L116&lt;0,"убыток","ноль"))</f>
        <v>убыток</v>
      </c>
      <c r="O116" s="6" t="n">
        <f aca="false">IF(L116&lt;0,O115+1,0)</f>
        <v>7</v>
      </c>
      <c r="P116" s="6" t="n">
        <v>17</v>
      </c>
    </row>
    <row r="117" customFormat="false" ht="15" hidden="false" customHeight="false" outlineLevel="0" collapsed="false">
      <c r="A117" s="6" t="n">
        <v>112</v>
      </c>
      <c r="B117" s="5" t="s">
        <v>72</v>
      </c>
      <c r="C117" s="5" t="s">
        <v>25</v>
      </c>
      <c r="D117" s="11" t="n">
        <v>42747</v>
      </c>
      <c r="E117" s="11" t="n">
        <v>42773</v>
      </c>
      <c r="F117" s="5" t="s">
        <v>73</v>
      </c>
      <c r="G117" s="12" t="n">
        <v>590596.723490439</v>
      </c>
      <c r="H117" s="13" t="n">
        <v>55.19</v>
      </c>
      <c r="I117" s="13" t="n">
        <v>55.85</v>
      </c>
      <c r="J117" s="5" t="s">
        <v>74</v>
      </c>
      <c r="K117" s="8" t="n">
        <v>62.2443701174318</v>
      </c>
      <c r="L117" s="8" t="n">
        <v>-16639.9381566425</v>
      </c>
      <c r="M117" s="8" t="n">
        <f aca="false">M116+L117</f>
        <v>649082.555025701</v>
      </c>
      <c r="N117" s="5" t="str">
        <f aca="false">IF(L117&gt;0,"прибыль",IF(L117&lt;0,"убыток","ноль"))</f>
        <v>убыток</v>
      </c>
      <c r="O117" s="6" t="n">
        <f aca="false">IF(L117&lt;0,O116+1,0)</f>
        <v>8</v>
      </c>
      <c r="P117" s="6" t="n">
        <v>18</v>
      </c>
    </row>
    <row r="118" customFormat="false" ht="15" hidden="false" customHeight="false" outlineLevel="0" collapsed="false">
      <c r="A118" s="6" t="n">
        <v>113</v>
      </c>
      <c r="B118" s="5" t="s">
        <v>72</v>
      </c>
      <c r="C118" s="5" t="s">
        <v>25</v>
      </c>
      <c r="D118" s="11" t="n">
        <v>42773</v>
      </c>
      <c r="E118" s="11" t="n">
        <v>42776</v>
      </c>
      <c r="F118" s="5" t="s">
        <v>75</v>
      </c>
      <c r="G118" s="12" t="n">
        <v>818024.995016014</v>
      </c>
      <c r="H118" s="13" t="n">
        <v>55.85</v>
      </c>
      <c r="I118" s="13" t="n">
        <v>55.68</v>
      </c>
      <c r="K118" s="8" t="n">
        <v>90.6348738700518</v>
      </c>
      <c r="L118" s="8" t="n">
        <v>-874.328650153201</v>
      </c>
      <c r="M118" s="8" t="n">
        <f aca="false">M117+L118</f>
        <v>648208.226375547</v>
      </c>
      <c r="N118" s="5" t="str">
        <f aca="false">IF(L118&gt;0,"прибыль",IF(L118&lt;0,"убыток","ноль"))</f>
        <v>убыток</v>
      </c>
      <c r="O118" s="6" t="n">
        <f aca="false">IF(L118&lt;0,O117+1,0)</f>
        <v>9</v>
      </c>
      <c r="P118" s="6" t="n">
        <v>3</v>
      </c>
    </row>
    <row r="119" customFormat="false" ht="15" hidden="false" customHeight="false" outlineLevel="0" collapsed="false">
      <c r="A119" s="6" t="n">
        <v>114</v>
      </c>
      <c r="B119" s="5" t="s">
        <v>72</v>
      </c>
      <c r="C119" s="5" t="s">
        <v>25</v>
      </c>
      <c r="D119" s="11" t="n">
        <v>42776</v>
      </c>
      <c r="E119" s="11" t="n">
        <v>42779</v>
      </c>
      <c r="F119" s="5" t="s">
        <v>73</v>
      </c>
      <c r="G119" s="12" t="n">
        <v>1.41947551914215E-010</v>
      </c>
      <c r="H119" s="13" t="n">
        <v>55.68</v>
      </c>
      <c r="I119" s="13" t="n">
        <v>56.67</v>
      </c>
      <c r="K119" s="8" t="n">
        <v>7.21103046800269E-015</v>
      </c>
      <c r="L119" s="8" t="n">
        <v>2.26584641537044E-012</v>
      </c>
      <c r="M119" s="8" t="n">
        <f aca="false">M118+L119</f>
        <v>648208.226375547</v>
      </c>
      <c r="N119" s="5" t="str">
        <f aca="false">IF(L119&gt;0,"прибыль",IF(L119&lt;0,"убыток","ноль"))</f>
        <v>прибыль</v>
      </c>
      <c r="O119" s="6" t="n">
        <f aca="false">IF(L119&lt;0,O118+1,0)</f>
        <v>0</v>
      </c>
      <c r="P119" s="6" t="n">
        <v>1</v>
      </c>
    </row>
    <row r="120" customFormat="false" ht="15" hidden="false" customHeight="false" outlineLevel="0" collapsed="false">
      <c r="A120" s="6" t="n">
        <v>115</v>
      </c>
      <c r="B120" s="5" t="s">
        <v>72</v>
      </c>
      <c r="C120" s="5" t="s">
        <v>25</v>
      </c>
      <c r="D120" s="11" t="n">
        <v>42779</v>
      </c>
      <c r="E120" s="11" t="n">
        <v>42780</v>
      </c>
      <c r="F120" s="5" t="s">
        <v>73</v>
      </c>
      <c r="G120" s="12" t="n">
        <v>846732.166237447</v>
      </c>
      <c r="H120" s="13" t="n">
        <v>56.67</v>
      </c>
      <c r="I120" s="13" t="n">
        <v>55.6</v>
      </c>
      <c r="K120" s="8" t="n">
        <v>79.2754008251677</v>
      </c>
      <c r="L120" s="8" t="n">
        <v>-2799.01450101278</v>
      </c>
      <c r="M120" s="8" t="n">
        <f aca="false">M119+L120</f>
        <v>645409.211874535</v>
      </c>
      <c r="N120" s="5" t="str">
        <f aca="false">IF(L120&gt;0,"прибыль",IF(L120&lt;0,"убыток","ноль"))</f>
        <v>убыток</v>
      </c>
      <c r="O120" s="6" t="n">
        <f aca="false">IF(L120&lt;0,O119+1,0)</f>
        <v>1</v>
      </c>
      <c r="P120" s="6" t="n">
        <v>1</v>
      </c>
    </row>
    <row r="121" customFormat="false" ht="15" hidden="false" customHeight="false" outlineLevel="0" collapsed="false">
      <c r="A121" s="6" t="n">
        <v>116</v>
      </c>
      <c r="B121" s="5" t="s">
        <v>72</v>
      </c>
      <c r="C121" s="5" t="s">
        <v>25</v>
      </c>
      <c r="D121" s="11" t="n">
        <v>42780</v>
      </c>
      <c r="E121" s="11" t="n">
        <v>42804</v>
      </c>
      <c r="F121" s="5" t="s">
        <v>75</v>
      </c>
      <c r="G121" s="12" t="n">
        <v>302419.128438097</v>
      </c>
      <c r="H121" s="13" t="n">
        <v>55.6</v>
      </c>
      <c r="I121" s="13" t="n">
        <v>52.6</v>
      </c>
      <c r="J121" s="5" t="s">
        <v>74</v>
      </c>
      <c r="K121" s="8" t="n">
        <v>22.0014501083171</v>
      </c>
      <c r="L121" s="8" t="n">
        <v>19603.1898527744</v>
      </c>
      <c r="M121" s="8" t="n">
        <f aca="false">M120+L121</f>
        <v>665012.401727309</v>
      </c>
      <c r="N121" s="5" t="str">
        <f aca="false">IF(L121&gt;0,"прибыль",IF(L121&lt;0,"убыток","ноль"))</f>
        <v>прибыль</v>
      </c>
      <c r="O121" s="6" t="n">
        <f aca="false">IF(L121&lt;0,O120+1,0)</f>
        <v>0</v>
      </c>
      <c r="P121" s="6" t="n">
        <v>16</v>
      </c>
    </row>
    <row r="122" customFormat="false" ht="15" hidden="false" customHeight="false" outlineLevel="0" collapsed="false">
      <c r="A122" s="6" t="n">
        <v>117</v>
      </c>
      <c r="B122" s="5" t="s">
        <v>72</v>
      </c>
      <c r="C122" s="5" t="s">
        <v>25</v>
      </c>
      <c r="D122" s="11" t="n">
        <v>42804</v>
      </c>
      <c r="E122" s="11" t="n">
        <v>42871</v>
      </c>
      <c r="F122" s="5" t="s">
        <v>75</v>
      </c>
      <c r="G122" s="12" t="n">
        <v>845664.941387732</v>
      </c>
      <c r="H122" s="13" t="n">
        <v>52.6</v>
      </c>
      <c r="I122" s="13" t="n">
        <v>51.79</v>
      </c>
      <c r="J122" s="5" t="s">
        <v>74</v>
      </c>
      <c r="K122" s="8" t="n">
        <v>82.6152628461281</v>
      </c>
      <c r="L122" s="8" t="n">
        <v>52723.0329046942</v>
      </c>
      <c r="M122" s="8" t="n">
        <f aca="false">M121+L122</f>
        <v>717735.434632003</v>
      </c>
      <c r="N122" s="5" t="str">
        <f aca="false">IF(L122&gt;0,"прибыль",IF(L122&lt;0,"убыток","ноль"))</f>
        <v>прибыль</v>
      </c>
      <c r="O122" s="6" t="n">
        <f aca="false">IF(L122&lt;0,O121+1,0)</f>
        <v>0</v>
      </c>
      <c r="P122" s="6" t="n">
        <v>45</v>
      </c>
    </row>
    <row r="123" customFormat="false" ht="15" hidden="false" customHeight="false" outlineLevel="0" collapsed="false">
      <c r="A123" s="6" t="n">
        <v>118</v>
      </c>
      <c r="B123" s="5" t="s">
        <v>72</v>
      </c>
      <c r="C123" s="5" t="s">
        <v>25</v>
      </c>
      <c r="D123" s="11" t="n">
        <v>42871</v>
      </c>
      <c r="E123" s="11" t="n">
        <v>42872</v>
      </c>
      <c r="F123" s="5" t="s">
        <v>73</v>
      </c>
      <c r="G123" s="12" t="n">
        <v>610092.548273764</v>
      </c>
      <c r="H123" s="13" t="n">
        <v>51.79</v>
      </c>
      <c r="I123" s="13" t="n">
        <v>51.34</v>
      </c>
      <c r="K123" s="8" t="n">
        <v>60.6321019986607</v>
      </c>
      <c r="L123" s="8" t="n">
        <v>-6648.58220368456</v>
      </c>
      <c r="M123" s="8" t="n">
        <f aca="false">M122+L123</f>
        <v>711086.852428319</v>
      </c>
      <c r="N123" s="5" t="str">
        <f aca="false">IF(L123&gt;0,"прибыль",IF(L123&lt;0,"убыток","ноль"))</f>
        <v>убыток</v>
      </c>
      <c r="O123" s="6" t="n">
        <f aca="false">IF(L123&lt;0,O122+1,0)</f>
        <v>1</v>
      </c>
      <c r="P123" s="6" t="n">
        <v>1</v>
      </c>
    </row>
    <row r="124" customFormat="false" ht="15" hidden="false" customHeight="false" outlineLevel="0" collapsed="false">
      <c r="A124" s="6" t="n">
        <v>119</v>
      </c>
      <c r="B124" s="5" t="s">
        <v>72</v>
      </c>
      <c r="C124" s="5" t="s">
        <v>25</v>
      </c>
      <c r="D124" s="11" t="n">
        <v>42872</v>
      </c>
      <c r="E124" s="11" t="n">
        <v>42873</v>
      </c>
      <c r="F124" s="5" t="s">
        <v>75</v>
      </c>
      <c r="G124" s="12" t="n">
        <v>609137.441801136</v>
      </c>
      <c r="H124" s="13" t="n">
        <v>51.34</v>
      </c>
      <c r="I124" s="13" t="n">
        <v>52.11</v>
      </c>
      <c r="K124" s="8" t="n">
        <v>60.3742386846425</v>
      </c>
      <c r="L124" s="8" t="n">
        <v>-10532.1712923919</v>
      </c>
      <c r="M124" s="8" t="n">
        <f aca="false">M123+L124</f>
        <v>700554.681135927</v>
      </c>
      <c r="N124" s="5" t="str">
        <f aca="false">IF(L124&gt;0,"прибыль",IF(L124&lt;0,"убыток","ноль"))</f>
        <v>убыток</v>
      </c>
      <c r="O124" s="6" t="n">
        <f aca="false">IF(L124&lt;0,O123+1,0)</f>
        <v>2</v>
      </c>
      <c r="P124" s="6" t="n">
        <v>1</v>
      </c>
    </row>
    <row r="125" customFormat="false" ht="15" hidden="false" customHeight="false" outlineLevel="0" collapsed="false">
      <c r="A125" s="6" t="n">
        <v>120</v>
      </c>
      <c r="B125" s="5" t="s">
        <v>72</v>
      </c>
      <c r="C125" s="5" t="s">
        <v>25</v>
      </c>
      <c r="D125" s="11" t="n">
        <v>42873</v>
      </c>
      <c r="E125" s="11" t="n">
        <v>42874</v>
      </c>
      <c r="F125" s="5" t="s">
        <v>73</v>
      </c>
      <c r="G125" s="12" t="n">
        <v>6.61194920011964E-011</v>
      </c>
      <c r="H125" s="13" t="n">
        <v>52.11</v>
      </c>
      <c r="I125" s="13" t="n">
        <v>52.5</v>
      </c>
      <c r="K125" s="8" t="n">
        <v>3.323456295266E-015</v>
      </c>
      <c r="L125" s="8" t="n">
        <v>3.46310447828297E-013</v>
      </c>
      <c r="M125" s="8" t="n">
        <f aca="false">M124+L125</f>
        <v>700554.681135927</v>
      </c>
      <c r="N125" s="5" t="str">
        <f aca="false">IF(L125&gt;0,"прибыль",IF(L125&lt;0,"убыток","ноль"))</f>
        <v>прибыль</v>
      </c>
      <c r="O125" s="6" t="n">
        <f aca="false">IF(L125&lt;0,O124+1,0)</f>
        <v>0</v>
      </c>
      <c r="P125" s="6" t="n">
        <v>1</v>
      </c>
    </row>
    <row r="126" customFormat="false" ht="15" hidden="false" customHeight="false" outlineLevel="0" collapsed="false">
      <c r="A126" s="6" t="n">
        <v>121</v>
      </c>
      <c r="B126" s="5" t="s">
        <v>72</v>
      </c>
      <c r="C126" s="5" t="s">
        <v>25</v>
      </c>
      <c r="D126" s="11" t="n">
        <v>42874</v>
      </c>
      <c r="E126" s="11" t="n">
        <v>42885</v>
      </c>
      <c r="F126" s="5" t="s">
        <v>73</v>
      </c>
      <c r="G126" s="12" t="n">
        <v>587875.534838007</v>
      </c>
      <c r="H126" s="13" t="n">
        <v>52.5</v>
      </c>
      <c r="I126" s="13" t="n">
        <v>52.43</v>
      </c>
      <c r="K126" s="8" t="n">
        <v>54.0479721754476</v>
      </c>
      <c r="L126" s="8" t="n">
        <v>2172.14571760619</v>
      </c>
      <c r="M126" s="8" t="n">
        <f aca="false">M125+L126</f>
        <v>702726.826853533</v>
      </c>
      <c r="N126" s="5" t="str">
        <f aca="false">IF(L126&gt;0,"прибыль",IF(L126&lt;0,"убыток","ноль"))</f>
        <v>прибыль</v>
      </c>
      <c r="O126" s="6" t="n">
        <f aca="false">IF(L126&lt;0,O125+1,0)</f>
        <v>0</v>
      </c>
      <c r="P126" s="6" t="n">
        <v>7</v>
      </c>
    </row>
    <row r="127" customFormat="false" ht="15" hidden="false" customHeight="false" outlineLevel="0" collapsed="false">
      <c r="A127" s="6" t="n">
        <v>122</v>
      </c>
      <c r="B127" s="5" t="s">
        <v>72</v>
      </c>
      <c r="C127" s="5" t="s">
        <v>25</v>
      </c>
      <c r="D127" s="11" t="n">
        <v>42885</v>
      </c>
      <c r="E127" s="11" t="n">
        <v>42942</v>
      </c>
      <c r="F127" s="5" t="s">
        <v>75</v>
      </c>
      <c r="G127" s="12" t="n">
        <v>223232.824997563</v>
      </c>
      <c r="H127" s="13" t="n">
        <v>52.43</v>
      </c>
      <c r="I127" s="13" t="n">
        <v>50.8</v>
      </c>
      <c r="J127" s="5" t="s">
        <v>74</v>
      </c>
      <c r="K127" s="8" t="n">
        <v>21.5251604539601</v>
      </c>
      <c r="L127" s="8" t="n">
        <v>5784.07303565688</v>
      </c>
      <c r="M127" s="8" t="n">
        <f aca="false">M126+L127</f>
        <v>708510.89988919</v>
      </c>
      <c r="N127" s="5" t="str">
        <f aca="false">IF(L127&gt;0,"прибыль",IF(L127&lt;0,"убыток","ноль"))</f>
        <v>прибыль</v>
      </c>
      <c r="O127" s="6" t="n">
        <f aca="false">IF(L127&lt;0,O126+1,0)</f>
        <v>0</v>
      </c>
      <c r="P127" s="6" t="n">
        <v>40</v>
      </c>
    </row>
    <row r="128" customFormat="false" ht="15" hidden="false" customHeight="false" outlineLevel="0" collapsed="false">
      <c r="A128" s="6" t="n">
        <v>123</v>
      </c>
      <c r="B128" s="5" t="s">
        <v>72</v>
      </c>
      <c r="C128" s="5" t="s">
        <v>25</v>
      </c>
      <c r="D128" s="11" t="n">
        <v>42942</v>
      </c>
      <c r="E128" s="11" t="n">
        <v>42947</v>
      </c>
      <c r="F128" s="5" t="s">
        <v>75</v>
      </c>
      <c r="G128" s="12" t="n">
        <v>480700.872261348</v>
      </c>
      <c r="H128" s="13" t="n">
        <v>50.8</v>
      </c>
      <c r="I128" s="13" t="n">
        <v>52.63</v>
      </c>
      <c r="K128" s="8" t="n">
        <v>48.2088086496595</v>
      </c>
      <c r="L128" s="8" t="n">
        <v>-4402.90343756806</v>
      </c>
      <c r="M128" s="8" t="n">
        <f aca="false">M127+L128</f>
        <v>704107.996451621</v>
      </c>
      <c r="N128" s="5" t="str">
        <f aca="false">IF(L128&gt;0,"прибыль",IF(L128&lt;0,"убыток","ноль"))</f>
        <v>убыток</v>
      </c>
      <c r="O128" s="6" t="n">
        <f aca="false">IF(L128&lt;0,O127+1,0)</f>
        <v>1</v>
      </c>
      <c r="P128" s="6" t="n">
        <v>3</v>
      </c>
    </row>
    <row r="129" customFormat="false" ht="15" hidden="false" customHeight="false" outlineLevel="0" collapsed="false">
      <c r="A129" s="6" t="n">
        <v>124</v>
      </c>
      <c r="B129" s="5" t="s">
        <v>72</v>
      </c>
      <c r="C129" s="5" t="s">
        <v>25</v>
      </c>
      <c r="D129" s="11" t="n">
        <v>42947</v>
      </c>
      <c r="E129" s="11" t="n">
        <v>43060</v>
      </c>
      <c r="F129" s="5" t="s">
        <v>73</v>
      </c>
      <c r="G129" s="12" t="n">
        <v>161620.873048444</v>
      </c>
      <c r="H129" s="13" t="n">
        <v>52.63</v>
      </c>
      <c r="I129" s="13" t="n">
        <v>62.14</v>
      </c>
      <c r="J129" s="5" t="s">
        <v>74</v>
      </c>
      <c r="K129" s="8" t="n">
        <v>24.7467087996411</v>
      </c>
      <c r="L129" s="8" t="n">
        <v>30357.9937978502</v>
      </c>
      <c r="M129" s="8" t="n">
        <f aca="false">M128+L129</f>
        <v>734465.990249472</v>
      </c>
      <c r="N129" s="5" t="str">
        <f aca="false">IF(L129&gt;0,"прибыль",IF(L129&lt;0,"убыток","ноль"))</f>
        <v>прибыль</v>
      </c>
      <c r="O129" s="6" t="n">
        <f aca="false">IF(L129&lt;0,O128+1,0)</f>
        <v>0</v>
      </c>
      <c r="P129" s="6" t="n">
        <v>80</v>
      </c>
    </row>
    <row r="130" customFormat="false" ht="15" hidden="false" customHeight="false" outlineLevel="0" collapsed="false">
      <c r="A130" s="6" t="n">
        <v>125</v>
      </c>
      <c r="B130" s="5" t="s">
        <v>72</v>
      </c>
      <c r="C130" s="5" t="s">
        <v>25</v>
      </c>
      <c r="D130" s="11" t="n">
        <v>43060</v>
      </c>
      <c r="E130" s="11" t="n">
        <v>43080</v>
      </c>
      <c r="F130" s="5" t="s">
        <v>73</v>
      </c>
      <c r="G130" s="12" t="n">
        <v>193487.224653066</v>
      </c>
      <c r="H130" s="13" t="n">
        <v>62.14</v>
      </c>
      <c r="I130" s="13" t="n">
        <v>62.92</v>
      </c>
      <c r="J130" s="5" t="s">
        <v>74</v>
      </c>
      <c r="K130" s="8" t="n">
        <v>23.3362368874009</v>
      </c>
      <c r="L130" s="8" t="n">
        <v>28980.5972165942</v>
      </c>
      <c r="M130" s="8" t="n">
        <f aca="false">M129+L130</f>
        <v>763446.587466066</v>
      </c>
      <c r="N130" s="5" t="str">
        <f aca="false">IF(L130&gt;0,"прибыль",IF(L130&lt;0,"убыток","ноль"))</f>
        <v>прибыль</v>
      </c>
      <c r="O130" s="6" t="n">
        <f aca="false">IF(L130&lt;0,O129+1,0)</f>
        <v>0</v>
      </c>
      <c r="P130" s="6" t="n">
        <v>14</v>
      </c>
    </row>
    <row r="131" customFormat="false" ht="15" hidden="false" customHeight="false" outlineLevel="0" collapsed="false">
      <c r="A131" s="6" t="n">
        <v>126</v>
      </c>
      <c r="B131" s="5" t="s">
        <v>72</v>
      </c>
      <c r="C131" s="5" t="s">
        <v>25</v>
      </c>
      <c r="D131" s="11" t="n">
        <v>43080</v>
      </c>
      <c r="E131" s="11" t="n">
        <v>43126</v>
      </c>
      <c r="F131" s="5" t="s">
        <v>73</v>
      </c>
      <c r="G131" s="12" t="n">
        <v>205155.493925533</v>
      </c>
      <c r="H131" s="13" t="n">
        <v>62.92</v>
      </c>
      <c r="I131" s="13" t="n">
        <v>70.09</v>
      </c>
      <c r="K131" s="8" t="n">
        <v>26.0782178060009</v>
      </c>
      <c r="L131" s="8" t="n">
        <v>40656.5409981913</v>
      </c>
      <c r="M131" s="8" t="n">
        <f aca="false">M130+L131</f>
        <v>804103.128464257</v>
      </c>
      <c r="N131" s="5" t="str">
        <f aca="false">IF(L131&gt;0,"прибыль",IF(L131&lt;0,"убыток","ноль"))</f>
        <v>прибыль</v>
      </c>
      <c r="O131" s="6" t="n">
        <f aca="false">IF(L131&lt;0,O130+1,0)</f>
        <v>0</v>
      </c>
      <c r="P131" s="6" t="n">
        <v>31</v>
      </c>
    </row>
    <row r="132" customFormat="false" ht="15" hidden="false" customHeight="false" outlineLevel="0" collapsed="false">
      <c r="A132" s="6" t="n">
        <v>127</v>
      </c>
      <c r="B132" s="5" t="s">
        <v>72</v>
      </c>
      <c r="C132" s="5" t="s">
        <v>25</v>
      </c>
      <c r="D132" s="11" t="n">
        <v>43126</v>
      </c>
      <c r="E132" s="11" t="n">
        <v>43140</v>
      </c>
      <c r="F132" s="5" t="s">
        <v>73</v>
      </c>
      <c r="G132" s="12" t="n">
        <v>922458.372447122</v>
      </c>
      <c r="H132" s="13" t="n">
        <v>70.09</v>
      </c>
      <c r="I132" s="13" t="n">
        <v>64.24</v>
      </c>
      <c r="J132" s="5" t="s">
        <v>74</v>
      </c>
      <c r="K132" s="8" t="n">
        <v>98.8112292818988</v>
      </c>
      <c r="L132" s="8" t="n">
        <v>48454.6175115941</v>
      </c>
      <c r="M132" s="8" t="n">
        <f aca="false">M131+L132</f>
        <v>852557.745975851</v>
      </c>
      <c r="N132" s="5" t="str">
        <f aca="false">IF(L132&gt;0,"прибыль",IF(L132&lt;0,"убыток","ноль"))</f>
        <v>прибыль</v>
      </c>
      <c r="O132" s="6" t="n">
        <f aca="false">IF(L132&lt;0,O131+1,0)</f>
        <v>0</v>
      </c>
      <c r="P132" s="6" t="n">
        <v>10</v>
      </c>
    </row>
    <row r="133" customFormat="false" ht="15" hidden="false" customHeight="false" outlineLevel="0" collapsed="false">
      <c r="A133" s="6" t="n">
        <v>128</v>
      </c>
      <c r="B133" s="5" t="s">
        <v>72</v>
      </c>
      <c r="C133" s="5" t="s">
        <v>25</v>
      </c>
      <c r="D133" s="11" t="n">
        <v>43140</v>
      </c>
      <c r="E133" s="11" t="n">
        <v>43144</v>
      </c>
      <c r="F133" s="5" t="s">
        <v>75</v>
      </c>
      <c r="G133" s="12" t="n">
        <v>824501.811536424</v>
      </c>
      <c r="H133" s="13" t="n">
        <v>64.24</v>
      </c>
      <c r="I133" s="13" t="n">
        <v>62.65</v>
      </c>
      <c r="K133" s="8" t="n">
        <v>82.1477190453574</v>
      </c>
      <c r="L133" s="8" t="n">
        <v>18938.5919846766</v>
      </c>
      <c r="M133" s="8" t="n">
        <f aca="false">M132+L133</f>
        <v>871496.337960528</v>
      </c>
      <c r="N133" s="5" t="str">
        <f aca="false">IF(L133&gt;0,"прибыль",IF(L133&lt;0,"убыток","ноль"))</f>
        <v>прибыль</v>
      </c>
      <c r="O133" s="6" t="n">
        <f aca="false">IF(L133&lt;0,O132+1,0)</f>
        <v>0</v>
      </c>
      <c r="P133" s="6" t="n">
        <v>2</v>
      </c>
    </row>
    <row r="134" customFormat="false" ht="15" hidden="false" customHeight="false" outlineLevel="0" collapsed="false">
      <c r="A134" s="6" t="n">
        <v>129</v>
      </c>
      <c r="B134" s="5" t="s">
        <v>72</v>
      </c>
      <c r="C134" s="5" t="s">
        <v>25</v>
      </c>
      <c r="D134" s="11" t="n">
        <v>43144</v>
      </c>
      <c r="E134" s="11" t="n">
        <v>43145</v>
      </c>
      <c r="F134" s="5" t="s">
        <v>73</v>
      </c>
      <c r="G134" s="12" t="n">
        <v>837473.309074447</v>
      </c>
      <c r="H134" s="13" t="n">
        <v>62.65</v>
      </c>
      <c r="I134" s="13" t="n">
        <v>62.79</v>
      </c>
      <c r="K134" s="8" t="n">
        <v>83.7591581827019</v>
      </c>
      <c r="L134" s="8" t="n">
        <v>350.396984117606</v>
      </c>
      <c r="M134" s="8" t="n">
        <f aca="false">M133+L134</f>
        <v>871846.734944645</v>
      </c>
      <c r="N134" s="5" t="str">
        <f aca="false">IF(L134&gt;0,"прибыль",IF(L134&lt;0,"убыток","ноль"))</f>
        <v>прибыль</v>
      </c>
      <c r="O134" s="6" t="n">
        <f aca="false">IF(L134&lt;0,O133+1,0)</f>
        <v>0</v>
      </c>
      <c r="P134" s="6" t="n">
        <v>1</v>
      </c>
    </row>
    <row r="135" customFormat="false" ht="15" hidden="false" customHeight="false" outlineLevel="0" collapsed="false">
      <c r="A135" s="6" t="n">
        <v>130</v>
      </c>
      <c r="B135" s="5" t="s">
        <v>72</v>
      </c>
      <c r="C135" s="5" t="s">
        <v>25</v>
      </c>
      <c r="D135" s="11" t="n">
        <v>43145</v>
      </c>
      <c r="E135" s="11" t="n">
        <v>43146</v>
      </c>
      <c r="F135" s="5" t="s">
        <v>75</v>
      </c>
      <c r="G135" s="12" t="n">
        <v>837275.698437291</v>
      </c>
      <c r="H135" s="13" t="n">
        <v>62.79</v>
      </c>
      <c r="I135" s="13" t="n">
        <v>64.34</v>
      </c>
      <c r="K135" s="8" t="n">
        <v>79.1458021321927</v>
      </c>
      <c r="L135" s="8" t="n">
        <v>-22294.7657417648</v>
      </c>
      <c r="M135" s="8" t="n">
        <f aca="false">M134+L135</f>
        <v>849551.969202881</v>
      </c>
      <c r="N135" s="5" t="str">
        <f aca="false">IF(L135&gt;0,"прибыль",IF(L135&lt;0,"убыток","ноль"))</f>
        <v>убыток</v>
      </c>
      <c r="O135" s="6" t="n">
        <f aca="false">IF(L135&lt;0,O134+1,0)</f>
        <v>1</v>
      </c>
      <c r="P135" s="6" t="n">
        <v>1</v>
      </c>
    </row>
    <row r="136" customFormat="false" ht="15" hidden="false" customHeight="false" outlineLevel="0" collapsed="false">
      <c r="A136" s="6" t="n">
        <v>131</v>
      </c>
      <c r="B136" s="5" t="s">
        <v>72</v>
      </c>
      <c r="C136" s="5" t="s">
        <v>25</v>
      </c>
      <c r="D136" s="11" t="n">
        <v>43146</v>
      </c>
      <c r="E136" s="11" t="n">
        <v>43153</v>
      </c>
      <c r="F136" s="5" t="s">
        <v>73</v>
      </c>
      <c r="G136" s="12" t="n">
        <v>723424.724266929</v>
      </c>
      <c r="H136" s="13" t="n">
        <v>64.34</v>
      </c>
      <c r="I136" s="13" t="n">
        <v>64.94</v>
      </c>
      <c r="K136" s="8" t="n">
        <v>74.4755119962439</v>
      </c>
      <c r="L136" s="8" t="n">
        <v>5316.64815289285</v>
      </c>
      <c r="M136" s="8" t="n">
        <f aca="false">M135+L136</f>
        <v>854868.617355774</v>
      </c>
      <c r="N136" s="5" t="str">
        <f aca="false">IF(L136&gt;0,"прибыль",IF(L136&lt;0,"убыток","ноль"))</f>
        <v>прибыль</v>
      </c>
      <c r="O136" s="6" t="n">
        <f aca="false">IF(L136&lt;0,O135+1,0)</f>
        <v>0</v>
      </c>
      <c r="P136" s="6" t="n">
        <v>5</v>
      </c>
    </row>
    <row r="137" customFormat="false" ht="15" hidden="false" customHeight="false" outlineLevel="0" collapsed="false">
      <c r="A137" s="6" t="n">
        <v>132</v>
      </c>
      <c r="B137" s="5" t="s">
        <v>72</v>
      </c>
      <c r="C137" s="5" t="s">
        <v>25</v>
      </c>
      <c r="D137" s="11" t="n">
        <v>43153</v>
      </c>
      <c r="E137" s="11" t="n">
        <v>43157</v>
      </c>
      <c r="F137" s="5" t="s">
        <v>75</v>
      </c>
      <c r="G137" s="12" t="n">
        <v>760694.39199306</v>
      </c>
      <c r="H137" s="13" t="n">
        <v>64.94</v>
      </c>
      <c r="I137" s="13" t="n">
        <v>66.23</v>
      </c>
      <c r="K137" s="8" t="n">
        <v>74.1431865757364</v>
      </c>
      <c r="L137" s="8" t="n">
        <v>-16640.3571943907</v>
      </c>
      <c r="M137" s="8" t="n">
        <f aca="false">M136+L137</f>
        <v>838228.260161383</v>
      </c>
      <c r="N137" s="5" t="str">
        <f aca="false">IF(L137&gt;0,"прибыль",IF(L137&lt;0,"убыток","ноль"))</f>
        <v>убыток</v>
      </c>
      <c r="O137" s="6" t="n">
        <f aca="false">IF(L137&lt;0,O136+1,0)</f>
        <v>1</v>
      </c>
      <c r="P137" s="6" t="n">
        <v>1</v>
      </c>
    </row>
    <row r="138" customFormat="false" ht="15" hidden="false" customHeight="false" outlineLevel="0" collapsed="false">
      <c r="A138" s="6" t="n">
        <v>133</v>
      </c>
      <c r="B138" s="5" t="s">
        <v>72</v>
      </c>
      <c r="C138" s="5" t="s">
        <v>25</v>
      </c>
      <c r="D138" s="11" t="n">
        <v>43157</v>
      </c>
      <c r="E138" s="11" t="n">
        <v>43158</v>
      </c>
      <c r="F138" s="5" t="s">
        <v>73</v>
      </c>
      <c r="G138" s="12" t="n">
        <v>8.50718539708499E-011</v>
      </c>
      <c r="H138" s="13" t="n">
        <v>66.23</v>
      </c>
      <c r="I138" s="13" t="n">
        <v>67.53</v>
      </c>
      <c r="K138" s="8" t="n">
        <v>4.32854181907173E-015</v>
      </c>
      <c r="L138" s="8" t="n">
        <v>1.49465386876566E-012</v>
      </c>
      <c r="M138" s="8" t="n">
        <f aca="false">M137+L138</f>
        <v>838228.260161383</v>
      </c>
      <c r="N138" s="5" t="str">
        <f aca="false">IF(L138&gt;0,"прибыль",IF(L138&lt;0,"убыток","ноль"))</f>
        <v>прибыль</v>
      </c>
      <c r="O138" s="6" t="n">
        <f aca="false">IF(L138&lt;0,O137+1,0)</f>
        <v>0</v>
      </c>
      <c r="P138" s="6" t="n">
        <v>1</v>
      </c>
    </row>
    <row r="139" customFormat="false" ht="15" hidden="false" customHeight="false" outlineLevel="0" collapsed="false">
      <c r="A139" s="6" t="n">
        <v>134</v>
      </c>
      <c r="B139" s="5" t="s">
        <v>72</v>
      </c>
      <c r="C139" s="5" t="s">
        <v>25</v>
      </c>
      <c r="D139" s="11" t="n">
        <v>43158</v>
      </c>
      <c r="E139" s="11" t="n">
        <v>43159</v>
      </c>
      <c r="F139" s="5" t="s">
        <v>73</v>
      </c>
      <c r="G139" s="12" t="n">
        <v>705603.125513852</v>
      </c>
      <c r="H139" s="13" t="n">
        <v>67.53</v>
      </c>
      <c r="I139" s="13" t="n">
        <v>66.42</v>
      </c>
      <c r="K139" s="8" t="n">
        <v>67.9654981167039</v>
      </c>
      <c r="L139" s="8" t="n">
        <v>560.10811588736</v>
      </c>
      <c r="M139" s="8" t="n">
        <f aca="false">M138+L139</f>
        <v>838788.36827727</v>
      </c>
      <c r="N139" s="5" t="str">
        <f aca="false">IF(L139&gt;0,"прибыль",IF(L139&lt;0,"убыток","ноль"))</f>
        <v>прибыль</v>
      </c>
      <c r="O139" s="6" t="n">
        <f aca="false">IF(L139&lt;0,O138+1,0)</f>
        <v>0</v>
      </c>
      <c r="P139" s="6" t="n">
        <v>1</v>
      </c>
    </row>
    <row r="140" customFormat="false" ht="15" hidden="false" customHeight="false" outlineLevel="0" collapsed="false">
      <c r="A140" s="6" t="n">
        <v>135</v>
      </c>
      <c r="B140" s="5" t="s">
        <v>72</v>
      </c>
      <c r="C140" s="5" t="s">
        <v>25</v>
      </c>
      <c r="D140" s="11" t="n">
        <v>43159</v>
      </c>
      <c r="E140" s="11" t="n">
        <v>43181</v>
      </c>
      <c r="F140" s="5" t="s">
        <v>75</v>
      </c>
      <c r="G140" s="12" t="n">
        <v>799545.192883677</v>
      </c>
      <c r="H140" s="13" t="n">
        <v>66.42</v>
      </c>
      <c r="I140" s="13" t="n">
        <v>69.71</v>
      </c>
      <c r="J140" s="5" t="s">
        <v>74</v>
      </c>
      <c r="K140" s="8" t="n">
        <v>84.1567844058979</v>
      </c>
      <c r="L140" s="8" t="n">
        <v>-58329.6024483331</v>
      </c>
      <c r="M140" s="8" t="n">
        <f aca="false">M139+L140</f>
        <v>780458.765828937</v>
      </c>
      <c r="N140" s="5" t="str">
        <f aca="false">IF(L140&gt;0,"прибыль",IF(L140&lt;0,"убыток","ноль"))</f>
        <v>убыток</v>
      </c>
      <c r="O140" s="6" t="n">
        <f aca="false">IF(L140&lt;0,O139+1,0)</f>
        <v>1</v>
      </c>
      <c r="P140" s="6" t="n">
        <v>15</v>
      </c>
    </row>
    <row r="141" customFormat="false" ht="15" hidden="false" customHeight="false" outlineLevel="0" collapsed="false">
      <c r="A141" s="6" t="n">
        <v>136</v>
      </c>
      <c r="B141" s="5" t="s">
        <v>72</v>
      </c>
      <c r="C141" s="5" t="s">
        <v>25</v>
      </c>
      <c r="D141" s="11" t="n">
        <v>43181</v>
      </c>
      <c r="E141" s="11" t="n">
        <v>43182</v>
      </c>
      <c r="F141" s="5" t="s">
        <v>73</v>
      </c>
      <c r="G141" s="12" t="n">
        <v>678878.619892899</v>
      </c>
      <c r="H141" s="13" t="n">
        <v>69.71</v>
      </c>
      <c r="I141" s="13" t="n">
        <v>68.82</v>
      </c>
      <c r="K141" s="8" t="n">
        <v>66.4903210951095</v>
      </c>
      <c r="L141" s="8" t="n">
        <v>-10067.5465315321</v>
      </c>
      <c r="M141" s="8" t="n">
        <f aca="false">M140+L141</f>
        <v>770391.219297405</v>
      </c>
      <c r="N141" s="5" t="str">
        <f aca="false">IF(L141&gt;0,"прибыль",IF(L141&lt;0,"убыток","ноль"))</f>
        <v>убыток</v>
      </c>
      <c r="O141" s="6" t="n">
        <f aca="false">IF(L141&lt;0,O140+1,0)</f>
        <v>2</v>
      </c>
      <c r="P141" s="6" t="n">
        <v>1</v>
      </c>
    </row>
    <row r="142" customFormat="false" ht="15" hidden="false" customHeight="false" outlineLevel="0" collapsed="false">
      <c r="A142" s="6" t="n">
        <v>137</v>
      </c>
      <c r="B142" s="5" t="s">
        <v>72</v>
      </c>
      <c r="C142" s="5" t="s">
        <v>25</v>
      </c>
      <c r="D142" s="11" t="n">
        <v>43182</v>
      </c>
      <c r="E142" s="11" t="n">
        <v>43185</v>
      </c>
      <c r="F142" s="5" t="s">
        <v>75</v>
      </c>
      <c r="G142" s="12" t="n">
        <v>660928.858219728</v>
      </c>
      <c r="H142" s="13" t="n">
        <v>68.82</v>
      </c>
      <c r="I142" s="13" t="n">
        <v>70.45</v>
      </c>
      <c r="K142" s="8" t="n">
        <v>65.6142075820125</v>
      </c>
      <c r="L142" s="8" t="n">
        <v>-17101.6773897061</v>
      </c>
      <c r="M142" s="8" t="n">
        <f aca="false">M141+L142</f>
        <v>753289.541907699</v>
      </c>
      <c r="N142" s="5" t="str">
        <f aca="false">IF(L142&gt;0,"прибыль",IF(L142&lt;0,"убыток","ноль"))</f>
        <v>убыток</v>
      </c>
      <c r="O142" s="6" t="n">
        <f aca="false">IF(L142&lt;0,O141+1,0)</f>
        <v>3</v>
      </c>
      <c r="P142" s="6" t="n">
        <v>1</v>
      </c>
    </row>
    <row r="143" customFormat="false" ht="15" hidden="false" customHeight="false" outlineLevel="0" collapsed="false">
      <c r="A143" s="6" t="n">
        <v>138</v>
      </c>
      <c r="B143" s="5" t="s">
        <v>72</v>
      </c>
      <c r="C143" s="5" t="s">
        <v>25</v>
      </c>
      <c r="D143" s="11" t="n">
        <v>43185</v>
      </c>
      <c r="E143" s="11" t="n">
        <v>43186</v>
      </c>
      <c r="F143" s="5" t="s">
        <v>73</v>
      </c>
      <c r="G143" s="12" t="n">
        <v>9.26417246018847E-011</v>
      </c>
      <c r="H143" s="13" t="n">
        <v>70.45</v>
      </c>
      <c r="I143" s="13" t="n">
        <v>70.06</v>
      </c>
      <c r="K143" s="8" t="n">
        <v>4.59694694517679E-015</v>
      </c>
      <c r="L143" s="8" t="n">
        <v>-7.0738264529407E-013</v>
      </c>
      <c r="M143" s="8" t="n">
        <f aca="false">M142+L143</f>
        <v>753289.541907699</v>
      </c>
      <c r="N143" s="5" t="str">
        <f aca="false">IF(L143&gt;0,"прибыль",IF(L143&lt;0,"убыток","ноль"))</f>
        <v>убыток</v>
      </c>
      <c r="O143" s="6" t="n">
        <f aca="false">IF(L143&lt;0,O142+1,0)</f>
        <v>4</v>
      </c>
      <c r="P143" s="6" t="n">
        <v>1</v>
      </c>
    </row>
    <row r="144" customFormat="false" ht="15" hidden="false" customHeight="false" outlineLevel="0" collapsed="false">
      <c r="A144" s="6" t="n">
        <v>139</v>
      </c>
      <c r="B144" s="5" t="s">
        <v>72</v>
      </c>
      <c r="C144" s="5" t="s">
        <v>25</v>
      </c>
      <c r="D144" s="11" t="n">
        <v>43186</v>
      </c>
      <c r="E144" s="11" t="n">
        <v>43187</v>
      </c>
      <c r="F144" s="5" t="s">
        <v>73</v>
      </c>
      <c r="G144" s="12" t="n">
        <v>634319.230238399</v>
      </c>
      <c r="H144" s="13" t="n">
        <v>70.06</v>
      </c>
      <c r="I144" s="13" t="n">
        <v>69.56</v>
      </c>
      <c r="K144" s="8" t="n">
        <v>64.0243693318043</v>
      </c>
      <c r="L144" s="8" t="n">
        <v>-9357.71277971712</v>
      </c>
      <c r="M144" s="8" t="n">
        <f aca="false">M143+L144</f>
        <v>743931.829127982</v>
      </c>
      <c r="N144" s="5" t="str">
        <f aca="false">IF(L144&gt;0,"прибыль",IF(L144&lt;0,"убыток","ноль"))</f>
        <v>убыток</v>
      </c>
      <c r="O144" s="6" t="n">
        <f aca="false">IF(L144&lt;0,O143+1,0)</f>
        <v>5</v>
      </c>
      <c r="P144" s="6" t="n">
        <v>1</v>
      </c>
    </row>
    <row r="145" customFormat="false" ht="15" hidden="false" customHeight="false" outlineLevel="0" collapsed="false">
      <c r="A145" s="6" t="n">
        <v>140</v>
      </c>
      <c r="B145" s="5" t="s">
        <v>72</v>
      </c>
      <c r="C145" s="5" t="s">
        <v>25</v>
      </c>
      <c r="D145" s="11" t="n">
        <v>43187</v>
      </c>
      <c r="E145" s="11" t="n">
        <v>43188</v>
      </c>
      <c r="F145" s="5" t="s">
        <v>75</v>
      </c>
      <c r="G145" s="12" t="n">
        <v>655461.844808073</v>
      </c>
      <c r="H145" s="13" t="n">
        <v>69.56</v>
      </c>
      <c r="I145" s="13" t="n">
        <v>69.84</v>
      </c>
      <c r="K145" s="8" t="n">
        <v>67.5746760770168</v>
      </c>
      <c r="L145" s="8" t="n">
        <v>-4013.82278533372</v>
      </c>
      <c r="M145" s="8" t="n">
        <f aca="false">M144+L145</f>
        <v>739918.006342648</v>
      </c>
      <c r="N145" s="5" t="str">
        <f aca="false">IF(L145&gt;0,"прибыль",IF(L145&lt;0,"убыток","ноль"))</f>
        <v>убыток</v>
      </c>
      <c r="O145" s="6" t="n">
        <f aca="false">IF(L145&lt;0,O144+1,0)</f>
        <v>6</v>
      </c>
      <c r="P145" s="6" t="n">
        <v>1</v>
      </c>
    </row>
    <row r="146" customFormat="false" ht="15" hidden="false" customHeight="false" outlineLevel="0" collapsed="false">
      <c r="A146" s="6" t="n">
        <v>141</v>
      </c>
      <c r="B146" s="5" t="s">
        <v>72</v>
      </c>
      <c r="C146" s="5" t="s">
        <v>25</v>
      </c>
      <c r="D146" s="11" t="n">
        <v>43188</v>
      </c>
      <c r="E146" s="11" t="n">
        <v>43242</v>
      </c>
      <c r="F146" s="5" t="s">
        <v>73</v>
      </c>
      <c r="G146" s="12" t="n">
        <v>138586.873392235</v>
      </c>
      <c r="H146" s="13" t="n">
        <v>69.84</v>
      </c>
      <c r="I146" s="13" t="n">
        <v>79.5</v>
      </c>
      <c r="J146" s="5" t="s">
        <v>74</v>
      </c>
      <c r="K146" s="8" t="n">
        <v>8.38457035954804</v>
      </c>
      <c r="L146" s="8" t="n">
        <v>29096.1492283661</v>
      </c>
      <c r="M146" s="8" t="n">
        <f aca="false">M145+L146</f>
        <v>769014.155571014</v>
      </c>
      <c r="N146" s="5" t="str">
        <f aca="false">IF(L146&gt;0,"прибыль",IF(L146&lt;0,"убыток","ноль"))</f>
        <v>прибыль</v>
      </c>
      <c r="O146" s="6" t="n">
        <f aca="false">IF(L146&lt;0,O145+1,0)</f>
        <v>0</v>
      </c>
      <c r="P146" s="6" t="n">
        <v>37</v>
      </c>
    </row>
    <row r="147" customFormat="false" ht="15" hidden="false" customHeight="false" outlineLevel="0" collapsed="false">
      <c r="A147" s="6" t="n">
        <v>142</v>
      </c>
      <c r="B147" s="5" t="s">
        <v>72</v>
      </c>
      <c r="C147" s="5" t="s">
        <v>25</v>
      </c>
      <c r="D147" s="11" t="n">
        <v>43242</v>
      </c>
      <c r="E147" s="11" t="n">
        <v>43251</v>
      </c>
      <c r="F147" s="5" t="s">
        <v>73</v>
      </c>
      <c r="G147" s="12" t="n">
        <v>113119.889751517</v>
      </c>
      <c r="H147" s="13" t="n">
        <v>79.5</v>
      </c>
      <c r="I147" s="13" t="n">
        <v>77.41</v>
      </c>
      <c r="K147" s="8" t="n">
        <v>6.66256477705474</v>
      </c>
      <c r="L147" s="8" t="n">
        <v>20124.7432248005</v>
      </c>
      <c r="M147" s="8" t="n">
        <f aca="false">M146+L147</f>
        <v>789138.898795815</v>
      </c>
      <c r="N147" s="5" t="str">
        <f aca="false">IF(L147&gt;0,"прибыль",IF(L147&lt;0,"убыток","ноль"))</f>
        <v>прибыль</v>
      </c>
      <c r="O147" s="6" t="n">
        <f aca="false">IF(L147&lt;0,O146+1,0)</f>
        <v>0</v>
      </c>
      <c r="P147" s="6" t="n">
        <v>7</v>
      </c>
    </row>
    <row r="148" customFormat="false" ht="15" hidden="false" customHeight="false" outlineLevel="0" collapsed="false">
      <c r="A148" s="6" t="n">
        <v>143</v>
      </c>
      <c r="B148" s="5" t="s">
        <v>72</v>
      </c>
      <c r="C148" s="5" t="s">
        <v>25</v>
      </c>
      <c r="D148" s="11" t="n">
        <v>43251</v>
      </c>
      <c r="E148" s="11" t="n">
        <v>43293</v>
      </c>
      <c r="F148" s="5" t="s">
        <v>73</v>
      </c>
      <c r="G148" s="12" t="n">
        <v>440378.665479255</v>
      </c>
      <c r="H148" s="13" t="n">
        <v>77.41</v>
      </c>
      <c r="I148" s="13" t="n">
        <v>74.06</v>
      </c>
      <c r="J148" s="5" t="s">
        <v>74</v>
      </c>
      <c r="K148" s="8" t="n">
        <v>46.7622719781026</v>
      </c>
      <c r="L148" s="8" t="n">
        <v>75098.3229395597</v>
      </c>
      <c r="M148" s="8" t="n">
        <f aca="false">M147+L148</f>
        <v>864237.221735374</v>
      </c>
      <c r="N148" s="5" t="str">
        <f aca="false">IF(L148&gt;0,"прибыль",IF(L148&lt;0,"убыток","ноль"))</f>
        <v>прибыль</v>
      </c>
      <c r="O148" s="6" t="n">
        <f aca="false">IF(L148&lt;0,O147+1,0)</f>
        <v>0</v>
      </c>
      <c r="P148" s="6" t="n">
        <v>30</v>
      </c>
    </row>
    <row r="149" customFormat="false" ht="15" hidden="false" customHeight="false" outlineLevel="0" collapsed="false">
      <c r="A149" s="6" t="n">
        <v>144</v>
      </c>
      <c r="B149" s="5" t="s">
        <v>72</v>
      </c>
      <c r="C149" s="5" t="s">
        <v>25</v>
      </c>
      <c r="D149" s="11" t="n">
        <v>43293</v>
      </c>
      <c r="E149" s="11" t="n">
        <v>43305</v>
      </c>
      <c r="F149" s="5" t="s">
        <v>75</v>
      </c>
      <c r="G149" s="12" t="n">
        <v>419721.68887126</v>
      </c>
      <c r="H149" s="13" t="n">
        <v>74.06</v>
      </c>
      <c r="I149" s="13" t="n">
        <v>72.99</v>
      </c>
      <c r="K149" s="8" t="n">
        <v>43.8734794624918</v>
      </c>
      <c r="L149" s="8" t="n">
        <v>4893.89180354591</v>
      </c>
      <c r="M149" s="8" t="n">
        <f aca="false">M148+L149</f>
        <v>869131.11353892</v>
      </c>
      <c r="N149" s="5" t="str">
        <f aca="false">IF(L149&gt;0,"прибыль",IF(L149&lt;0,"убыток","ноль"))</f>
        <v>прибыль</v>
      </c>
      <c r="O149" s="6" t="n">
        <f aca="false">IF(L149&lt;0,O148+1,0)</f>
        <v>0</v>
      </c>
      <c r="P149" s="6" t="n">
        <v>8</v>
      </c>
    </row>
    <row r="150" customFormat="false" ht="15" hidden="false" customHeight="false" outlineLevel="0" collapsed="false">
      <c r="A150" s="6" t="n">
        <v>145</v>
      </c>
      <c r="B150" s="5" t="s">
        <v>72</v>
      </c>
      <c r="C150" s="5" t="s">
        <v>25</v>
      </c>
      <c r="D150" s="11" t="n">
        <v>43305</v>
      </c>
      <c r="E150" s="11" t="n">
        <v>43307</v>
      </c>
      <c r="F150" s="5" t="s">
        <v>73</v>
      </c>
      <c r="G150" s="12" t="n">
        <v>462685.665661584</v>
      </c>
      <c r="H150" s="13" t="n">
        <v>72.99</v>
      </c>
      <c r="I150" s="13" t="n">
        <v>74.06</v>
      </c>
      <c r="K150" s="8" t="n">
        <v>47.2803894228538</v>
      </c>
      <c r="L150" s="8" t="n">
        <v>5523.33321500446</v>
      </c>
      <c r="M150" s="8" t="n">
        <f aca="false">M149+L150</f>
        <v>874654.446753925</v>
      </c>
      <c r="N150" s="5" t="str">
        <f aca="false">IF(L150&gt;0,"прибыль",IF(L150&lt;0,"убыток","ноль"))</f>
        <v>прибыль</v>
      </c>
      <c r="O150" s="6" t="n">
        <f aca="false">IF(L150&lt;0,O149+1,0)</f>
        <v>0</v>
      </c>
      <c r="P150" s="6" t="n">
        <v>2</v>
      </c>
    </row>
    <row r="151" customFormat="false" ht="15" hidden="false" customHeight="false" outlineLevel="0" collapsed="false">
      <c r="A151" s="6" t="n">
        <v>146</v>
      </c>
      <c r="B151" s="5" t="s">
        <v>72</v>
      </c>
      <c r="C151" s="5" t="s">
        <v>25</v>
      </c>
      <c r="D151" s="11" t="n">
        <v>43307</v>
      </c>
      <c r="E151" s="11" t="n">
        <v>43312</v>
      </c>
      <c r="F151" s="5" t="s">
        <v>75</v>
      </c>
      <c r="G151" s="12" t="n">
        <v>477351.509191065</v>
      </c>
      <c r="H151" s="13" t="n">
        <v>74.06</v>
      </c>
      <c r="I151" s="13" t="n">
        <v>74.77</v>
      </c>
      <c r="K151" s="8" t="n">
        <v>48.9511791185755</v>
      </c>
      <c r="L151" s="8" t="n">
        <v>-5839.45436949697</v>
      </c>
      <c r="M151" s="8" t="n">
        <f aca="false">M150+L151</f>
        <v>868814.992384428</v>
      </c>
      <c r="N151" s="5" t="str">
        <f aca="false">IF(L151&gt;0,"прибыль",IF(L151&lt;0,"убыток","ноль"))</f>
        <v>убыток</v>
      </c>
      <c r="O151" s="6" t="n">
        <f aca="false">IF(L151&lt;0,O150+1,0)</f>
        <v>1</v>
      </c>
      <c r="P151" s="6" t="n">
        <v>3</v>
      </c>
    </row>
    <row r="152" customFormat="false" ht="15" hidden="false" customHeight="false" outlineLevel="0" collapsed="false">
      <c r="A152" s="6" t="n">
        <v>147</v>
      </c>
      <c r="B152" s="5" t="s">
        <v>72</v>
      </c>
      <c r="C152" s="5" t="s">
        <v>25</v>
      </c>
      <c r="D152" s="11" t="n">
        <v>43312</v>
      </c>
      <c r="E152" s="11" t="n">
        <v>43321</v>
      </c>
      <c r="F152" s="5" t="s">
        <v>73</v>
      </c>
      <c r="G152" s="12" t="n">
        <v>495881.569990066</v>
      </c>
      <c r="H152" s="13" t="n">
        <v>74.77</v>
      </c>
      <c r="I152" s="13" t="n">
        <v>72.24</v>
      </c>
      <c r="J152" s="5" t="s">
        <v>74</v>
      </c>
      <c r="K152" s="8" t="n">
        <v>57.9293976088055</v>
      </c>
      <c r="L152" s="8" t="n">
        <v>-6233.8913533318</v>
      </c>
      <c r="M152" s="8" t="n">
        <f aca="false">M151+L152</f>
        <v>862581.101031096</v>
      </c>
      <c r="N152" s="5" t="str">
        <f aca="false">IF(L152&gt;0,"прибыль",IF(L152&lt;0,"убыток","ноль"))</f>
        <v>убыток</v>
      </c>
      <c r="O152" s="6" t="n">
        <f aca="false">IF(L152&lt;0,O151+1,0)</f>
        <v>2</v>
      </c>
      <c r="P152" s="6" t="n">
        <v>7</v>
      </c>
    </row>
    <row r="153" customFormat="false" ht="15" hidden="false" customHeight="false" outlineLevel="0" collapsed="false">
      <c r="A153" s="6" t="n">
        <v>148</v>
      </c>
      <c r="B153" s="5" t="s">
        <v>72</v>
      </c>
      <c r="C153" s="5" t="s">
        <v>25</v>
      </c>
      <c r="D153" s="11" t="n">
        <v>43321</v>
      </c>
      <c r="E153" s="11" t="n">
        <v>43325</v>
      </c>
      <c r="F153" s="5" t="s">
        <v>75</v>
      </c>
      <c r="G153" s="12" t="n">
        <v>668882.344141768</v>
      </c>
      <c r="H153" s="13" t="n">
        <v>72.24</v>
      </c>
      <c r="I153" s="13" t="n">
        <v>72.91</v>
      </c>
      <c r="K153" s="8" t="n">
        <v>66.8543019588019</v>
      </c>
      <c r="L153" s="8" t="n">
        <v>-7624.11819507301</v>
      </c>
      <c r="M153" s="8" t="n">
        <f aca="false">M152+L153</f>
        <v>854956.982836023</v>
      </c>
      <c r="N153" s="5" t="str">
        <f aca="false">IF(L153&gt;0,"прибыль",IF(L153&lt;0,"убыток","ноль"))</f>
        <v>убыток</v>
      </c>
      <c r="O153" s="6" t="n">
        <f aca="false">IF(L153&lt;0,O152+1,0)</f>
        <v>3</v>
      </c>
      <c r="P153" s="6" t="n">
        <v>2</v>
      </c>
    </row>
    <row r="154" customFormat="false" ht="15" hidden="false" customHeight="false" outlineLevel="0" collapsed="false">
      <c r="A154" s="6" t="n">
        <v>149</v>
      </c>
      <c r="B154" s="5" t="s">
        <v>72</v>
      </c>
      <c r="C154" s="5" t="s">
        <v>25</v>
      </c>
      <c r="D154" s="11" t="n">
        <v>43325</v>
      </c>
      <c r="E154" s="11" t="n">
        <v>43332</v>
      </c>
      <c r="F154" s="5" t="s">
        <v>73</v>
      </c>
      <c r="G154" s="12" t="n">
        <v>868084.846203619</v>
      </c>
      <c r="H154" s="13" t="n">
        <v>72.91</v>
      </c>
      <c r="I154" s="13" t="n">
        <v>71.81</v>
      </c>
      <c r="K154" s="8" t="n">
        <v>95.047755297118</v>
      </c>
      <c r="L154" s="8" t="n">
        <v>-14494.6985887054</v>
      </c>
      <c r="M154" s="8" t="n">
        <f aca="false">M153+L154</f>
        <v>840462.284247318</v>
      </c>
      <c r="N154" s="5" t="str">
        <f aca="false">IF(L154&gt;0,"прибыль",IF(L154&lt;0,"убыток","ноль"))</f>
        <v>убыток</v>
      </c>
      <c r="O154" s="6" t="n">
        <f aca="false">IF(L154&lt;0,O153+1,0)</f>
        <v>4</v>
      </c>
      <c r="P154" s="6" t="n">
        <v>5</v>
      </c>
    </row>
    <row r="155" customFormat="false" ht="15" hidden="false" customHeight="false" outlineLevel="0" collapsed="false">
      <c r="A155" s="6" t="n">
        <v>150</v>
      </c>
      <c r="B155" s="5" t="s">
        <v>72</v>
      </c>
      <c r="C155" s="5" t="s">
        <v>25</v>
      </c>
      <c r="D155" s="11" t="n">
        <v>43332</v>
      </c>
      <c r="E155" s="11" t="n">
        <v>43333</v>
      </c>
      <c r="F155" s="5" t="s">
        <v>75</v>
      </c>
      <c r="G155" s="12" t="n">
        <v>839831.495509688</v>
      </c>
      <c r="H155" s="13" t="n">
        <v>71.81</v>
      </c>
      <c r="I155" s="13" t="n">
        <v>72.2</v>
      </c>
      <c r="K155" s="8" t="n">
        <v>84.2433331424138</v>
      </c>
      <c r="L155" s="8" t="n">
        <v>-6090.59946133489</v>
      </c>
      <c r="M155" s="8" t="n">
        <f aca="false">M154+L155</f>
        <v>834371.684785983</v>
      </c>
      <c r="N155" s="5" t="str">
        <f aca="false">IF(L155&gt;0,"прибыль",IF(L155&lt;0,"убыток","ноль"))</f>
        <v>убыток</v>
      </c>
      <c r="O155" s="6" t="n">
        <f aca="false">IF(L155&lt;0,O154+1,0)</f>
        <v>5</v>
      </c>
      <c r="P155" s="6" t="n">
        <v>1</v>
      </c>
    </row>
    <row r="156" customFormat="false" ht="15" hidden="false" customHeight="false" outlineLevel="0" collapsed="false">
      <c r="A156" s="6" t="n">
        <v>151</v>
      </c>
      <c r="B156" s="5" t="s">
        <v>72</v>
      </c>
      <c r="C156" s="5" t="s">
        <v>25</v>
      </c>
      <c r="D156" s="11" t="n">
        <v>43333</v>
      </c>
      <c r="E156" s="11" t="n">
        <v>43334</v>
      </c>
      <c r="F156" s="5" t="s">
        <v>73</v>
      </c>
      <c r="G156" s="12" t="n">
        <v>839028.811210395</v>
      </c>
      <c r="H156" s="13" t="n">
        <v>72.2</v>
      </c>
      <c r="I156" s="13" t="n">
        <v>72.8</v>
      </c>
      <c r="K156" s="8" t="n">
        <v>84.5097145502834</v>
      </c>
      <c r="L156" s="8" t="n">
        <v>5445.02132124917</v>
      </c>
      <c r="M156" s="8" t="n">
        <f aca="false">M155+L156</f>
        <v>839816.706107232</v>
      </c>
      <c r="N156" s="5" t="str">
        <f aca="false">IF(L156&gt;0,"прибыль",IF(L156&lt;0,"убыток","ноль"))</f>
        <v>прибыль</v>
      </c>
      <c r="O156" s="6" t="n">
        <f aca="false">IF(L156&lt;0,O155+1,0)</f>
        <v>0</v>
      </c>
      <c r="P156" s="6" t="n">
        <v>1</v>
      </c>
    </row>
    <row r="157" customFormat="false" ht="15" hidden="false" customHeight="false" outlineLevel="0" collapsed="false">
      <c r="A157" s="6" t="n">
        <v>152</v>
      </c>
      <c r="B157" s="5" t="s">
        <v>72</v>
      </c>
      <c r="C157" s="5" t="s">
        <v>25</v>
      </c>
      <c r="D157" s="11" t="n">
        <v>43334</v>
      </c>
      <c r="E157" s="11" t="n">
        <v>43335</v>
      </c>
      <c r="F157" s="5" t="s">
        <v>75</v>
      </c>
      <c r="G157" s="12" t="n">
        <v>845635.948759474</v>
      </c>
      <c r="H157" s="13" t="n">
        <v>72.8</v>
      </c>
      <c r="I157" s="13" t="n">
        <v>74.78</v>
      </c>
      <c r="K157" s="8" t="n">
        <v>80.3568139638461</v>
      </c>
      <c r="L157" s="8" t="n">
        <v>-24630.7191259084</v>
      </c>
      <c r="M157" s="8" t="n">
        <f aca="false">M156+L157</f>
        <v>815185.986981324</v>
      </c>
      <c r="N157" s="5" t="str">
        <f aca="false">IF(L157&gt;0,"прибыль",IF(L157&lt;0,"убыток","ноль"))</f>
        <v>убыток</v>
      </c>
      <c r="O157" s="6" t="n">
        <f aca="false">IF(L157&lt;0,O156+1,0)</f>
        <v>1</v>
      </c>
      <c r="P157" s="6" t="n">
        <v>1</v>
      </c>
    </row>
    <row r="158" customFormat="false" ht="15" hidden="false" customHeight="false" outlineLevel="0" collapsed="false">
      <c r="A158" s="6" t="n">
        <v>153</v>
      </c>
      <c r="B158" s="5" t="s">
        <v>72</v>
      </c>
      <c r="C158" s="5" t="s">
        <v>25</v>
      </c>
      <c r="D158" s="11" t="n">
        <v>43335</v>
      </c>
      <c r="E158" s="11" t="n">
        <v>43348</v>
      </c>
      <c r="F158" s="5" t="s">
        <v>73</v>
      </c>
      <c r="G158" s="12" t="n">
        <v>736949.968205503</v>
      </c>
      <c r="H158" s="13" t="n">
        <v>74.78</v>
      </c>
      <c r="I158" s="13" t="n">
        <v>77.7</v>
      </c>
      <c r="J158" s="5" t="s">
        <v>74</v>
      </c>
      <c r="K158" s="8" t="n">
        <v>74.026838909223</v>
      </c>
      <c r="L158" s="8" t="n">
        <v>20904.7793386733</v>
      </c>
      <c r="M158" s="8" t="n">
        <f aca="false">M157+L158</f>
        <v>836090.766319997</v>
      </c>
      <c r="N158" s="5" t="str">
        <f aca="false">IF(L158&gt;0,"прибыль",IF(L158&lt;0,"убыток","ноль"))</f>
        <v>прибыль</v>
      </c>
      <c r="O158" s="6" t="n">
        <f aca="false">IF(L158&lt;0,O157+1,0)</f>
        <v>0</v>
      </c>
      <c r="P158" s="6" t="n">
        <v>9</v>
      </c>
    </row>
    <row r="159" customFormat="false" ht="15" hidden="false" customHeight="false" outlineLevel="0" collapsed="false">
      <c r="A159" s="6" t="n">
        <v>154</v>
      </c>
      <c r="B159" s="5" t="s">
        <v>72</v>
      </c>
      <c r="C159" s="5" t="s">
        <v>25</v>
      </c>
      <c r="D159" s="11" t="n">
        <v>43348</v>
      </c>
      <c r="E159" s="11" t="n">
        <v>43349</v>
      </c>
      <c r="F159" s="5" t="s">
        <v>75</v>
      </c>
      <c r="G159" s="12" t="n">
        <v>722608.003801374</v>
      </c>
      <c r="H159" s="13" t="n">
        <v>77.7</v>
      </c>
      <c r="I159" s="13" t="n">
        <v>77.1</v>
      </c>
      <c r="K159" s="8" t="n">
        <v>79.5331827334327</v>
      </c>
      <c r="L159" s="8" t="n">
        <v>4223.38327672395</v>
      </c>
      <c r="M159" s="8" t="n">
        <f aca="false">M158+L159</f>
        <v>840314.149596721</v>
      </c>
      <c r="N159" s="5" t="str">
        <f aca="false">IF(L159&gt;0,"прибыль",IF(L159&lt;0,"убыток","ноль"))</f>
        <v>прибыль</v>
      </c>
      <c r="O159" s="6" t="n">
        <f aca="false">IF(L159&lt;0,O158+1,0)</f>
        <v>0</v>
      </c>
      <c r="P159" s="6" t="n">
        <v>1</v>
      </c>
    </row>
    <row r="160" customFormat="false" ht="15" hidden="false" customHeight="false" outlineLevel="0" collapsed="false">
      <c r="A160" s="6" t="n">
        <v>155</v>
      </c>
      <c r="B160" s="5" t="s">
        <v>72</v>
      </c>
      <c r="C160" s="5" t="s">
        <v>25</v>
      </c>
      <c r="D160" s="11" t="n">
        <v>43349</v>
      </c>
      <c r="E160" s="11" t="n">
        <v>43384</v>
      </c>
      <c r="F160" s="5" t="s">
        <v>73</v>
      </c>
      <c r="G160" s="12" t="n">
        <v>192708.336197534</v>
      </c>
      <c r="H160" s="13" t="n">
        <v>77.1</v>
      </c>
      <c r="I160" s="13" t="n">
        <v>82.45</v>
      </c>
      <c r="J160" s="5" t="s">
        <v>74</v>
      </c>
      <c r="K160" s="8" t="n">
        <v>9.99069189292712</v>
      </c>
      <c r="L160" s="8" t="n">
        <v>7095.51096911524</v>
      </c>
      <c r="M160" s="8" t="n">
        <f aca="false">M159+L160</f>
        <v>847409.660565836</v>
      </c>
      <c r="N160" s="5" t="str">
        <f aca="false">IF(L160&gt;0,"прибыль",IF(L160&lt;0,"убыток","ноль"))</f>
        <v>прибыль</v>
      </c>
      <c r="O160" s="6" t="n">
        <f aca="false">IF(L160&lt;0,O159+1,0)</f>
        <v>0</v>
      </c>
      <c r="P160" s="6" t="n">
        <v>25</v>
      </c>
    </row>
    <row r="161" customFormat="false" ht="15" hidden="false" customHeight="false" outlineLevel="0" collapsed="false">
      <c r="A161" s="6" t="n">
        <v>156</v>
      </c>
      <c r="B161" s="5" t="s">
        <v>72</v>
      </c>
      <c r="C161" s="5" t="s">
        <v>25</v>
      </c>
      <c r="D161" s="11" t="n">
        <v>43384</v>
      </c>
      <c r="E161" s="11" t="n">
        <v>43397</v>
      </c>
      <c r="F161" s="5" t="s">
        <v>73</v>
      </c>
      <c r="G161" s="12" t="n">
        <v>679650.231129204</v>
      </c>
      <c r="H161" s="13" t="n">
        <v>82.45</v>
      </c>
      <c r="I161" s="13" t="n">
        <v>76.19</v>
      </c>
      <c r="K161" s="8" t="n">
        <v>60.8189412692421</v>
      </c>
      <c r="L161" s="8" t="n">
        <v>-28613.0632827063</v>
      </c>
      <c r="M161" s="8" t="n">
        <f aca="false">M160+L161</f>
        <v>818796.59728313</v>
      </c>
      <c r="N161" s="5" t="str">
        <f aca="false">IF(L161&gt;0,"прибыль",IF(L161&lt;0,"убыток","ноль"))</f>
        <v>убыток</v>
      </c>
      <c r="O161" s="6" t="n">
        <f aca="false">IF(L161&lt;0,O160+1,0)</f>
        <v>1</v>
      </c>
      <c r="P161" s="6" t="n">
        <v>9</v>
      </c>
    </row>
    <row r="162" customFormat="false" ht="15" hidden="false" customHeight="false" outlineLevel="0" collapsed="false">
      <c r="A162" s="6" t="n">
        <v>157</v>
      </c>
      <c r="B162" s="5" t="s">
        <v>72</v>
      </c>
      <c r="C162" s="5" t="s">
        <v>25</v>
      </c>
      <c r="D162" s="11" t="n">
        <v>43397</v>
      </c>
      <c r="E162" s="11" t="n">
        <v>43419</v>
      </c>
      <c r="F162" s="5" t="s">
        <v>75</v>
      </c>
      <c r="G162" s="12" t="n">
        <v>156596.859259644</v>
      </c>
      <c r="H162" s="13" t="n">
        <v>76.19</v>
      </c>
      <c r="I162" s="13" t="n">
        <v>66.27</v>
      </c>
      <c r="J162" s="5" t="s">
        <v>74</v>
      </c>
      <c r="K162" s="8" t="n">
        <v>12.8712228322896</v>
      </c>
      <c r="L162" s="8" t="n">
        <v>13627.6312314412</v>
      </c>
      <c r="M162" s="8" t="n">
        <f aca="false">M161+L162</f>
        <v>832424.228514571</v>
      </c>
      <c r="N162" s="5" t="str">
        <f aca="false">IF(L162&gt;0,"прибыль",IF(L162&lt;0,"убыток","ноль"))</f>
        <v>прибыль</v>
      </c>
      <c r="O162" s="6" t="n">
        <f aca="false">IF(L162&lt;0,O161+1,0)</f>
        <v>0</v>
      </c>
      <c r="P162" s="6" t="n">
        <v>15</v>
      </c>
    </row>
    <row r="163" customFormat="false" ht="15" hidden="false" customHeight="false" outlineLevel="0" collapsed="false">
      <c r="A163" s="6" t="n">
        <v>158</v>
      </c>
      <c r="B163" s="5" t="s">
        <v>72</v>
      </c>
      <c r="C163" s="5" t="s">
        <v>25</v>
      </c>
      <c r="D163" s="11" t="n">
        <v>43419</v>
      </c>
      <c r="E163" s="11" t="n">
        <v>43461</v>
      </c>
      <c r="F163" s="5" t="s">
        <v>75</v>
      </c>
      <c r="G163" s="12" t="n">
        <v>298929.301906483</v>
      </c>
      <c r="H163" s="13" t="n">
        <v>66.27</v>
      </c>
      <c r="I163" s="13" t="n">
        <v>54.9</v>
      </c>
      <c r="J163" s="5" t="s">
        <v>74</v>
      </c>
      <c r="K163" s="8" t="n">
        <v>17.8170177571118</v>
      </c>
      <c r="L163" s="8" t="n">
        <v>66965.6345153956</v>
      </c>
      <c r="M163" s="8" t="n">
        <f aca="false">M162+L163</f>
        <v>899389.863029966</v>
      </c>
      <c r="N163" s="5" t="str">
        <f aca="false">IF(L163&gt;0,"прибыль",IF(L163&lt;0,"убыток","ноль"))</f>
        <v>прибыль</v>
      </c>
      <c r="O163" s="6" t="n">
        <f aca="false">IF(L163&lt;0,O162+1,0)</f>
        <v>0</v>
      </c>
      <c r="P163" s="6" t="n">
        <v>30</v>
      </c>
    </row>
    <row r="164" customFormat="false" ht="15" hidden="false" customHeight="false" outlineLevel="0" collapsed="false">
      <c r="A164" s="6" t="n">
        <v>159</v>
      </c>
      <c r="B164" s="5" t="s">
        <v>72</v>
      </c>
      <c r="C164" s="5" t="s">
        <v>25</v>
      </c>
      <c r="D164" s="11" t="n">
        <v>43461</v>
      </c>
      <c r="E164" s="11" t="n">
        <v>43511</v>
      </c>
      <c r="F164" s="5" t="s">
        <v>75</v>
      </c>
      <c r="G164" s="12" t="n">
        <v>694290.788831449</v>
      </c>
      <c r="H164" s="13" t="n">
        <v>54.9</v>
      </c>
      <c r="I164" s="13" t="n">
        <v>64.75</v>
      </c>
      <c r="J164" s="5" t="s">
        <v>74</v>
      </c>
      <c r="K164" s="8" t="n">
        <v>84.4825851439202</v>
      </c>
      <c r="L164" s="8" t="n">
        <v>38951.3819242246</v>
      </c>
      <c r="M164" s="8" t="n">
        <f aca="false">M163+L164</f>
        <v>938341.244954191</v>
      </c>
      <c r="N164" s="5" t="str">
        <f aca="false">IF(L164&gt;0,"прибыль",IF(L164&lt;0,"убыток","ноль"))</f>
        <v>прибыль</v>
      </c>
      <c r="O164" s="6" t="n">
        <f aca="false">IF(L164&lt;0,O163+1,0)</f>
        <v>0</v>
      </c>
      <c r="P164" s="6" t="n">
        <v>33</v>
      </c>
    </row>
    <row r="165" customFormat="false" ht="15" hidden="false" customHeight="false" outlineLevel="0" collapsed="false">
      <c r="A165" s="6" t="n">
        <v>160</v>
      </c>
      <c r="B165" s="5" t="s">
        <v>72</v>
      </c>
      <c r="C165" s="5" t="s">
        <v>25</v>
      </c>
      <c r="D165" s="11" t="n">
        <v>43511</v>
      </c>
      <c r="E165" s="11" t="n">
        <v>43578</v>
      </c>
      <c r="F165" s="5" t="s">
        <v>73</v>
      </c>
      <c r="G165" s="12" t="n">
        <v>252594.371748394</v>
      </c>
      <c r="H165" s="13" t="n">
        <v>64.75</v>
      </c>
      <c r="I165" s="13" t="n">
        <v>74.17</v>
      </c>
      <c r="J165" s="5" t="s">
        <v>74</v>
      </c>
      <c r="K165" s="8" t="n">
        <v>39.4642952079771</v>
      </c>
      <c r="L165" s="8" t="n">
        <v>30970.220532914</v>
      </c>
      <c r="M165" s="8" t="n">
        <f aca="false">M164+L165</f>
        <v>969311.465487105</v>
      </c>
      <c r="N165" s="5" t="str">
        <f aca="false">IF(L165&gt;0,"прибыль",IF(L165&lt;0,"убыток","ноль"))</f>
        <v>прибыль</v>
      </c>
      <c r="O165" s="6" t="n">
        <f aca="false">IF(L165&lt;0,O164+1,0)</f>
        <v>0</v>
      </c>
      <c r="P165" s="6" t="n">
        <v>47</v>
      </c>
    </row>
    <row r="166" customFormat="false" ht="15" hidden="false" customHeight="false" outlineLevel="0" collapsed="false">
      <c r="A166" s="6" t="n">
        <v>161</v>
      </c>
      <c r="B166" s="5" t="s">
        <v>72</v>
      </c>
      <c r="C166" s="5" t="s">
        <v>25</v>
      </c>
      <c r="D166" s="11" t="n">
        <v>43578</v>
      </c>
      <c r="E166" s="11" t="n">
        <v>43584</v>
      </c>
      <c r="F166" s="5" t="s">
        <v>73</v>
      </c>
      <c r="G166" s="12" t="n">
        <v>250546.603647703</v>
      </c>
      <c r="H166" s="13" t="n">
        <v>74.17</v>
      </c>
      <c r="I166" s="13" t="n">
        <v>71.6</v>
      </c>
      <c r="K166" s="8" t="n">
        <v>13.5754215623804</v>
      </c>
      <c r="L166" s="8" t="n">
        <v>20948.2521783413</v>
      </c>
      <c r="M166" s="8" t="n">
        <f aca="false">M165+L166</f>
        <v>990259.717665446</v>
      </c>
      <c r="N166" s="5" t="str">
        <f aca="false">IF(L166&gt;0,"прибыль",IF(L166&lt;0,"убыток","ноль"))</f>
        <v>прибыль</v>
      </c>
      <c r="O166" s="6" t="n">
        <f aca="false">IF(L166&lt;0,O165+1,0)</f>
        <v>0</v>
      </c>
      <c r="P166" s="6" t="n">
        <v>4</v>
      </c>
    </row>
    <row r="167" customFormat="false" ht="15" hidden="false" customHeight="false" outlineLevel="0" collapsed="false">
      <c r="A167" s="6" t="n">
        <v>162</v>
      </c>
      <c r="B167" s="5" t="s">
        <v>72</v>
      </c>
      <c r="C167" s="5" t="s">
        <v>25</v>
      </c>
      <c r="D167" s="11" t="n">
        <v>43584</v>
      </c>
      <c r="E167" s="11" t="n">
        <v>43609</v>
      </c>
      <c r="F167" s="5" t="s">
        <v>73</v>
      </c>
      <c r="G167" s="12" t="n">
        <v>158073.439070922</v>
      </c>
      <c r="H167" s="13" t="n">
        <v>71.6</v>
      </c>
      <c r="I167" s="13" t="n">
        <v>67.97</v>
      </c>
      <c r="J167" s="5" t="s">
        <v>74</v>
      </c>
      <c r="K167" s="8" t="n">
        <v>8.3954590661958</v>
      </c>
      <c r="L167" s="8" t="n">
        <v>9827.34679392791</v>
      </c>
      <c r="M167" s="8" t="n">
        <f aca="false">M166+L167</f>
        <v>1000087.06445937</v>
      </c>
      <c r="N167" s="5" t="str">
        <f aca="false">IF(L167&gt;0,"прибыль",IF(L167&lt;0,"убыток","ноль"))</f>
        <v>прибыль</v>
      </c>
      <c r="O167" s="6" t="n">
        <f aca="false">IF(L167&lt;0,O166+1,0)</f>
        <v>0</v>
      </c>
      <c r="P167" s="6" t="n">
        <v>17</v>
      </c>
    </row>
    <row r="168" customFormat="false" ht="15" hidden="false" customHeight="false" outlineLevel="0" collapsed="false">
      <c r="A168" s="6" t="n">
        <v>163</v>
      </c>
      <c r="B168" s="5" t="s">
        <v>72</v>
      </c>
      <c r="C168" s="5" t="s">
        <v>25</v>
      </c>
      <c r="D168" s="11" t="n">
        <v>43609</v>
      </c>
      <c r="E168" s="11" t="n">
        <v>43616</v>
      </c>
      <c r="F168" s="5" t="s">
        <v>73</v>
      </c>
      <c r="G168" s="12" t="n">
        <v>533190.704881155</v>
      </c>
      <c r="H168" s="13" t="n">
        <v>67.97</v>
      </c>
      <c r="I168" s="13" t="n">
        <v>66.45</v>
      </c>
      <c r="K168" s="8" t="n">
        <v>53.11879567647</v>
      </c>
      <c r="L168" s="8" t="n">
        <v>20406.6497392986</v>
      </c>
      <c r="M168" s="8" t="n">
        <f aca="false">M167+L168</f>
        <v>1020493.71419867</v>
      </c>
      <c r="N168" s="5" t="str">
        <f aca="false">IF(L168&gt;0,"прибыль",IF(L168&lt;0,"убыток","ноль"))</f>
        <v>прибыль</v>
      </c>
      <c r="O168" s="6" t="n">
        <f aca="false">IF(L168&lt;0,O167+1,0)</f>
        <v>0</v>
      </c>
      <c r="P168" s="6" t="n">
        <v>5</v>
      </c>
    </row>
    <row r="169" customFormat="false" ht="15" hidden="false" customHeight="false" outlineLevel="0" collapsed="false">
      <c r="A169" s="6" t="n">
        <v>164</v>
      </c>
      <c r="B169" s="5" t="s">
        <v>72</v>
      </c>
      <c r="C169" s="5" t="s">
        <v>25</v>
      </c>
      <c r="D169" s="11" t="n">
        <v>43616</v>
      </c>
      <c r="E169" s="11" t="n">
        <v>43643</v>
      </c>
      <c r="F169" s="5" t="s">
        <v>75</v>
      </c>
      <c r="G169" s="12" t="n">
        <v>508725.44011327</v>
      </c>
      <c r="H169" s="13" t="n">
        <v>66.45</v>
      </c>
      <c r="I169" s="13" t="n">
        <v>66.19</v>
      </c>
      <c r="J169" s="5" t="s">
        <v>74</v>
      </c>
      <c r="K169" s="8" t="n">
        <v>50.0180850308044</v>
      </c>
      <c r="L169" s="8" t="n">
        <v>-29488.9311157947</v>
      </c>
      <c r="M169" s="8" t="n">
        <f aca="false">M168+L169</f>
        <v>991004.783082878</v>
      </c>
      <c r="N169" s="5" t="str">
        <f aca="false">IF(L169&gt;0,"прибыль",IF(L169&lt;0,"убыток","ноль"))</f>
        <v>убыток</v>
      </c>
      <c r="O169" s="6" t="n">
        <f aca="false">IF(L169&lt;0,O168+1,0)</f>
        <v>1</v>
      </c>
      <c r="P169" s="6" t="n">
        <v>18</v>
      </c>
    </row>
    <row r="170" customFormat="false" ht="15" hidden="false" customHeight="false" outlineLevel="0" collapsed="false">
      <c r="A170" s="6" t="n">
        <v>165</v>
      </c>
      <c r="B170" s="5" t="s">
        <v>72</v>
      </c>
      <c r="C170" s="5" t="s">
        <v>25</v>
      </c>
      <c r="D170" s="11" t="n">
        <v>43643</v>
      </c>
      <c r="E170" s="11" t="n">
        <v>43647</v>
      </c>
      <c r="F170" s="5" t="s">
        <v>73</v>
      </c>
      <c r="G170" s="12" t="n">
        <v>462197.347472055</v>
      </c>
      <c r="H170" s="13" t="n">
        <v>66.19</v>
      </c>
      <c r="I170" s="13" t="n">
        <v>66.52</v>
      </c>
      <c r="K170" s="8" t="n">
        <v>50.9128388346805</v>
      </c>
      <c r="L170" s="8" t="n">
        <v>1117.47910714044</v>
      </c>
      <c r="M170" s="8" t="n">
        <f aca="false">M169+L170</f>
        <v>992122.262190018</v>
      </c>
      <c r="N170" s="5" t="str">
        <f aca="false">IF(L170&gt;0,"прибыль",IF(L170&lt;0,"убыток","ноль"))</f>
        <v>прибыль</v>
      </c>
      <c r="O170" s="6" t="n">
        <f aca="false">IF(L170&lt;0,O169+1,0)</f>
        <v>0</v>
      </c>
      <c r="P170" s="6" t="n">
        <v>2</v>
      </c>
    </row>
    <row r="171" customFormat="false" ht="15" hidden="false" customHeight="false" outlineLevel="0" collapsed="false">
      <c r="A171" s="6" t="n">
        <v>166</v>
      </c>
      <c r="B171" s="5" t="s">
        <v>72</v>
      </c>
      <c r="C171" s="5" t="s">
        <v>25</v>
      </c>
      <c r="D171" s="11" t="n">
        <v>43647</v>
      </c>
      <c r="E171" s="11" t="n">
        <v>43657</v>
      </c>
      <c r="F171" s="5" t="s">
        <v>75</v>
      </c>
      <c r="G171" s="12" t="n">
        <v>554891.037275579</v>
      </c>
      <c r="H171" s="13" t="n">
        <v>66.52</v>
      </c>
      <c r="I171" s="13" t="n">
        <v>66.7</v>
      </c>
      <c r="J171" s="5" t="s">
        <v>74</v>
      </c>
      <c r="K171" s="8" t="n">
        <v>54.7815962123143</v>
      </c>
      <c r="L171" s="8" t="n">
        <v>-14670.7246954499</v>
      </c>
      <c r="M171" s="8" t="n">
        <f aca="false">M170+L171</f>
        <v>977451.537494569</v>
      </c>
      <c r="N171" s="5" t="str">
        <f aca="false">IF(L171&gt;0,"прибыль",IF(L171&lt;0,"убыток","ноль"))</f>
        <v>убыток</v>
      </c>
      <c r="O171" s="6" t="n">
        <f aca="false">IF(L171&lt;0,O170+1,0)</f>
        <v>1</v>
      </c>
      <c r="P171" s="6" t="n">
        <v>8</v>
      </c>
    </row>
    <row r="172" customFormat="false" ht="15" hidden="false" customHeight="false" outlineLevel="0" collapsed="false">
      <c r="A172" s="6" t="n">
        <v>167</v>
      </c>
      <c r="B172" s="5" t="s">
        <v>72</v>
      </c>
      <c r="C172" s="5" t="s">
        <v>25</v>
      </c>
      <c r="D172" s="11" t="n">
        <v>43657</v>
      </c>
      <c r="E172" s="11" t="n">
        <v>43661</v>
      </c>
      <c r="F172" s="5" t="s">
        <v>73</v>
      </c>
      <c r="G172" s="12" t="n">
        <v>526124.943871469</v>
      </c>
      <c r="H172" s="13" t="n">
        <v>66.7</v>
      </c>
      <c r="I172" s="13" t="n">
        <v>66.83</v>
      </c>
      <c r="K172" s="8" t="n">
        <v>53.2548088921604</v>
      </c>
      <c r="L172" s="8" t="n">
        <v>-265.401892594261</v>
      </c>
      <c r="M172" s="8" t="n">
        <f aca="false">M171+L172</f>
        <v>977186.135601974</v>
      </c>
      <c r="N172" s="5" t="str">
        <f aca="false">IF(L172&gt;0,"прибыль",IF(L172&lt;0,"убыток","ноль"))</f>
        <v>убыток</v>
      </c>
      <c r="O172" s="6" t="n">
        <f aca="false">IF(L172&lt;0,O171+1,0)</f>
        <v>2</v>
      </c>
      <c r="P172" s="6" t="n">
        <v>2</v>
      </c>
    </row>
    <row r="173" customFormat="false" ht="15" hidden="false" customHeight="false" outlineLevel="0" collapsed="false">
      <c r="A173" s="6" t="n">
        <v>168</v>
      </c>
      <c r="B173" s="5" t="s">
        <v>72</v>
      </c>
      <c r="C173" s="5" t="s">
        <v>25</v>
      </c>
      <c r="D173" s="11" t="n">
        <v>43661</v>
      </c>
      <c r="E173" s="11" t="n">
        <v>43668</v>
      </c>
      <c r="F173" s="5" t="s">
        <v>75</v>
      </c>
      <c r="G173" s="12" t="n">
        <v>539183.381055442</v>
      </c>
      <c r="H173" s="13" t="n">
        <v>66.83</v>
      </c>
      <c r="I173" s="13" t="n">
        <v>63.03</v>
      </c>
      <c r="K173" s="8" t="n">
        <v>54.1263344724848</v>
      </c>
      <c r="L173" s="8" t="n">
        <v>29444.2248450234</v>
      </c>
      <c r="M173" s="8" t="n">
        <f aca="false">M172+L173</f>
        <v>1006630.360447</v>
      </c>
      <c r="N173" s="5" t="str">
        <f aca="false">IF(L173&gt;0,"прибыль",IF(L173&lt;0,"убыток","ноль"))</f>
        <v>прибыль</v>
      </c>
      <c r="O173" s="6" t="n">
        <f aca="false">IF(L173&lt;0,O172+1,0)</f>
        <v>0</v>
      </c>
      <c r="P173" s="6" t="n">
        <v>5</v>
      </c>
    </row>
    <row r="174" customFormat="false" ht="15" hidden="false" customHeight="false" outlineLevel="0" collapsed="false">
      <c r="A174" s="6" t="n">
        <v>169</v>
      </c>
      <c r="B174" s="5" t="s">
        <v>72</v>
      </c>
      <c r="C174" s="5" t="s">
        <v>25</v>
      </c>
      <c r="D174" s="11" t="n">
        <v>43668</v>
      </c>
      <c r="E174" s="11" t="n">
        <v>43669</v>
      </c>
      <c r="F174" s="5" t="s">
        <v>73</v>
      </c>
      <c r="G174" s="12" t="n">
        <v>572841.65957375</v>
      </c>
      <c r="H174" s="13" t="n">
        <v>63.03</v>
      </c>
      <c r="I174" s="13" t="n">
        <v>63.42</v>
      </c>
      <c r="K174" s="8" t="n">
        <v>57.4048003358984</v>
      </c>
      <c r="L174" s="8" t="n">
        <v>2203.92890381877</v>
      </c>
      <c r="M174" s="8" t="n">
        <f aca="false">M173+L174</f>
        <v>1008834.28935082</v>
      </c>
      <c r="N174" s="5" t="str">
        <f aca="false">IF(L174&gt;0,"прибыль",IF(L174&lt;0,"убыток","ноль"))</f>
        <v>прибыль</v>
      </c>
      <c r="O174" s="6" t="n">
        <f aca="false">IF(L174&lt;0,O173+1,0)</f>
        <v>0</v>
      </c>
      <c r="P174" s="6" t="n">
        <v>1</v>
      </c>
    </row>
    <row r="175" customFormat="false" ht="15" hidden="false" customHeight="false" outlineLevel="0" collapsed="false">
      <c r="A175" s="6" t="n">
        <v>170</v>
      </c>
      <c r="B175" s="5" t="s">
        <v>72</v>
      </c>
      <c r="C175" s="5" t="s">
        <v>25</v>
      </c>
      <c r="D175" s="11" t="n">
        <v>43669</v>
      </c>
      <c r="E175" s="11" t="n">
        <v>43670</v>
      </c>
      <c r="F175" s="5" t="s">
        <v>75</v>
      </c>
      <c r="G175" s="12" t="n">
        <v>9.17785185366502E-011</v>
      </c>
      <c r="H175" s="13" t="n">
        <v>63.42</v>
      </c>
      <c r="I175" s="13" t="n">
        <v>64.22</v>
      </c>
      <c r="K175" s="8" t="n">
        <v>4.65712938793822E-015</v>
      </c>
      <c r="L175" s="8" t="n">
        <v>-1.36872635150205E-012</v>
      </c>
      <c r="M175" s="8" t="n">
        <f aca="false">M174+L175</f>
        <v>1008834.28935082</v>
      </c>
      <c r="N175" s="5" t="str">
        <f aca="false">IF(L175&gt;0,"прибыль",IF(L175&lt;0,"убыток","ноль"))</f>
        <v>убыток</v>
      </c>
      <c r="O175" s="6" t="n">
        <f aca="false">IF(L175&lt;0,O174+1,0)</f>
        <v>1</v>
      </c>
      <c r="P175" s="6" t="n">
        <v>1</v>
      </c>
    </row>
    <row r="176" customFormat="false" ht="15" hidden="false" customHeight="false" outlineLevel="0" collapsed="false">
      <c r="A176" s="6" t="n">
        <v>171</v>
      </c>
      <c r="B176" s="5" t="s">
        <v>72</v>
      </c>
      <c r="C176" s="5" t="s">
        <v>25</v>
      </c>
      <c r="D176" s="11" t="n">
        <v>43670</v>
      </c>
      <c r="E176" s="11" t="n">
        <v>43675</v>
      </c>
      <c r="F176" s="5" t="s">
        <v>75</v>
      </c>
      <c r="G176" s="12" t="n">
        <v>572993.013440063</v>
      </c>
      <c r="H176" s="13" t="n">
        <v>64.22</v>
      </c>
      <c r="I176" s="13" t="n">
        <v>63.31</v>
      </c>
      <c r="K176" s="8" t="n">
        <v>56.8659923090847</v>
      </c>
      <c r="L176" s="8" t="n">
        <v>-345.562566146972</v>
      </c>
      <c r="M176" s="8" t="n">
        <f aca="false">M175+L176</f>
        <v>1008488.72678467</v>
      </c>
      <c r="N176" s="5" t="str">
        <f aca="false">IF(L176&gt;0,"прибыль",IF(L176&lt;0,"убыток","ноль"))</f>
        <v>убыток</v>
      </c>
      <c r="O176" s="6" t="n">
        <f aca="false">IF(L176&lt;0,O175+1,0)</f>
        <v>2</v>
      </c>
      <c r="P176" s="6" t="n">
        <v>3</v>
      </c>
    </row>
    <row r="177" customFormat="false" ht="15" hidden="false" customHeight="false" outlineLevel="0" collapsed="false">
      <c r="A177" s="6" t="n">
        <v>172</v>
      </c>
      <c r="B177" s="5" t="s">
        <v>72</v>
      </c>
      <c r="C177" s="5" t="s">
        <v>25</v>
      </c>
      <c r="D177" s="11" t="n">
        <v>43675</v>
      </c>
      <c r="E177" s="11" t="n">
        <v>43676</v>
      </c>
      <c r="F177" s="5" t="s">
        <v>73</v>
      </c>
      <c r="G177" s="12" t="n">
        <v>9.18247601892218E-011</v>
      </c>
      <c r="H177" s="13" t="n">
        <v>63.31</v>
      </c>
      <c r="I177" s="13" t="n">
        <v>63.92</v>
      </c>
      <c r="K177" s="8" t="n">
        <v>4.62501545681601E-015</v>
      </c>
      <c r="L177" s="8" t="n">
        <v>6.70923931641482E-013</v>
      </c>
      <c r="M177" s="8" t="n">
        <f aca="false">M176+L177</f>
        <v>1008488.72678467</v>
      </c>
      <c r="N177" s="5" t="str">
        <f aca="false">IF(L177&gt;0,"прибыль",IF(L177&lt;0,"убыток","ноль"))</f>
        <v>прибыль</v>
      </c>
      <c r="O177" s="6" t="n">
        <f aca="false">IF(L177&lt;0,O176+1,0)</f>
        <v>0</v>
      </c>
      <c r="P177" s="6" t="n">
        <v>1</v>
      </c>
    </row>
    <row r="178" customFormat="false" ht="15" hidden="false" customHeight="false" outlineLevel="0" collapsed="false">
      <c r="A178" s="6" t="n">
        <v>173</v>
      </c>
      <c r="B178" s="5" t="s">
        <v>72</v>
      </c>
      <c r="C178" s="5" t="s">
        <v>25</v>
      </c>
      <c r="D178" s="11" t="n">
        <v>43676</v>
      </c>
      <c r="E178" s="11" t="n">
        <v>43691</v>
      </c>
      <c r="F178" s="5" t="s">
        <v>73</v>
      </c>
      <c r="G178" s="12" t="n">
        <v>156551.816575245</v>
      </c>
      <c r="H178" s="13" t="n">
        <v>63.92</v>
      </c>
      <c r="I178" s="13" t="n">
        <v>60.95</v>
      </c>
      <c r="J178" s="5" t="s">
        <v>74</v>
      </c>
      <c r="K178" s="8" t="n">
        <v>16.5231262394918</v>
      </c>
      <c r="L178" s="8" t="n">
        <v>4948.48378831707</v>
      </c>
      <c r="M178" s="8" t="n">
        <f aca="false">M177+L178</f>
        <v>1013437.21057299</v>
      </c>
      <c r="N178" s="5" t="str">
        <f aca="false">IF(L178&gt;0,"прибыль",IF(L178&lt;0,"убыток","ноль"))</f>
        <v>прибыль</v>
      </c>
      <c r="O178" s="6" t="n">
        <f aca="false">IF(L178&lt;0,O177+1,0)</f>
        <v>0</v>
      </c>
      <c r="P178" s="6" t="n">
        <v>11</v>
      </c>
    </row>
    <row r="179" customFormat="false" ht="15" hidden="false" customHeight="false" outlineLevel="0" collapsed="false">
      <c r="A179" s="6" t="n">
        <v>174</v>
      </c>
      <c r="B179" s="5" t="s">
        <v>72</v>
      </c>
      <c r="C179" s="5" t="s">
        <v>25</v>
      </c>
      <c r="D179" s="11" t="n">
        <v>43691</v>
      </c>
      <c r="E179" s="11" t="n">
        <v>43693</v>
      </c>
      <c r="F179" s="5" t="s">
        <v>73</v>
      </c>
      <c r="G179" s="12" t="n">
        <v>576432.020892582</v>
      </c>
      <c r="H179" s="13" t="n">
        <v>60.95</v>
      </c>
      <c r="I179" s="13" t="n">
        <v>58.38</v>
      </c>
      <c r="K179" s="8" t="n">
        <v>56.0812384249469</v>
      </c>
      <c r="L179" s="8" t="n">
        <v>-6886.74659337334</v>
      </c>
      <c r="M179" s="8" t="n">
        <f aca="false">M178+L179</f>
        <v>1006550.46397961</v>
      </c>
      <c r="N179" s="5" t="str">
        <f aca="false">IF(L179&gt;0,"прибыль",IF(L179&lt;0,"убыток","ноль"))</f>
        <v>убыток</v>
      </c>
      <c r="O179" s="6" t="n">
        <f aca="false">IF(L179&lt;0,O178+1,0)</f>
        <v>1</v>
      </c>
      <c r="P179" s="6" t="n">
        <v>2</v>
      </c>
    </row>
    <row r="180" customFormat="false" ht="15" hidden="false" customHeight="false" outlineLevel="0" collapsed="false">
      <c r="A180" s="6" t="n">
        <v>175</v>
      </c>
      <c r="B180" s="5" t="s">
        <v>72</v>
      </c>
      <c r="C180" s="5" t="s">
        <v>25</v>
      </c>
      <c r="D180" s="11" t="n">
        <v>43693</v>
      </c>
      <c r="E180" s="11" t="n">
        <v>43697</v>
      </c>
      <c r="F180" s="5" t="s">
        <v>75</v>
      </c>
      <c r="G180" s="12" t="n">
        <v>552023.412961305</v>
      </c>
      <c r="H180" s="13" t="n">
        <v>58.38</v>
      </c>
      <c r="I180" s="13" t="n">
        <v>59.81</v>
      </c>
      <c r="K180" s="8" t="n">
        <v>55.2329767575855</v>
      </c>
      <c r="L180" s="8" t="n">
        <v>-14886.0227404972</v>
      </c>
      <c r="M180" s="8" t="n">
        <f aca="false">M179+L180</f>
        <v>991664.441239116</v>
      </c>
      <c r="N180" s="5" t="str">
        <f aca="false">IF(L180&gt;0,"прибыль",IF(L180&lt;0,"убыток","ноль"))</f>
        <v>убыток</v>
      </c>
      <c r="O180" s="6" t="n">
        <f aca="false">IF(L180&lt;0,O179+1,0)</f>
        <v>2</v>
      </c>
      <c r="P180" s="6" t="n">
        <v>2</v>
      </c>
    </row>
    <row r="181" customFormat="false" ht="15" hidden="false" customHeight="false" outlineLevel="0" collapsed="false">
      <c r="A181" s="6" t="n">
        <v>176</v>
      </c>
      <c r="B181" s="5" t="s">
        <v>72</v>
      </c>
      <c r="C181" s="5" t="s">
        <v>25</v>
      </c>
      <c r="D181" s="11" t="n">
        <v>43697</v>
      </c>
      <c r="E181" s="11" t="n">
        <v>43698</v>
      </c>
      <c r="F181" s="5" t="s">
        <v>73</v>
      </c>
      <c r="G181" s="12" t="n">
        <v>537805.332426665</v>
      </c>
      <c r="H181" s="13" t="n">
        <v>59.81</v>
      </c>
      <c r="I181" s="13" t="n">
        <v>60.15</v>
      </c>
      <c r="K181" s="8" t="n">
        <v>54.1866938527209</v>
      </c>
      <c r="L181" s="8" t="n">
        <v>1747.3346112041</v>
      </c>
      <c r="M181" s="8" t="n">
        <f aca="false">M180+L181</f>
        <v>993411.77585032</v>
      </c>
      <c r="N181" s="5" t="str">
        <f aca="false">IF(L181&gt;0,"прибыль",IF(L181&lt;0,"убыток","ноль"))</f>
        <v>прибыль</v>
      </c>
      <c r="O181" s="6" t="n">
        <f aca="false">IF(L181&lt;0,O180+1,0)</f>
        <v>0</v>
      </c>
      <c r="P181" s="6" t="n">
        <v>1</v>
      </c>
    </row>
    <row r="182" customFormat="false" ht="15" hidden="false" customHeight="false" outlineLevel="0" collapsed="false">
      <c r="A182" s="6" t="n">
        <v>177</v>
      </c>
      <c r="B182" s="5" t="s">
        <v>72</v>
      </c>
      <c r="C182" s="5" t="s">
        <v>25</v>
      </c>
      <c r="D182" s="11" t="n">
        <v>43698</v>
      </c>
      <c r="E182" s="11" t="n">
        <v>43699</v>
      </c>
      <c r="F182" s="5" t="s">
        <v>75</v>
      </c>
      <c r="G182" s="12" t="n">
        <v>9.27922701597805E-011</v>
      </c>
      <c r="H182" s="13" t="n">
        <v>60.15</v>
      </c>
      <c r="I182" s="13" t="n">
        <v>60.39</v>
      </c>
      <c r="K182" s="8" t="n">
        <v>4.66879892656925E-015</v>
      </c>
      <c r="L182" s="8" t="n">
        <v>-5.88377170531108E-013</v>
      </c>
      <c r="M182" s="8" t="n">
        <f aca="false">M181+L182</f>
        <v>993411.77585032</v>
      </c>
      <c r="N182" s="5" t="str">
        <f aca="false">IF(L182&gt;0,"прибыль",IF(L182&lt;0,"убыток","ноль"))</f>
        <v>убыток</v>
      </c>
      <c r="O182" s="6" t="n">
        <f aca="false">IF(L182&lt;0,O181+1,0)</f>
        <v>1</v>
      </c>
      <c r="P182" s="6" t="n">
        <v>1</v>
      </c>
    </row>
    <row r="183" customFormat="false" ht="15" hidden="false" customHeight="false" outlineLevel="0" collapsed="false">
      <c r="A183" s="6" t="n">
        <v>178</v>
      </c>
      <c r="B183" s="5" t="s">
        <v>72</v>
      </c>
      <c r="C183" s="5" t="s">
        <v>25</v>
      </c>
      <c r="D183" s="11" t="n">
        <v>43699</v>
      </c>
      <c r="E183" s="11" t="n">
        <v>43705</v>
      </c>
      <c r="F183" s="5" t="s">
        <v>75</v>
      </c>
      <c r="G183" s="12" t="n">
        <v>544127.023322695</v>
      </c>
      <c r="H183" s="13" t="n">
        <v>60.39</v>
      </c>
      <c r="I183" s="13" t="n">
        <v>59.98</v>
      </c>
      <c r="K183" s="8" t="n">
        <v>54.6493822696422</v>
      </c>
      <c r="L183" s="8" t="n">
        <v>230.203290468365</v>
      </c>
      <c r="M183" s="8" t="n">
        <f aca="false">M182+L183</f>
        <v>993641.979140788</v>
      </c>
      <c r="N183" s="5" t="str">
        <f aca="false">IF(L183&gt;0,"прибыль",IF(L183&lt;0,"убыток","ноль"))</f>
        <v>прибыль</v>
      </c>
      <c r="O183" s="6" t="n">
        <f aca="false">IF(L183&lt;0,O182+1,0)</f>
        <v>0</v>
      </c>
      <c r="P183" s="6" t="n">
        <v>4</v>
      </c>
    </row>
    <row r="184" customFormat="false" ht="15" hidden="false" customHeight="false" outlineLevel="0" collapsed="false">
      <c r="A184" s="6" t="n">
        <v>179</v>
      </c>
      <c r="B184" s="5" t="s">
        <v>72</v>
      </c>
      <c r="C184" s="5" t="s">
        <v>25</v>
      </c>
      <c r="D184" s="11" t="n">
        <v>43705</v>
      </c>
      <c r="E184" s="11" t="n">
        <v>43710</v>
      </c>
      <c r="F184" s="5" t="s">
        <v>73</v>
      </c>
      <c r="G184" s="12" t="n">
        <v>549145.474742888</v>
      </c>
      <c r="H184" s="13" t="n">
        <v>59.98</v>
      </c>
      <c r="I184" s="13" t="n">
        <v>60.43</v>
      </c>
      <c r="K184" s="8" t="n">
        <v>54.4270643310986</v>
      </c>
      <c r="L184" s="8" t="n">
        <v>2784.55670062052</v>
      </c>
      <c r="M184" s="8" t="n">
        <f aca="false">M183+L184</f>
        <v>996426.535841409</v>
      </c>
      <c r="N184" s="5" t="str">
        <f aca="false">IF(L184&gt;0,"прибыль",IF(L184&lt;0,"убыток","ноль"))</f>
        <v>прибыль</v>
      </c>
      <c r="O184" s="6" t="n">
        <f aca="false">IF(L184&lt;0,O183+1,0)</f>
        <v>0</v>
      </c>
      <c r="P184" s="6" t="n">
        <v>3</v>
      </c>
    </row>
    <row r="185" customFormat="false" ht="15" hidden="false" customHeight="false" outlineLevel="0" collapsed="false">
      <c r="A185" s="6" t="n">
        <v>180</v>
      </c>
      <c r="B185" s="5" t="s">
        <v>72</v>
      </c>
      <c r="C185" s="5" t="s">
        <v>25</v>
      </c>
      <c r="D185" s="11" t="n">
        <v>43710</v>
      </c>
      <c r="E185" s="11" t="n">
        <v>43711</v>
      </c>
      <c r="F185" s="5" t="s">
        <v>75</v>
      </c>
      <c r="G185" s="12" t="n">
        <v>536556.828114132</v>
      </c>
      <c r="H185" s="13" t="n">
        <v>60.43</v>
      </c>
      <c r="I185" s="13" t="n">
        <v>58.64</v>
      </c>
      <c r="J185" s="5" t="s">
        <v>74</v>
      </c>
      <c r="K185" s="8" t="n">
        <v>54.9441413417702</v>
      </c>
      <c r="L185" s="8" t="n">
        <v>-1023.12130205915</v>
      </c>
      <c r="M185" s="8" t="n">
        <f aca="false">M184+L185</f>
        <v>995403.41453935</v>
      </c>
      <c r="N185" s="5" t="str">
        <f aca="false">IF(L185&gt;0,"прибыль",IF(L185&lt;0,"убыток","ноль"))</f>
        <v>убыток</v>
      </c>
      <c r="O185" s="6" t="n">
        <f aca="false">IF(L185&lt;0,O184+1,0)</f>
        <v>1</v>
      </c>
      <c r="P185" s="6" t="n">
        <v>1</v>
      </c>
    </row>
    <row r="186" customFormat="false" ht="15" hidden="false" customHeight="false" outlineLevel="0" collapsed="false">
      <c r="A186" s="6" t="n">
        <v>181</v>
      </c>
      <c r="B186" s="5" t="s">
        <v>72</v>
      </c>
      <c r="C186" s="5" t="s">
        <v>25</v>
      </c>
      <c r="D186" s="11" t="n">
        <v>43711</v>
      </c>
      <c r="E186" s="11" t="n">
        <v>43712</v>
      </c>
      <c r="F186" s="5" t="s">
        <v>73</v>
      </c>
      <c r="G186" s="12" t="n">
        <v>561357.821560554</v>
      </c>
      <c r="H186" s="13" t="n">
        <v>58.64</v>
      </c>
      <c r="I186" s="13" t="n">
        <v>58.34</v>
      </c>
      <c r="K186" s="8" t="n">
        <v>56.9350201635283</v>
      </c>
      <c r="L186" s="8" t="n">
        <v>-4174.22678757761</v>
      </c>
      <c r="M186" s="8" t="n">
        <f aca="false">M185+L186</f>
        <v>991229.187751772</v>
      </c>
      <c r="N186" s="5" t="str">
        <f aca="false">IF(L186&gt;0,"прибыль",IF(L186&lt;0,"убыток","ноль"))</f>
        <v>убыток</v>
      </c>
      <c r="O186" s="6" t="n">
        <f aca="false">IF(L186&lt;0,O185+1,0)</f>
        <v>2</v>
      </c>
      <c r="P186" s="6" t="n">
        <v>1</v>
      </c>
    </row>
    <row r="187" customFormat="false" ht="15" hidden="false" customHeight="false" outlineLevel="0" collapsed="false">
      <c r="A187" s="6" t="n">
        <v>182</v>
      </c>
      <c r="B187" s="5" t="s">
        <v>72</v>
      </c>
      <c r="C187" s="5" t="s">
        <v>25</v>
      </c>
      <c r="D187" s="11" t="n">
        <v>43712</v>
      </c>
      <c r="E187" s="11" t="n">
        <v>43714</v>
      </c>
      <c r="F187" s="5" t="s">
        <v>75</v>
      </c>
      <c r="G187" s="12" t="n">
        <v>581459.873477425</v>
      </c>
      <c r="H187" s="13" t="n">
        <v>58.34</v>
      </c>
      <c r="I187" s="13" t="n">
        <v>60.77</v>
      </c>
      <c r="K187" s="8" t="n">
        <v>57.9396254005867</v>
      </c>
      <c r="L187" s="8" t="n">
        <v>-25639.5792670938</v>
      </c>
      <c r="M187" s="8" t="n">
        <f aca="false">M186+L187</f>
        <v>965589.608484678</v>
      </c>
      <c r="N187" s="5" t="str">
        <f aca="false">IF(L187&gt;0,"прибыль",IF(L187&lt;0,"убыток","ноль"))</f>
        <v>убыток</v>
      </c>
      <c r="O187" s="6" t="n">
        <f aca="false">IF(L187&lt;0,O186+1,0)</f>
        <v>3</v>
      </c>
      <c r="P187" s="6" t="n">
        <v>2</v>
      </c>
    </row>
    <row r="188" customFormat="false" ht="15" hidden="false" customHeight="false" outlineLevel="0" collapsed="false">
      <c r="A188" s="6" t="n">
        <v>183</v>
      </c>
      <c r="B188" s="5" t="s">
        <v>72</v>
      </c>
      <c r="C188" s="5" t="s">
        <v>25</v>
      </c>
      <c r="D188" s="11" t="n">
        <v>43714</v>
      </c>
      <c r="E188" s="11" t="n">
        <v>43725</v>
      </c>
      <c r="F188" s="5" t="s">
        <v>73</v>
      </c>
      <c r="G188" s="12" t="n">
        <v>287028.325784868</v>
      </c>
      <c r="H188" s="13" t="n">
        <v>60.77</v>
      </c>
      <c r="I188" s="13" t="n">
        <v>67.95</v>
      </c>
      <c r="K188" s="8" t="n">
        <v>15.9985763907979</v>
      </c>
      <c r="L188" s="8" t="n">
        <v>32927.203454698</v>
      </c>
      <c r="M188" s="8" t="n">
        <f aca="false">M187+L188</f>
        <v>998516.811939376</v>
      </c>
      <c r="N188" s="5" t="str">
        <f aca="false">IF(L188&gt;0,"прибыль",IF(L188&lt;0,"убыток","ноль"))</f>
        <v>прибыль</v>
      </c>
      <c r="O188" s="6" t="n">
        <f aca="false">IF(L188&lt;0,O187+1,0)</f>
        <v>0</v>
      </c>
      <c r="P188" s="6" t="n">
        <v>7</v>
      </c>
    </row>
    <row r="189" customFormat="false" ht="15" hidden="false" customHeight="false" outlineLevel="0" collapsed="false">
      <c r="A189" s="6" t="n">
        <v>184</v>
      </c>
      <c r="B189" s="5" t="s">
        <v>72</v>
      </c>
      <c r="C189" s="5" t="s">
        <v>25</v>
      </c>
      <c r="D189" s="11" t="n">
        <v>43725</v>
      </c>
      <c r="E189" s="11" t="n">
        <v>43776</v>
      </c>
      <c r="F189" s="5" t="s">
        <v>73</v>
      </c>
      <c r="G189" s="12" t="n">
        <v>628719.555234795</v>
      </c>
      <c r="H189" s="13" t="n">
        <v>67.95</v>
      </c>
      <c r="I189" s="13" t="n">
        <v>61.94</v>
      </c>
      <c r="J189" s="5" t="s">
        <v>74</v>
      </c>
      <c r="K189" s="8" t="n">
        <v>84.9352445554482</v>
      </c>
      <c r="L189" s="8" t="n">
        <v>12308.856689964</v>
      </c>
      <c r="M189" s="8" t="n">
        <f aca="false">M188+L189</f>
        <v>1010825.66862934</v>
      </c>
      <c r="N189" s="5" t="str">
        <f aca="false">IF(L189&gt;0,"прибыль",IF(L189&lt;0,"убыток","ноль"))</f>
        <v>прибыль</v>
      </c>
      <c r="O189" s="6" t="n">
        <f aca="false">IF(L189&lt;0,O188+1,0)</f>
        <v>0</v>
      </c>
      <c r="P189" s="6" t="n">
        <v>36</v>
      </c>
    </row>
    <row r="190" customFormat="false" ht="15" hidden="false" customHeight="false" outlineLevel="0" collapsed="false">
      <c r="A190" s="6" t="n">
        <v>185</v>
      </c>
      <c r="B190" s="5" t="s">
        <v>72</v>
      </c>
      <c r="C190" s="5" t="s">
        <v>25</v>
      </c>
      <c r="D190" s="11" t="n">
        <v>43776</v>
      </c>
      <c r="E190" s="11" t="n">
        <v>43777</v>
      </c>
      <c r="F190" s="5" t="s">
        <v>75</v>
      </c>
      <c r="G190" s="12" t="n">
        <v>693594.657812599</v>
      </c>
      <c r="H190" s="13" t="n">
        <v>61.94</v>
      </c>
      <c r="I190" s="13" t="n">
        <v>62.12</v>
      </c>
      <c r="K190" s="8" t="n">
        <v>69.5713159075944</v>
      </c>
      <c r="L190" s="8" t="n">
        <v>-3438.18793393704</v>
      </c>
      <c r="M190" s="8" t="n">
        <f aca="false">M189+L190</f>
        <v>1007387.4806954</v>
      </c>
      <c r="N190" s="5" t="str">
        <f aca="false">IF(L190&gt;0,"прибыль",IF(L190&lt;0,"убыток","ноль"))</f>
        <v>убыток</v>
      </c>
      <c r="O190" s="6" t="n">
        <f aca="false">IF(L190&lt;0,O189+1,0)</f>
        <v>1</v>
      </c>
      <c r="P190" s="6" t="n">
        <v>1</v>
      </c>
    </row>
    <row r="191" customFormat="false" ht="15" hidden="false" customHeight="false" outlineLevel="0" collapsed="false">
      <c r="A191" s="6" t="n">
        <v>186</v>
      </c>
      <c r="B191" s="5" t="s">
        <v>72</v>
      </c>
      <c r="C191" s="5" t="s">
        <v>25</v>
      </c>
      <c r="D191" s="11" t="n">
        <v>43777</v>
      </c>
      <c r="E191" s="11" t="n">
        <v>43782</v>
      </c>
      <c r="F191" s="5" t="s">
        <v>73</v>
      </c>
      <c r="G191" s="12" t="n">
        <v>694463.04372126</v>
      </c>
      <c r="H191" s="13" t="n">
        <v>62.12</v>
      </c>
      <c r="I191" s="13" t="n">
        <v>62.05</v>
      </c>
      <c r="K191" s="8" t="n">
        <v>77.4355625601753</v>
      </c>
      <c r="L191" s="8" t="n">
        <v>-2118.1240334283</v>
      </c>
      <c r="M191" s="8" t="n">
        <f aca="false">M190+L191</f>
        <v>1005269.35666198</v>
      </c>
      <c r="N191" s="5" t="str">
        <f aca="false">IF(L191&gt;0,"прибыль",IF(L191&lt;0,"убыток","ноль"))</f>
        <v>убыток</v>
      </c>
      <c r="O191" s="6" t="n">
        <f aca="false">IF(L191&lt;0,O190+1,0)</f>
        <v>2</v>
      </c>
      <c r="P191" s="6" t="n">
        <v>3</v>
      </c>
    </row>
    <row r="192" customFormat="false" ht="15" hidden="false" customHeight="false" outlineLevel="0" collapsed="false">
      <c r="A192" s="6" t="n">
        <v>187</v>
      </c>
      <c r="B192" s="5" t="s">
        <v>72</v>
      </c>
      <c r="C192" s="5" t="s">
        <v>25</v>
      </c>
      <c r="D192" s="11" t="n">
        <v>43782</v>
      </c>
      <c r="E192" s="11" t="n">
        <v>43790</v>
      </c>
      <c r="F192" s="5" t="s">
        <v>75</v>
      </c>
      <c r="G192" s="12" t="n">
        <v>856288.895953114</v>
      </c>
      <c r="H192" s="13" t="n">
        <v>62.05</v>
      </c>
      <c r="I192" s="13" t="n">
        <v>62.45</v>
      </c>
      <c r="K192" s="8" t="n">
        <v>77.6120976076411</v>
      </c>
      <c r="L192" s="8" t="n">
        <v>-7168.41446300017</v>
      </c>
      <c r="M192" s="8" t="n">
        <f aca="false">M191+L192</f>
        <v>998100.942198975</v>
      </c>
      <c r="N192" s="5" t="str">
        <f aca="false">IF(L192&gt;0,"прибыль",IF(L192&lt;0,"убыток","ноль"))</f>
        <v>убыток</v>
      </c>
      <c r="O192" s="6" t="n">
        <f aca="false">IF(L192&lt;0,O191+1,0)</f>
        <v>3</v>
      </c>
      <c r="P192" s="6" t="n">
        <v>6</v>
      </c>
    </row>
    <row r="193" customFormat="false" ht="15" hidden="false" customHeight="false" outlineLevel="0" collapsed="false">
      <c r="A193" s="6" t="n">
        <v>188</v>
      </c>
      <c r="B193" s="5" t="s">
        <v>72</v>
      </c>
      <c r="C193" s="5" t="s">
        <v>25</v>
      </c>
      <c r="D193" s="11" t="n">
        <v>43790</v>
      </c>
      <c r="E193" s="11" t="n">
        <v>43839</v>
      </c>
      <c r="F193" s="5" t="s">
        <v>73</v>
      </c>
      <c r="G193" s="12" t="n">
        <v>252842.862198785</v>
      </c>
      <c r="H193" s="13" t="n">
        <v>62.45</v>
      </c>
      <c r="I193" s="13" t="n">
        <v>66.07</v>
      </c>
      <c r="J193" s="5" t="s">
        <v>74</v>
      </c>
      <c r="K193" s="8" t="n">
        <v>28.029175466023</v>
      </c>
      <c r="L193" s="8" t="n">
        <v>18997.2304364176</v>
      </c>
      <c r="M193" s="8" t="n">
        <f aca="false">M192+L193</f>
        <v>1017098.17263539</v>
      </c>
      <c r="N193" s="5" t="str">
        <f aca="false">IF(L193&gt;0,"прибыль",IF(L193&lt;0,"убыток","ноль"))</f>
        <v>прибыль</v>
      </c>
      <c r="O193" s="6" t="n">
        <f aca="false">IF(L193&lt;0,O192+1,0)</f>
        <v>0</v>
      </c>
      <c r="P193" s="6" t="n">
        <v>31</v>
      </c>
    </row>
    <row r="194" customFormat="false" ht="15" hidden="false" customHeight="false" outlineLevel="0" collapsed="false">
      <c r="A194" s="6" t="n">
        <v>189</v>
      </c>
      <c r="B194" s="5" t="s">
        <v>72</v>
      </c>
      <c r="C194" s="5" t="s">
        <v>25</v>
      </c>
      <c r="D194" s="11" t="n">
        <v>43839</v>
      </c>
      <c r="E194" s="11" t="n">
        <v>43858</v>
      </c>
      <c r="F194" s="5" t="s">
        <v>73</v>
      </c>
      <c r="G194" s="12" t="n">
        <v>724734.779145322</v>
      </c>
      <c r="H194" s="13" t="n">
        <v>66.07</v>
      </c>
      <c r="I194" s="13" t="n">
        <v>59.04</v>
      </c>
      <c r="K194" s="8" t="n">
        <v>66.3451889319447</v>
      </c>
      <c r="L194" s="8" t="n">
        <v>-28547.7244724971</v>
      </c>
      <c r="M194" s="8" t="n">
        <f aca="false">M193+L194</f>
        <v>988550.448162896</v>
      </c>
      <c r="N194" s="5" t="str">
        <f aca="false">IF(L194&gt;0,"прибыль",IF(L194&lt;0,"убыток","ноль"))</f>
        <v>убыток</v>
      </c>
      <c r="O194" s="6" t="n">
        <f aca="false">IF(L194&lt;0,O193+1,0)</f>
        <v>1</v>
      </c>
      <c r="P194" s="6" t="n">
        <v>13</v>
      </c>
    </row>
    <row r="195" customFormat="false" ht="15" hidden="false" customHeight="false" outlineLevel="0" collapsed="false">
      <c r="A195" s="6" t="n">
        <v>190</v>
      </c>
      <c r="B195" s="5" t="s">
        <v>72</v>
      </c>
      <c r="C195" s="5" t="s">
        <v>25</v>
      </c>
      <c r="D195" s="11" t="n">
        <v>43858</v>
      </c>
      <c r="E195" s="11" t="n">
        <v>43874</v>
      </c>
      <c r="F195" s="5" t="s">
        <v>75</v>
      </c>
      <c r="G195" s="12" t="n">
        <v>246802.096002751</v>
      </c>
      <c r="H195" s="13" t="n">
        <v>59.04</v>
      </c>
      <c r="I195" s="13" t="n">
        <v>56.12</v>
      </c>
      <c r="J195" s="5" t="s">
        <v>74</v>
      </c>
      <c r="K195" s="8" t="n">
        <v>20.2015746654123</v>
      </c>
      <c r="L195" s="8" t="n">
        <v>-6108.80726836065</v>
      </c>
      <c r="M195" s="8" t="n">
        <f aca="false">M194+L195</f>
        <v>982441.640894535</v>
      </c>
      <c r="N195" s="5" t="str">
        <f aca="false">IF(L195&gt;0,"прибыль",IF(L195&lt;0,"убыток","ноль"))</f>
        <v>убыток</v>
      </c>
      <c r="O195" s="6" t="n">
        <f aca="false">IF(L195&lt;0,O194+1,0)</f>
        <v>2</v>
      </c>
      <c r="P195" s="6" t="n">
        <v>12</v>
      </c>
    </row>
    <row r="196" customFormat="false" ht="15" hidden="false" customHeight="false" outlineLevel="0" collapsed="false">
      <c r="A196" s="6" t="n">
        <v>191</v>
      </c>
      <c r="B196" s="5" t="s">
        <v>72</v>
      </c>
      <c r="C196" s="5" t="s">
        <v>25</v>
      </c>
      <c r="D196" s="11" t="n">
        <v>43874</v>
      </c>
      <c r="E196" s="11" t="n">
        <v>43900</v>
      </c>
      <c r="F196" s="5" t="s">
        <v>75</v>
      </c>
      <c r="G196" s="12" t="n">
        <v>139454.066622325</v>
      </c>
      <c r="H196" s="13" t="n">
        <v>56.12</v>
      </c>
      <c r="I196" s="13" t="n">
        <v>45.2</v>
      </c>
      <c r="J196" s="5" t="s">
        <v>74</v>
      </c>
      <c r="K196" s="8" t="n">
        <v>5.53128073456929</v>
      </c>
      <c r="L196" s="8" t="n">
        <v>28822.9206502046</v>
      </c>
      <c r="M196" s="8" t="n">
        <f aca="false">M195+L196</f>
        <v>1011264.56154474</v>
      </c>
      <c r="N196" s="5" t="str">
        <f aca="false">IF(L196&gt;0,"прибыль",IF(L196&lt;0,"убыток","ноль"))</f>
        <v>прибыль</v>
      </c>
      <c r="O196" s="6" t="n">
        <f aca="false">IF(L196&lt;0,O195+1,0)</f>
        <v>0</v>
      </c>
      <c r="P196" s="6" t="n">
        <v>16</v>
      </c>
    </row>
    <row r="197" customFormat="false" ht="15" hidden="false" customHeight="false" outlineLevel="0" collapsed="false">
      <c r="A197" s="6" t="n">
        <v>192</v>
      </c>
      <c r="B197" s="5" t="s">
        <v>72</v>
      </c>
      <c r="C197" s="5" t="s">
        <v>25</v>
      </c>
      <c r="D197" s="11" t="n">
        <v>43900</v>
      </c>
      <c r="E197" s="11" t="n">
        <v>43901</v>
      </c>
      <c r="F197" s="5" t="s">
        <v>75</v>
      </c>
      <c r="G197" s="12" t="n">
        <v>85740.0479930009</v>
      </c>
      <c r="H197" s="13" t="n">
        <v>45.2</v>
      </c>
      <c r="I197" s="13" t="n">
        <v>37.8</v>
      </c>
      <c r="K197" s="8" t="n">
        <v>2.84625452666972</v>
      </c>
      <c r="L197" s="8" t="n">
        <v>28812.1112050798</v>
      </c>
      <c r="M197" s="8" t="n">
        <f aca="false">M196+L197</f>
        <v>1040076.67274982</v>
      </c>
      <c r="N197" s="5" t="str">
        <f aca="false">IF(L197&gt;0,"прибыль",IF(L197&lt;0,"убыток","ноль"))</f>
        <v>прибыль</v>
      </c>
      <c r="O197" s="6" t="n">
        <f aca="false">IF(L197&lt;0,O196+1,0)</f>
        <v>0</v>
      </c>
      <c r="P197" s="6" t="n">
        <v>1</v>
      </c>
    </row>
    <row r="198" customFormat="false" ht="15" hidden="false" customHeight="false" outlineLevel="0" collapsed="false">
      <c r="A198" s="6" t="n">
        <v>193</v>
      </c>
      <c r="B198" s="5" t="s">
        <v>72</v>
      </c>
      <c r="C198" s="5" t="s">
        <v>25</v>
      </c>
      <c r="D198" s="11" t="n">
        <v>43901</v>
      </c>
      <c r="E198" s="11" t="n">
        <v>43924</v>
      </c>
      <c r="F198" s="5" t="s">
        <v>75</v>
      </c>
      <c r="G198" s="12" t="n">
        <v>96203.1259616775</v>
      </c>
      <c r="H198" s="13" t="n">
        <v>37.8</v>
      </c>
      <c r="I198" s="13" t="n">
        <v>29.72</v>
      </c>
      <c r="J198" s="5" t="s">
        <v>74</v>
      </c>
      <c r="K198" s="8" t="n">
        <v>3.97010784532463</v>
      </c>
      <c r="L198" s="8" t="n">
        <v>46055.3840592882</v>
      </c>
      <c r="M198" s="8" t="n">
        <f aca="false">M197+L198</f>
        <v>1086132.05680911</v>
      </c>
      <c r="N198" s="5" t="str">
        <f aca="false">IF(L198&gt;0,"прибыль",IF(L198&lt;0,"убыток","ноль"))</f>
        <v>прибыль</v>
      </c>
      <c r="O198" s="6" t="n">
        <f aca="false">IF(L198&lt;0,O197+1,0)</f>
        <v>0</v>
      </c>
      <c r="P198" s="6" t="n">
        <v>17</v>
      </c>
    </row>
    <row r="199" customFormat="false" ht="15" hidden="false" customHeight="false" outlineLevel="0" collapsed="false">
      <c r="A199" s="6" t="n">
        <v>194</v>
      </c>
      <c r="B199" s="5" t="s">
        <v>72</v>
      </c>
      <c r="C199" s="5" t="s">
        <v>25</v>
      </c>
      <c r="D199" s="11" t="n">
        <v>43924</v>
      </c>
      <c r="E199" s="11" t="n">
        <v>43927</v>
      </c>
      <c r="F199" s="5" t="s">
        <v>75</v>
      </c>
      <c r="G199" s="12" t="n">
        <v>73803.1658050693</v>
      </c>
      <c r="H199" s="13" t="n">
        <v>29.72</v>
      </c>
      <c r="I199" s="13" t="n">
        <v>35.12</v>
      </c>
      <c r="K199" s="8" t="n">
        <v>2.27461035619624</v>
      </c>
      <c r="L199" s="8" t="n">
        <v>28308.6840707884</v>
      </c>
      <c r="M199" s="8" t="n">
        <f aca="false">M198+L199</f>
        <v>1114440.7408799</v>
      </c>
      <c r="N199" s="5" t="str">
        <f aca="false">IF(L199&gt;0,"прибыль",IF(L199&lt;0,"убыток","ноль"))</f>
        <v>прибыль</v>
      </c>
      <c r="O199" s="6" t="n">
        <f aca="false">IF(L199&lt;0,O198+1,0)</f>
        <v>0</v>
      </c>
      <c r="P199" s="6" t="n">
        <v>1</v>
      </c>
    </row>
    <row r="200" customFormat="false" ht="15" hidden="false" customHeight="false" outlineLevel="0" collapsed="false">
      <c r="A200" s="6" t="n">
        <v>195</v>
      </c>
      <c r="B200" s="5" t="s">
        <v>72</v>
      </c>
      <c r="C200" s="5" t="s">
        <v>25</v>
      </c>
      <c r="D200" s="11" t="n">
        <v>43927</v>
      </c>
      <c r="E200" s="11" t="n">
        <v>43970</v>
      </c>
      <c r="F200" s="5" t="s">
        <v>75</v>
      </c>
      <c r="G200" s="12" t="n">
        <v>57445.142467153</v>
      </c>
      <c r="H200" s="13" t="n">
        <v>35.12</v>
      </c>
      <c r="I200" s="13" t="n">
        <v>35.45</v>
      </c>
      <c r="J200" s="5" t="s">
        <v>74</v>
      </c>
      <c r="K200" s="8" t="n">
        <v>4.52321437082187</v>
      </c>
      <c r="L200" s="8" t="n">
        <v>18231.7597504911</v>
      </c>
      <c r="M200" s="8" t="n">
        <f aca="false">M199+L200</f>
        <v>1132672.50063039</v>
      </c>
      <c r="N200" s="5" t="str">
        <f aca="false">IF(L200&gt;0,"прибыль",IF(L200&lt;0,"убыток","ноль"))</f>
        <v>прибыль</v>
      </c>
      <c r="O200" s="6" t="n">
        <f aca="false">IF(L200&lt;0,O199+1,0)</f>
        <v>0</v>
      </c>
      <c r="P200" s="6" t="n">
        <v>29</v>
      </c>
    </row>
    <row r="201" customFormat="false" ht="15" hidden="false" customHeight="false" outlineLevel="0" collapsed="false">
      <c r="A201" s="6" t="n">
        <v>196</v>
      </c>
      <c r="B201" s="5" t="s">
        <v>72</v>
      </c>
      <c r="C201" s="5" t="s">
        <v>25</v>
      </c>
      <c r="D201" s="11" t="n">
        <v>43970</v>
      </c>
      <c r="E201" s="11" t="n">
        <v>43971</v>
      </c>
      <c r="F201" s="5" t="s">
        <v>75</v>
      </c>
      <c r="G201" s="12" t="n">
        <v>162857.338563055</v>
      </c>
      <c r="H201" s="13" t="n">
        <v>35.45</v>
      </c>
      <c r="I201" s="13" t="n">
        <v>34.68</v>
      </c>
      <c r="K201" s="8" t="n">
        <v>10.9824976834026</v>
      </c>
      <c r="L201" s="8" t="n">
        <v>54101.8462181124</v>
      </c>
      <c r="M201" s="8" t="n">
        <f aca="false">M200+L201</f>
        <v>1186774.3468485</v>
      </c>
      <c r="N201" s="5" t="str">
        <f aca="false">IF(L201&gt;0,"прибыль",IF(L201&lt;0,"убыток","ноль"))</f>
        <v>прибыль</v>
      </c>
      <c r="O201" s="6" t="n">
        <f aca="false">IF(L201&lt;0,O200+1,0)</f>
        <v>0</v>
      </c>
      <c r="P201" s="6" t="n">
        <v>1</v>
      </c>
    </row>
    <row r="202" customFormat="false" ht="15" hidden="false" customHeight="false" outlineLevel="0" collapsed="false">
      <c r="A202" s="6" t="n">
        <v>197</v>
      </c>
      <c r="B202" s="5" t="s">
        <v>72</v>
      </c>
      <c r="C202" s="5" t="s">
        <v>25</v>
      </c>
      <c r="D202" s="11" t="n">
        <v>43971</v>
      </c>
      <c r="E202" s="11" t="n">
        <v>43985</v>
      </c>
      <c r="F202" s="5" t="s">
        <v>73</v>
      </c>
      <c r="G202" s="12" t="n">
        <v>202182.152716248</v>
      </c>
      <c r="H202" s="13" t="n">
        <v>34.68</v>
      </c>
      <c r="I202" s="13" t="n">
        <v>39.71</v>
      </c>
      <c r="J202" s="5" t="s">
        <v>74</v>
      </c>
      <c r="K202" s="8" t="n">
        <v>25.0370304589297</v>
      </c>
      <c r="L202" s="8" t="n">
        <v>5169.20758330552</v>
      </c>
      <c r="M202" s="8" t="n">
        <f aca="false">M201+L202</f>
        <v>1191943.5544318</v>
      </c>
      <c r="N202" s="5" t="str">
        <f aca="false">IF(L202&gt;0,"прибыль",IF(L202&lt;0,"убыток","ноль"))</f>
        <v>прибыль</v>
      </c>
      <c r="O202" s="6" t="n">
        <f aca="false">IF(L202&lt;0,O201+1,0)</f>
        <v>0</v>
      </c>
      <c r="P202" s="6" t="n">
        <v>10</v>
      </c>
    </row>
    <row r="203" customFormat="false" ht="15" hidden="false" customHeight="false" outlineLevel="0" collapsed="false">
      <c r="A203" s="6" t="n">
        <v>198</v>
      </c>
      <c r="B203" s="5" t="s">
        <v>72</v>
      </c>
      <c r="C203" s="5" t="s">
        <v>25</v>
      </c>
      <c r="D203" s="11" t="n">
        <v>43985</v>
      </c>
      <c r="E203" s="11" t="n">
        <v>43987</v>
      </c>
      <c r="F203" s="5" t="s">
        <v>75</v>
      </c>
      <c r="G203" s="12" t="n">
        <v>202087.502953126</v>
      </c>
      <c r="H203" s="13" t="n">
        <v>39.71</v>
      </c>
      <c r="I203" s="13" t="n">
        <v>40.08</v>
      </c>
      <c r="K203" s="8" t="n">
        <v>23.0117339054521</v>
      </c>
      <c r="L203" s="8" t="n">
        <v>-2874.26266119952</v>
      </c>
      <c r="M203" s="8" t="n">
        <f aca="false">M202+L203</f>
        <v>1189069.29177061</v>
      </c>
      <c r="N203" s="5" t="str">
        <f aca="false">IF(L203&gt;0,"прибыль",IF(L203&lt;0,"убыток","ноль"))</f>
        <v>убыток</v>
      </c>
      <c r="O203" s="6" t="n">
        <f aca="false">IF(L203&lt;0,O202+1,0)</f>
        <v>1</v>
      </c>
      <c r="P203" s="6" t="n">
        <v>2</v>
      </c>
    </row>
    <row r="204" customFormat="false" ht="15" hidden="false" customHeight="false" outlineLevel="0" collapsed="false">
      <c r="A204" s="6" t="n">
        <v>199</v>
      </c>
      <c r="B204" s="5" t="s">
        <v>72</v>
      </c>
      <c r="C204" s="5" t="s">
        <v>25</v>
      </c>
      <c r="D204" s="11" t="n">
        <v>43987</v>
      </c>
      <c r="E204" s="11" t="n">
        <v>43990</v>
      </c>
      <c r="F204" s="5" t="s">
        <v>73</v>
      </c>
      <c r="G204" s="12" t="n">
        <v>5.0190595062779E-011</v>
      </c>
      <c r="H204" s="13" t="n">
        <v>40.08</v>
      </c>
      <c r="I204" s="13" t="n">
        <v>42</v>
      </c>
      <c r="K204" s="8" t="n">
        <v>2.61851864206489E-015</v>
      </c>
      <c r="L204" s="8" t="n">
        <v>2.17715925987666E-012</v>
      </c>
      <c r="M204" s="8" t="n">
        <f aca="false">M203+L204</f>
        <v>1189069.29177061</v>
      </c>
      <c r="N204" s="5" t="str">
        <f aca="false">IF(L204&gt;0,"прибыль",IF(L204&lt;0,"убыток","ноль"))</f>
        <v>прибыль</v>
      </c>
      <c r="O204" s="6" t="n">
        <f aca="false">IF(L204&lt;0,O203+1,0)</f>
        <v>0</v>
      </c>
      <c r="P204" s="6" t="n">
        <v>1</v>
      </c>
    </row>
    <row r="205" customFormat="false" ht="15" hidden="false" customHeight="false" outlineLevel="0" collapsed="false">
      <c r="A205" s="6" t="n">
        <v>200</v>
      </c>
      <c r="B205" s="5" t="s">
        <v>72</v>
      </c>
      <c r="C205" s="5" t="s">
        <v>25</v>
      </c>
      <c r="D205" s="11" t="n">
        <v>43990</v>
      </c>
      <c r="E205" s="11" t="n">
        <v>44077</v>
      </c>
      <c r="F205" s="5" t="s">
        <v>73</v>
      </c>
      <c r="G205" s="12" t="n">
        <v>858567.859246826</v>
      </c>
      <c r="H205" s="13" t="n">
        <v>42</v>
      </c>
      <c r="I205" s="13" t="n">
        <v>44.35</v>
      </c>
      <c r="J205" s="5" t="s">
        <v>74</v>
      </c>
      <c r="K205" s="8" t="n">
        <v>111.785534703945</v>
      </c>
      <c r="L205" s="8" t="n">
        <v>10450.3674670881</v>
      </c>
      <c r="M205" s="8" t="n">
        <f aca="false">M204+L205</f>
        <v>1199519.65923769</v>
      </c>
      <c r="N205" s="5" t="str">
        <f aca="false">IF(L205&gt;0,"прибыль",IF(L205&lt;0,"убыток","ноль"))</f>
        <v>прибыль</v>
      </c>
      <c r="O205" s="6" t="n">
        <f aca="false">IF(L205&lt;0,O204+1,0)</f>
        <v>0</v>
      </c>
      <c r="P205" s="6" t="n">
        <v>60</v>
      </c>
    </row>
    <row r="206" customFormat="false" ht="15" hidden="false" customHeight="false" outlineLevel="0" collapsed="false">
      <c r="A206" s="6" t="n">
        <v>201</v>
      </c>
      <c r="B206" s="5" t="s">
        <v>72</v>
      </c>
      <c r="C206" s="5" t="s">
        <v>25</v>
      </c>
      <c r="D206" s="11" t="n">
        <v>44077</v>
      </c>
      <c r="E206" s="11" t="n">
        <v>44078</v>
      </c>
      <c r="F206" s="5" t="s">
        <v>75</v>
      </c>
      <c r="G206" s="12" t="n">
        <v>763308.746812082</v>
      </c>
      <c r="H206" s="13" t="n">
        <v>44.35</v>
      </c>
      <c r="I206" s="13" t="n">
        <v>44.03</v>
      </c>
      <c r="K206" s="8" t="n">
        <v>75.826277602949</v>
      </c>
      <c r="L206" s="8" t="n">
        <v>4048.00398947854</v>
      </c>
      <c r="M206" s="8" t="n">
        <f aca="false">M205+L206</f>
        <v>1203567.66322717</v>
      </c>
      <c r="N206" s="5" t="str">
        <f aca="false">IF(L206&gt;0,"прибыль",IF(L206&lt;0,"убыток","ноль"))</f>
        <v>прибыль</v>
      </c>
      <c r="O206" s="6" t="n">
        <f aca="false">IF(L206&lt;0,O205+1,0)</f>
        <v>0</v>
      </c>
      <c r="P206" s="6" t="n">
        <v>1</v>
      </c>
    </row>
    <row r="207" customFormat="false" ht="15" hidden="false" customHeight="false" outlineLevel="0" collapsed="false">
      <c r="A207" s="6" t="n">
        <v>202</v>
      </c>
      <c r="B207" s="5" t="s">
        <v>72</v>
      </c>
      <c r="C207" s="5" t="s">
        <v>25</v>
      </c>
      <c r="D207" s="11" t="n">
        <v>44078</v>
      </c>
      <c r="E207" s="11" t="n">
        <v>44081</v>
      </c>
      <c r="F207" s="5" t="s">
        <v>73</v>
      </c>
      <c r="G207" s="12" t="n">
        <v>757340.635513979</v>
      </c>
      <c r="H207" s="13" t="n">
        <v>44.03</v>
      </c>
      <c r="I207" s="13" t="n">
        <v>42.34</v>
      </c>
      <c r="K207" s="8" t="n">
        <v>67.9114637398665</v>
      </c>
      <c r="L207" s="8" t="n">
        <v>-30558.3221198162</v>
      </c>
      <c r="M207" s="8" t="n">
        <f aca="false">M206+L207</f>
        <v>1173009.34110736</v>
      </c>
      <c r="N207" s="5" t="str">
        <f aca="false">IF(L207&gt;0,"прибыль",IF(L207&lt;0,"убыток","ноль"))</f>
        <v>убыток</v>
      </c>
      <c r="O207" s="6" t="n">
        <f aca="false">IF(L207&lt;0,O206+1,0)</f>
        <v>1</v>
      </c>
      <c r="P207" s="6" t="n">
        <v>1</v>
      </c>
    </row>
    <row r="208" customFormat="false" ht="15" hidden="false" customHeight="false" outlineLevel="0" collapsed="false">
      <c r="A208" s="6" t="n">
        <v>203</v>
      </c>
      <c r="B208" s="5" t="s">
        <v>72</v>
      </c>
      <c r="C208" s="5" t="s">
        <v>25</v>
      </c>
      <c r="D208" s="11" t="n">
        <v>44081</v>
      </c>
      <c r="E208" s="11" t="n">
        <v>44090</v>
      </c>
      <c r="F208" s="5" t="s">
        <v>75</v>
      </c>
      <c r="G208" s="12" t="n">
        <v>144487.837478682</v>
      </c>
      <c r="H208" s="13" t="n">
        <v>42.34</v>
      </c>
      <c r="I208" s="13" t="n">
        <v>40.76</v>
      </c>
      <c r="K208" s="8" t="n">
        <v>6.97103923564066</v>
      </c>
      <c r="L208" s="8" t="n">
        <v>5060.08172663282</v>
      </c>
      <c r="M208" s="8" t="n">
        <f aca="false">M207+L208</f>
        <v>1178069.42283399</v>
      </c>
      <c r="N208" s="5" t="str">
        <f aca="false">IF(L208&gt;0,"прибыль",IF(L208&lt;0,"убыток","ноль"))</f>
        <v>прибыль</v>
      </c>
      <c r="O208" s="6" t="n">
        <f aca="false">IF(L208&lt;0,O207+1,0)</f>
        <v>0</v>
      </c>
      <c r="P208" s="6" t="n">
        <v>7</v>
      </c>
    </row>
    <row r="209" customFormat="false" ht="15" hidden="false" customHeight="false" outlineLevel="0" collapsed="false">
      <c r="A209" s="6" t="n">
        <v>204</v>
      </c>
      <c r="B209" s="5" t="s">
        <v>72</v>
      </c>
      <c r="C209" s="5" t="s">
        <v>25</v>
      </c>
      <c r="D209" s="11" t="n">
        <v>44090</v>
      </c>
      <c r="E209" s="11" t="n">
        <v>44110</v>
      </c>
      <c r="F209" s="5" t="s">
        <v>75</v>
      </c>
      <c r="G209" s="12" t="n">
        <v>146752.532643655</v>
      </c>
      <c r="H209" s="13" t="n">
        <v>40.76</v>
      </c>
      <c r="I209" s="13" t="n">
        <v>41.6</v>
      </c>
      <c r="J209" s="5" t="s">
        <v>74</v>
      </c>
      <c r="K209" s="8" t="n">
        <v>7.25385400732382</v>
      </c>
      <c r="L209" s="8" t="n">
        <v>1668.19864317147</v>
      </c>
      <c r="M209" s="8" t="n">
        <f aca="false">M208+L209</f>
        <v>1179737.62147716</v>
      </c>
      <c r="N209" s="5" t="str">
        <f aca="false">IF(L209&gt;0,"прибыль",IF(L209&lt;0,"убыток","ноль"))</f>
        <v>прибыль</v>
      </c>
      <c r="O209" s="6" t="n">
        <f aca="false">IF(L209&lt;0,O208+1,0)</f>
        <v>0</v>
      </c>
      <c r="P209" s="6" t="n">
        <v>14</v>
      </c>
    </row>
    <row r="210" customFormat="false" ht="15" hidden="false" customHeight="false" outlineLevel="0" collapsed="false">
      <c r="A210" s="6" t="n">
        <v>205</v>
      </c>
      <c r="B210" s="5" t="s">
        <v>72</v>
      </c>
      <c r="C210" s="5" t="s">
        <v>25</v>
      </c>
      <c r="D210" s="11" t="n">
        <v>44110</v>
      </c>
      <c r="E210" s="11" t="n">
        <v>44145</v>
      </c>
      <c r="F210" s="5" t="s">
        <v>75</v>
      </c>
      <c r="G210" s="12" t="n">
        <v>505306.321907881</v>
      </c>
      <c r="H210" s="13" t="n">
        <v>41.6</v>
      </c>
      <c r="I210" s="13" t="n">
        <v>42.29</v>
      </c>
      <c r="J210" s="5" t="s">
        <v>74</v>
      </c>
      <c r="K210" s="8" t="n">
        <v>51.48500422462</v>
      </c>
      <c r="L210" s="8" t="n">
        <v>7573.02590612735</v>
      </c>
      <c r="M210" s="8" t="n">
        <f aca="false">M209+L210</f>
        <v>1187310.64738329</v>
      </c>
      <c r="N210" s="5" t="str">
        <f aca="false">IF(L210&gt;0,"прибыль",IF(L210&lt;0,"убыток","ноль"))</f>
        <v>прибыль</v>
      </c>
      <c r="O210" s="6" t="n">
        <f aca="false">IF(L210&lt;0,O209+1,0)</f>
        <v>0</v>
      </c>
      <c r="P210" s="6" t="n">
        <v>24</v>
      </c>
    </row>
    <row r="211" customFormat="false" ht="15" hidden="false" customHeight="false" outlineLevel="0" collapsed="false">
      <c r="A211" s="6" t="n">
        <v>206</v>
      </c>
      <c r="B211" s="5" t="s">
        <v>72</v>
      </c>
      <c r="C211" s="5" t="s">
        <v>25</v>
      </c>
      <c r="D211" s="11" t="n">
        <v>44145</v>
      </c>
      <c r="E211" s="11" t="n">
        <v>44146</v>
      </c>
      <c r="F211" s="5" t="s">
        <v>73</v>
      </c>
      <c r="G211" s="12" t="n">
        <v>4.8662335576963E-011</v>
      </c>
      <c r="H211" s="13" t="n">
        <v>42.29</v>
      </c>
      <c r="I211" s="13" t="n">
        <v>43.65</v>
      </c>
      <c r="K211" s="8" t="n">
        <v>2.50342008956281E-015</v>
      </c>
      <c r="L211" s="8" t="n">
        <v>1.4035627942036E-012</v>
      </c>
      <c r="M211" s="8" t="n">
        <f aca="false">M210+L211</f>
        <v>1187310.64738329</v>
      </c>
      <c r="N211" s="5" t="str">
        <f aca="false">IF(L211&gt;0,"прибыль",IF(L211&lt;0,"убыток","ноль"))</f>
        <v>прибыль</v>
      </c>
      <c r="O211" s="6" t="n">
        <f aca="false">IF(L211&lt;0,O210+1,0)</f>
        <v>0</v>
      </c>
      <c r="P211" s="6" t="n">
        <v>1</v>
      </c>
    </row>
    <row r="212" customFormat="false" ht="15" hidden="false" customHeight="false" outlineLevel="0" collapsed="false">
      <c r="A212" s="6" t="n">
        <v>207</v>
      </c>
      <c r="B212" s="5" t="s">
        <v>72</v>
      </c>
      <c r="C212" s="5" t="s">
        <v>25</v>
      </c>
      <c r="D212" s="11" t="n">
        <v>44146</v>
      </c>
      <c r="E212" s="11" t="n">
        <v>44148</v>
      </c>
      <c r="F212" s="5" t="s">
        <v>73</v>
      </c>
      <c r="G212" s="12" t="n">
        <v>366850.63140408</v>
      </c>
      <c r="H212" s="13" t="n">
        <v>43.65</v>
      </c>
      <c r="I212" s="13" t="n">
        <v>43.35</v>
      </c>
      <c r="K212" s="8" t="n">
        <v>37.2432247756277</v>
      </c>
      <c r="L212" s="8" t="n">
        <v>7983.04640013721</v>
      </c>
      <c r="M212" s="8" t="n">
        <f aca="false">M211+L212</f>
        <v>1195293.69378342</v>
      </c>
      <c r="N212" s="5" t="str">
        <f aca="false">IF(L212&gt;0,"прибыль",IF(L212&lt;0,"убыток","ноль"))</f>
        <v>прибыль</v>
      </c>
      <c r="O212" s="6" t="n">
        <f aca="false">IF(L212&lt;0,O211+1,0)</f>
        <v>0</v>
      </c>
      <c r="P212" s="6" t="n">
        <v>2</v>
      </c>
    </row>
    <row r="213" customFormat="false" ht="15" hidden="false" customHeight="false" outlineLevel="0" collapsed="false">
      <c r="A213" s="6" t="n">
        <v>208</v>
      </c>
      <c r="B213" s="5" t="s">
        <v>72</v>
      </c>
      <c r="C213" s="5" t="s">
        <v>25</v>
      </c>
      <c r="D213" s="11" t="n">
        <v>44148</v>
      </c>
      <c r="E213" s="11" t="n">
        <v>44153</v>
      </c>
      <c r="F213" s="5" t="s">
        <v>75</v>
      </c>
      <c r="G213" s="12" t="n">
        <v>369993.574483561</v>
      </c>
      <c r="H213" s="13" t="n">
        <v>43.35</v>
      </c>
      <c r="I213" s="13" t="n">
        <v>43.78</v>
      </c>
      <c r="K213" s="8" t="n">
        <v>36.5842884763099</v>
      </c>
      <c r="L213" s="8" t="n">
        <v>-4890.18835691155</v>
      </c>
      <c r="M213" s="8" t="n">
        <f aca="false">M212+L213</f>
        <v>1190403.50542651</v>
      </c>
      <c r="N213" s="5" t="str">
        <f aca="false">IF(L213&gt;0,"прибыль",IF(L213&lt;0,"убыток","ноль"))</f>
        <v>убыток</v>
      </c>
      <c r="O213" s="6" t="n">
        <f aca="false">IF(L213&lt;0,O212+1,0)</f>
        <v>1</v>
      </c>
      <c r="P213" s="6" t="n">
        <v>3</v>
      </c>
    </row>
    <row r="214" customFormat="false" ht="15" hidden="false" customHeight="false" outlineLevel="0" collapsed="false">
      <c r="A214" s="6" t="n">
        <v>209</v>
      </c>
      <c r="B214" s="5" t="s">
        <v>72</v>
      </c>
      <c r="C214" s="5" t="s">
        <v>25</v>
      </c>
      <c r="D214" s="11" t="n">
        <v>44153</v>
      </c>
      <c r="E214" s="11" t="n">
        <v>44202</v>
      </c>
      <c r="F214" s="5" t="s">
        <v>73</v>
      </c>
      <c r="G214" s="12" t="n">
        <v>218697.006430306</v>
      </c>
      <c r="H214" s="13" t="n">
        <v>43.78</v>
      </c>
      <c r="I214" s="13" t="n">
        <v>53.65</v>
      </c>
      <c r="J214" s="5" t="s">
        <v>74</v>
      </c>
      <c r="K214" s="8" t="n">
        <v>28.0555701780821</v>
      </c>
      <c r="L214" s="8" t="n">
        <v>33068.002423457</v>
      </c>
      <c r="M214" s="8" t="n">
        <f aca="false">M213+L214</f>
        <v>1223471.50784997</v>
      </c>
      <c r="N214" s="5" t="str">
        <f aca="false">IF(L214&gt;0,"прибыль",IF(L214&lt;0,"убыток","ноль"))</f>
        <v>прибыль</v>
      </c>
      <c r="O214" s="6" t="n">
        <f aca="false">IF(L214&lt;0,O213+1,0)</f>
        <v>0</v>
      </c>
      <c r="P214" s="6" t="n">
        <v>33</v>
      </c>
    </row>
    <row r="215" customFormat="false" ht="15" hidden="false" customHeight="false" outlineLevel="0" collapsed="false">
      <c r="A215" s="6" t="n">
        <v>210</v>
      </c>
      <c r="B215" s="5" t="s">
        <v>76</v>
      </c>
      <c r="C215" s="5" t="s">
        <v>25</v>
      </c>
      <c r="D215" s="11" t="n">
        <v>44202</v>
      </c>
      <c r="E215" s="11" t="n">
        <v>44252</v>
      </c>
      <c r="F215" s="5" t="s">
        <v>73</v>
      </c>
      <c r="G215" s="12" t="n">
        <v>129648.354820563</v>
      </c>
      <c r="H215" s="13" t="n">
        <v>53.65</v>
      </c>
      <c r="I215" s="13" t="n">
        <v>67.09</v>
      </c>
      <c r="J215" s="5" t="s">
        <v>74</v>
      </c>
      <c r="K215" s="8" t="n">
        <v>17.0833829089177</v>
      </c>
      <c r="L215" s="8" t="n">
        <v>44598.1694377272</v>
      </c>
      <c r="M215" s="8" t="n">
        <f aca="false">M214+L215</f>
        <v>1268069.6772877</v>
      </c>
      <c r="N215" s="5" t="str">
        <f aca="false">IF(L215&gt;0,"прибыль",IF(L215&lt;0,"убыток","ноль"))</f>
        <v>прибыль</v>
      </c>
      <c r="O215" s="6" t="n">
        <f aca="false">IF(L215&lt;0,O214+1,0)</f>
        <v>0</v>
      </c>
      <c r="P215" s="6" t="n">
        <v>35</v>
      </c>
    </row>
    <row r="216" customFormat="false" ht="15" hidden="false" customHeight="false" outlineLevel="0" collapsed="false">
      <c r="A216" s="6" t="n">
        <v>211</v>
      </c>
      <c r="B216" s="5" t="s">
        <v>76</v>
      </c>
      <c r="C216" s="5" t="s">
        <v>25</v>
      </c>
      <c r="D216" s="11" t="n">
        <v>44252</v>
      </c>
      <c r="E216" s="11" t="n">
        <v>44260</v>
      </c>
      <c r="F216" s="5" t="s">
        <v>73</v>
      </c>
      <c r="G216" s="12" t="n">
        <v>123608.918460379</v>
      </c>
      <c r="H216" s="13" t="n">
        <v>67.09</v>
      </c>
      <c r="I216" s="13" t="n">
        <v>67.19</v>
      </c>
      <c r="J216" s="5" t="s">
        <v>74</v>
      </c>
      <c r="K216" s="8" t="n">
        <v>8.66477455069088</v>
      </c>
      <c r="L216" s="8" t="n">
        <v>49677.907778888</v>
      </c>
      <c r="M216" s="8" t="n">
        <f aca="false">M215+L216</f>
        <v>1317747.58506659</v>
      </c>
      <c r="N216" s="5" t="str">
        <f aca="false">IF(L216&gt;0,"прибыль",IF(L216&lt;0,"убыток","ноль"))</f>
        <v>прибыль</v>
      </c>
      <c r="O216" s="6" t="n">
        <f aca="false">IF(L216&lt;0,O215+1,0)</f>
        <v>0</v>
      </c>
      <c r="P216" s="6" t="n">
        <v>6</v>
      </c>
    </row>
    <row r="217" customFormat="false" ht="15" hidden="false" customHeight="false" outlineLevel="0" collapsed="false">
      <c r="A217" s="6" t="n">
        <v>212</v>
      </c>
      <c r="B217" s="5" t="s">
        <v>76</v>
      </c>
      <c r="C217" s="5" t="s">
        <v>25</v>
      </c>
      <c r="D217" s="11" t="n">
        <v>44260</v>
      </c>
      <c r="E217" s="11" t="n">
        <v>44274</v>
      </c>
      <c r="F217" s="5" t="s">
        <v>73</v>
      </c>
      <c r="G217" s="12" t="n">
        <v>108481.850311875</v>
      </c>
      <c r="H217" s="13" t="n">
        <v>67.19</v>
      </c>
      <c r="I217" s="13" t="n">
        <v>62.87</v>
      </c>
      <c r="K217" s="8" t="n">
        <v>7.11201134154901</v>
      </c>
      <c r="L217" s="8" t="n">
        <v>33751.2645077633</v>
      </c>
      <c r="M217" s="8" t="n">
        <f aca="false">M216+L217</f>
        <v>1351498.84957435</v>
      </c>
      <c r="N217" s="5" t="str">
        <f aca="false">IF(L217&gt;0,"прибыль",IF(L217&lt;0,"убыток","ноль"))</f>
        <v>прибыль</v>
      </c>
      <c r="O217" s="6" t="n">
        <f aca="false">IF(L217&lt;0,O216+1,0)</f>
        <v>0</v>
      </c>
      <c r="P217" s="6" t="n">
        <v>9</v>
      </c>
    </row>
    <row r="218" customFormat="false" ht="15" hidden="false" customHeight="false" outlineLevel="0" collapsed="false">
      <c r="A218" s="6" t="n">
        <v>213</v>
      </c>
      <c r="B218" s="5" t="s">
        <v>76</v>
      </c>
      <c r="C218" s="5" t="s">
        <v>25</v>
      </c>
      <c r="D218" s="11" t="n">
        <v>44274</v>
      </c>
      <c r="E218" s="11" t="n">
        <v>44284</v>
      </c>
      <c r="F218" s="5" t="s">
        <v>73</v>
      </c>
      <c r="G218" s="12" t="n">
        <v>59317.6713120208</v>
      </c>
      <c r="H218" s="13" t="n">
        <v>62.87</v>
      </c>
      <c r="I218" s="13" t="n">
        <v>64.4</v>
      </c>
      <c r="K218" s="8" t="n">
        <v>3.98194146958893</v>
      </c>
      <c r="L218" s="8" t="n">
        <v>20317.1761382883</v>
      </c>
      <c r="M218" s="8" t="n">
        <f aca="false">M217+L218</f>
        <v>1371816.02571264</v>
      </c>
      <c r="N218" s="5" t="str">
        <f aca="false">IF(L218&gt;0,"прибыль",IF(L218&lt;0,"убыток","ноль"))</f>
        <v>прибыль</v>
      </c>
      <c r="O218" s="6" t="n">
        <f aca="false">IF(L218&lt;0,O217+1,0)</f>
        <v>0</v>
      </c>
      <c r="P218" s="6" t="n">
        <v>6</v>
      </c>
    </row>
    <row r="219" customFormat="false" ht="15" hidden="false" customHeight="false" outlineLevel="0" collapsed="false">
      <c r="A219" s="6" t="n">
        <v>214</v>
      </c>
      <c r="B219" s="5" t="s">
        <v>76</v>
      </c>
      <c r="C219" s="5" t="s">
        <v>25</v>
      </c>
      <c r="D219" s="11" t="n">
        <v>44284</v>
      </c>
      <c r="E219" s="11" t="n">
        <v>44320</v>
      </c>
      <c r="F219" s="5" t="s">
        <v>73</v>
      </c>
      <c r="G219" s="12" t="n">
        <v>551313.476163084</v>
      </c>
      <c r="H219" s="13" t="n">
        <v>64.4</v>
      </c>
      <c r="I219" s="13" t="n">
        <v>66.7</v>
      </c>
      <c r="J219" s="5" t="s">
        <v>74</v>
      </c>
      <c r="K219" s="8" t="n">
        <v>78.352743709208</v>
      </c>
      <c r="L219" s="8" t="n">
        <v>79985.4344837879</v>
      </c>
      <c r="M219" s="8" t="n">
        <f aca="false">M218+L219</f>
        <v>1451801.46019642</v>
      </c>
      <c r="N219" s="5" t="str">
        <f aca="false">IF(L219&gt;0,"прибыль",IF(L219&lt;0,"убыток","ноль"))</f>
        <v>прибыль</v>
      </c>
      <c r="O219" s="6" t="n">
        <f aca="false">IF(L219&lt;0,O218+1,0)</f>
        <v>0</v>
      </c>
      <c r="P219" s="6" t="n">
        <v>25</v>
      </c>
    </row>
    <row r="220" customFormat="false" ht="15" hidden="false" customHeight="false" outlineLevel="0" collapsed="false">
      <c r="A220" s="6" t="n">
        <v>215</v>
      </c>
      <c r="B220" s="5" t="s">
        <v>76</v>
      </c>
      <c r="C220" s="5" t="s">
        <v>25</v>
      </c>
      <c r="D220" s="11" t="n">
        <v>44320</v>
      </c>
      <c r="E220" s="11" t="n">
        <v>44322</v>
      </c>
      <c r="F220" s="5" t="s">
        <v>75</v>
      </c>
      <c r="G220" s="12" t="n">
        <v>578171.31394441</v>
      </c>
      <c r="H220" s="13" t="n">
        <v>66.7</v>
      </c>
      <c r="I220" s="13" t="n">
        <v>68.71</v>
      </c>
      <c r="K220" s="8" t="n">
        <v>59.6418619382882</v>
      </c>
      <c r="L220" s="8" t="n">
        <v>-18788.327116194</v>
      </c>
      <c r="M220" s="8" t="n">
        <f aca="false">M219+L220</f>
        <v>1433013.13308023</v>
      </c>
      <c r="N220" s="5" t="str">
        <f aca="false">IF(L220&gt;0,"прибыль",IF(L220&lt;0,"убыток","ноль"))</f>
        <v>убыток</v>
      </c>
      <c r="O220" s="6" t="n">
        <f aca="false">IF(L220&lt;0,O219+1,0)</f>
        <v>1</v>
      </c>
      <c r="P220" s="6" t="n">
        <v>2</v>
      </c>
    </row>
    <row r="221" customFormat="false" ht="15" hidden="false" customHeight="false" outlineLevel="0" collapsed="false">
      <c r="A221" s="6" t="n">
        <v>216</v>
      </c>
      <c r="B221" s="5" t="s">
        <v>76</v>
      </c>
      <c r="C221" s="5" t="s">
        <v>25</v>
      </c>
      <c r="D221" s="11" t="n">
        <v>44322</v>
      </c>
      <c r="E221" s="11" t="n">
        <v>44323</v>
      </c>
      <c r="F221" s="5" t="s">
        <v>73</v>
      </c>
      <c r="G221" s="12" t="n">
        <v>595937.239567098</v>
      </c>
      <c r="H221" s="13" t="n">
        <v>68.71</v>
      </c>
      <c r="I221" s="13" t="n">
        <v>68.34</v>
      </c>
      <c r="K221" s="8" t="n">
        <v>58.9888096365881</v>
      </c>
      <c r="L221" s="8" t="n">
        <v>-4556.73490506706</v>
      </c>
      <c r="M221" s="8" t="n">
        <f aca="false">M220+L221</f>
        <v>1428456.39817516</v>
      </c>
      <c r="N221" s="5" t="str">
        <f aca="false">IF(L221&gt;0,"прибыль",IF(L221&lt;0,"убыток","ноль"))</f>
        <v>убыток</v>
      </c>
      <c r="O221" s="6" t="n">
        <f aca="false">IF(L221&lt;0,O220+1,0)</f>
        <v>2</v>
      </c>
      <c r="P221" s="6" t="n">
        <v>1</v>
      </c>
    </row>
    <row r="222" customFormat="false" ht="15" hidden="false" customHeight="false" outlineLevel="0" collapsed="false">
      <c r="A222" s="6" t="n">
        <v>217</v>
      </c>
      <c r="B222" s="5" t="s">
        <v>76</v>
      </c>
      <c r="C222" s="5" t="s">
        <v>25</v>
      </c>
      <c r="D222" s="11" t="n">
        <v>44323</v>
      </c>
      <c r="E222" s="11" t="n">
        <v>44333</v>
      </c>
      <c r="F222" s="5" t="s">
        <v>75</v>
      </c>
      <c r="G222" s="12" t="n">
        <v>588336.699260095</v>
      </c>
      <c r="H222" s="13" t="n">
        <v>68.34</v>
      </c>
      <c r="I222" s="13" t="n">
        <v>68.81</v>
      </c>
      <c r="K222" s="8" t="n">
        <v>57.7484007299047</v>
      </c>
      <c r="L222" s="8" t="n">
        <v>-5422.55413975605</v>
      </c>
      <c r="M222" s="8" t="n">
        <f aca="false">M221+L222</f>
        <v>1423033.84403541</v>
      </c>
      <c r="N222" s="5" t="str">
        <f aca="false">IF(L222&gt;0,"прибыль",IF(L222&lt;0,"убыток","ноль"))</f>
        <v>убыток</v>
      </c>
      <c r="O222" s="6" t="n">
        <f aca="false">IF(L222&lt;0,O221+1,0)</f>
        <v>3</v>
      </c>
      <c r="P222" s="6" t="n">
        <v>6</v>
      </c>
    </row>
    <row r="223" customFormat="false" ht="15" hidden="false" customHeight="false" outlineLevel="0" collapsed="false">
      <c r="A223" s="6" t="n">
        <v>218</v>
      </c>
      <c r="B223" s="5" t="s">
        <v>76</v>
      </c>
      <c r="C223" s="5" t="s">
        <v>25</v>
      </c>
      <c r="D223" s="11" t="n">
        <v>44333</v>
      </c>
      <c r="E223" s="11" t="n">
        <v>44384</v>
      </c>
      <c r="F223" s="5" t="s">
        <v>73</v>
      </c>
      <c r="G223" s="12" t="n">
        <v>320426.472575025</v>
      </c>
      <c r="H223" s="13" t="n">
        <v>68.81</v>
      </c>
      <c r="I223" s="13" t="n">
        <v>74.85</v>
      </c>
      <c r="J223" s="5" t="s">
        <v>74</v>
      </c>
      <c r="K223" s="8" t="n">
        <v>42.7345933238092</v>
      </c>
      <c r="L223" s="8" t="n">
        <v>14933.1914202883</v>
      </c>
      <c r="M223" s="8" t="n">
        <f aca="false">M222+L223</f>
        <v>1437967.0354557</v>
      </c>
      <c r="N223" s="5" t="str">
        <f aca="false">IF(L223&gt;0,"прибыль",IF(L223&lt;0,"убыток","ноль"))</f>
        <v>прибыль</v>
      </c>
      <c r="O223" s="6" t="n">
        <f aca="false">IF(L223&lt;0,O222+1,0)</f>
        <v>0</v>
      </c>
      <c r="P223" s="6" t="n">
        <v>37</v>
      </c>
    </row>
    <row r="224" customFormat="false" ht="15" hidden="false" customHeight="false" outlineLevel="0" collapsed="false">
      <c r="A224" s="6" t="n">
        <v>219</v>
      </c>
      <c r="B224" s="5" t="s">
        <v>76</v>
      </c>
      <c r="C224" s="5" t="s">
        <v>25</v>
      </c>
      <c r="D224" s="11" t="n">
        <v>44384</v>
      </c>
      <c r="E224" s="11" t="n">
        <v>44397</v>
      </c>
      <c r="F224" s="5" t="s">
        <v>73</v>
      </c>
      <c r="G224" s="12" t="n">
        <v>760129.504911495</v>
      </c>
      <c r="H224" s="13" t="n">
        <v>74.85</v>
      </c>
      <c r="I224" s="13" t="n">
        <v>68.71</v>
      </c>
      <c r="K224" s="8" t="n">
        <v>61.1855268480708</v>
      </c>
      <c r="L224" s="8" t="n">
        <v>-30064.2377018015</v>
      </c>
      <c r="M224" s="8" t="n">
        <f aca="false">M223+L224</f>
        <v>1407902.79775389</v>
      </c>
      <c r="N224" s="5" t="str">
        <f aca="false">IF(L224&gt;0,"прибыль",IF(L224&lt;0,"убыток","ноль"))</f>
        <v>убыток</v>
      </c>
      <c r="O224" s="6" t="n">
        <f aca="false">IF(L224&lt;0,O223+1,0)</f>
        <v>1</v>
      </c>
      <c r="P224" s="6" t="n">
        <v>9</v>
      </c>
    </row>
    <row r="225" customFormat="false" ht="15" hidden="false" customHeight="false" outlineLevel="0" collapsed="false">
      <c r="A225" s="6" t="n">
        <v>220</v>
      </c>
      <c r="B225" s="5" t="s">
        <v>76</v>
      </c>
      <c r="C225" s="5" t="s">
        <v>25</v>
      </c>
      <c r="D225" s="11" t="n">
        <v>44397</v>
      </c>
      <c r="E225" s="11" t="n">
        <v>44399</v>
      </c>
      <c r="F225" s="5" t="s">
        <v>75</v>
      </c>
      <c r="G225" s="12" t="n">
        <v>493584.084224873</v>
      </c>
      <c r="H225" s="13" t="n">
        <v>68.71</v>
      </c>
      <c r="I225" s="13" t="n">
        <v>72.18</v>
      </c>
      <c r="K225" s="8" t="n">
        <v>47.027036749778</v>
      </c>
      <c r="L225" s="8" t="n">
        <v>-26351.2328542415</v>
      </c>
      <c r="M225" s="8" t="n">
        <f aca="false">M224+L225</f>
        <v>1381551.56489965</v>
      </c>
      <c r="N225" s="5" t="str">
        <f aca="false">IF(L225&gt;0,"прибыль",IF(L225&lt;0,"убыток","ноль"))</f>
        <v>убыток</v>
      </c>
      <c r="O225" s="6" t="n">
        <f aca="false">IF(L225&lt;0,O224+1,0)</f>
        <v>2</v>
      </c>
      <c r="P225" s="6" t="n">
        <v>2</v>
      </c>
    </row>
    <row r="226" customFormat="false" ht="15" hidden="false" customHeight="false" outlineLevel="0" collapsed="false">
      <c r="A226" s="6" t="n">
        <v>221</v>
      </c>
      <c r="B226" s="5" t="s">
        <v>76</v>
      </c>
      <c r="C226" s="5" t="s">
        <v>25</v>
      </c>
      <c r="D226" s="11" t="n">
        <v>44399</v>
      </c>
      <c r="E226" s="11" t="n">
        <v>44418</v>
      </c>
      <c r="F226" s="5" t="s">
        <v>73</v>
      </c>
      <c r="G226" s="12" t="n">
        <v>420652.444953196</v>
      </c>
      <c r="H226" s="13" t="n">
        <v>72.18</v>
      </c>
      <c r="I226" s="13" t="n">
        <v>69.27</v>
      </c>
      <c r="J226" s="5" t="s">
        <v>74</v>
      </c>
      <c r="K226" s="8" t="n">
        <v>41.9748944912144</v>
      </c>
      <c r="L226" s="8" t="n">
        <v>-400.78385874835</v>
      </c>
      <c r="M226" s="8" t="n">
        <f aca="false">M225+L226</f>
        <v>1381150.7810409</v>
      </c>
      <c r="N226" s="5" t="str">
        <f aca="false">IF(L226&gt;0,"прибыль",IF(L226&lt;0,"убыток","ноль"))</f>
        <v>убыток</v>
      </c>
      <c r="O226" s="6" t="n">
        <f aca="false">IF(L226&lt;0,O225+1,0)</f>
        <v>3</v>
      </c>
      <c r="P226" s="6" t="n">
        <v>13</v>
      </c>
    </row>
    <row r="227" customFormat="false" ht="15" hidden="false" customHeight="false" outlineLevel="0" collapsed="false">
      <c r="A227" s="6" t="n">
        <v>222</v>
      </c>
      <c r="B227" s="5" t="s">
        <v>76</v>
      </c>
      <c r="C227" s="5" t="s">
        <v>25</v>
      </c>
      <c r="D227" s="11" t="n">
        <v>44418</v>
      </c>
      <c r="E227" s="11" t="n">
        <v>44420</v>
      </c>
      <c r="F227" s="5" t="s">
        <v>75</v>
      </c>
      <c r="G227" s="12" t="n">
        <v>419204.253835349</v>
      </c>
      <c r="H227" s="13" t="n">
        <v>69.27</v>
      </c>
      <c r="I227" s="13" t="n">
        <v>71.6</v>
      </c>
      <c r="K227" s="8" t="n">
        <v>42.9998407826069</v>
      </c>
      <c r="L227" s="8" t="n">
        <v>-15362.0113779961</v>
      </c>
      <c r="M227" s="8" t="n">
        <f aca="false">M226+L227</f>
        <v>1365788.76966291</v>
      </c>
      <c r="N227" s="5" t="str">
        <f aca="false">IF(L227&gt;0,"прибыль",IF(L227&lt;0,"убыток","ноль"))</f>
        <v>убыток</v>
      </c>
      <c r="O227" s="6" t="n">
        <f aca="false">IF(L227&lt;0,O226+1,0)</f>
        <v>4</v>
      </c>
      <c r="P227" s="6" t="n">
        <v>2</v>
      </c>
    </row>
    <row r="228" customFormat="false" ht="15" hidden="false" customHeight="false" outlineLevel="0" collapsed="false">
      <c r="A228" s="6" t="n">
        <v>223</v>
      </c>
      <c r="B228" s="5" t="s">
        <v>76</v>
      </c>
      <c r="C228" s="5" t="s">
        <v>25</v>
      </c>
      <c r="D228" s="11" t="n">
        <v>44420</v>
      </c>
      <c r="E228" s="11" t="n">
        <v>44424</v>
      </c>
      <c r="F228" s="5" t="s">
        <v>73</v>
      </c>
      <c r="G228" s="12" t="n">
        <v>425473.550279575</v>
      </c>
      <c r="H228" s="13" t="n">
        <v>71.6</v>
      </c>
      <c r="I228" s="13" t="n">
        <v>70.12</v>
      </c>
      <c r="K228" s="8" t="n">
        <v>41.9911352058134</v>
      </c>
      <c r="L228" s="8" t="n">
        <v>-9999.55659815663</v>
      </c>
      <c r="M228" s="8" t="n">
        <f aca="false">M227+L228</f>
        <v>1355789.21306475</v>
      </c>
      <c r="N228" s="5" t="str">
        <f aca="false">IF(L228&gt;0,"прибыль",IF(L228&lt;0,"убыток","ноль"))</f>
        <v>убыток</v>
      </c>
      <c r="O228" s="6" t="n">
        <f aca="false">IF(L228&lt;0,O227+1,0)</f>
        <v>5</v>
      </c>
      <c r="P228" s="6" t="n">
        <v>2</v>
      </c>
    </row>
    <row r="229" customFormat="false" ht="15" hidden="false" customHeight="false" outlineLevel="0" collapsed="false">
      <c r="A229" s="6" t="n">
        <v>224</v>
      </c>
      <c r="B229" s="5" t="s">
        <v>76</v>
      </c>
      <c r="C229" s="5" t="s">
        <v>25</v>
      </c>
      <c r="D229" s="11" t="n">
        <v>44424</v>
      </c>
      <c r="E229" s="11" t="n">
        <v>44432</v>
      </c>
      <c r="F229" s="5" t="s">
        <v>75</v>
      </c>
      <c r="G229" s="12" t="n">
        <v>181387.218869442</v>
      </c>
      <c r="H229" s="13" t="n">
        <v>70.12</v>
      </c>
      <c r="I229" s="13" t="n">
        <v>68.78</v>
      </c>
      <c r="K229" s="8" t="n">
        <v>21.0219733470689</v>
      </c>
      <c r="L229" s="8" t="n">
        <v>1512.04187574342</v>
      </c>
      <c r="M229" s="8" t="n">
        <f aca="false">M228+L229</f>
        <v>1357301.2549405</v>
      </c>
      <c r="N229" s="5" t="str">
        <f aca="false">IF(L229&gt;0,"прибыль",IF(L229&lt;0,"убыток","ноль"))</f>
        <v>прибыль</v>
      </c>
      <c r="O229" s="6" t="n">
        <f aca="false">IF(L229&lt;0,O228+1,0)</f>
        <v>0</v>
      </c>
      <c r="P229" s="6" t="n">
        <v>6</v>
      </c>
    </row>
    <row r="230" customFormat="false" ht="15" hidden="false" customHeight="false" outlineLevel="0" collapsed="false">
      <c r="A230" s="6" t="n">
        <v>225</v>
      </c>
      <c r="B230" s="5" t="s">
        <v>76</v>
      </c>
      <c r="C230" s="5" t="s">
        <v>25</v>
      </c>
      <c r="D230" s="11" t="n">
        <v>44432</v>
      </c>
      <c r="E230" s="11" t="n">
        <v>44440</v>
      </c>
      <c r="F230" s="5" t="s">
        <v>75</v>
      </c>
      <c r="G230" s="12" t="n">
        <v>483504.81235123</v>
      </c>
      <c r="H230" s="13" t="n">
        <v>68.78</v>
      </c>
      <c r="I230" s="13" t="n">
        <v>72.97</v>
      </c>
      <c r="K230" s="8" t="n">
        <v>47.3276378790492</v>
      </c>
      <c r="L230" s="8" t="n">
        <v>-25213.3190193275</v>
      </c>
      <c r="M230" s="8" t="n">
        <f aca="false">M229+L230</f>
        <v>1332087.93592117</v>
      </c>
      <c r="N230" s="5" t="str">
        <f aca="false">IF(L230&gt;0,"прибыль",IF(L230&lt;0,"убыток","ноль"))</f>
        <v>убыток</v>
      </c>
      <c r="O230" s="6" t="n">
        <f aca="false">IF(L230&lt;0,O229+1,0)</f>
        <v>1</v>
      </c>
      <c r="P230" s="6" t="n">
        <v>6</v>
      </c>
    </row>
    <row r="231" customFormat="false" ht="15" hidden="false" customHeight="false" outlineLevel="0" collapsed="false">
      <c r="A231" s="6" t="n">
        <v>226</v>
      </c>
      <c r="B231" s="5" t="s">
        <v>76</v>
      </c>
      <c r="C231" s="5" t="s">
        <v>25</v>
      </c>
      <c r="D231" s="11" t="n">
        <v>44440</v>
      </c>
      <c r="E231" s="11" t="n">
        <v>44441</v>
      </c>
      <c r="F231" s="5" t="s">
        <v>73</v>
      </c>
      <c r="G231" s="12" t="n">
        <v>8.9480708711625E-011</v>
      </c>
      <c r="H231" s="13" t="n">
        <v>72.97</v>
      </c>
      <c r="I231" s="13" t="n">
        <v>71.3</v>
      </c>
      <c r="J231" s="5" t="s">
        <v>74</v>
      </c>
      <c r="K231" s="8" t="n">
        <v>4.46085764452779E-015</v>
      </c>
      <c r="L231" s="8" t="n">
        <v>-2.68016678713799E-013</v>
      </c>
      <c r="M231" s="8" t="n">
        <f aca="false">M230+L231</f>
        <v>1332087.93592117</v>
      </c>
      <c r="N231" s="5" t="str">
        <f aca="false">IF(L231&gt;0,"прибыль",IF(L231&lt;0,"убыток","ноль"))</f>
        <v>убыток</v>
      </c>
      <c r="O231" s="6" t="n">
        <f aca="false">IF(L231&lt;0,O230+1,0)</f>
        <v>2</v>
      </c>
      <c r="P231" s="6" t="n">
        <v>1</v>
      </c>
    </row>
    <row r="232" customFormat="false" ht="15" hidden="false" customHeight="false" outlineLevel="0" collapsed="false">
      <c r="A232" s="6" t="n">
        <v>227</v>
      </c>
      <c r="B232" s="5" t="s">
        <v>76</v>
      </c>
      <c r="C232" s="5" t="s">
        <v>25</v>
      </c>
      <c r="D232" s="11" t="n">
        <v>44441</v>
      </c>
      <c r="E232" s="11" t="n">
        <v>44524</v>
      </c>
      <c r="F232" s="5" t="s">
        <v>73</v>
      </c>
      <c r="G232" s="12" t="n">
        <v>188233.288915411</v>
      </c>
      <c r="H232" s="13" t="n">
        <v>71.3</v>
      </c>
      <c r="I232" s="13" t="n">
        <v>82.49</v>
      </c>
      <c r="J232" s="5" t="s">
        <v>74</v>
      </c>
      <c r="K232" s="8" t="n">
        <v>19.913049240033</v>
      </c>
      <c r="L232" s="8" t="n">
        <v>23826.4770076673</v>
      </c>
      <c r="M232" s="8" t="n">
        <f aca="false">M231+L232</f>
        <v>1355914.41292883</v>
      </c>
      <c r="N232" s="5" t="str">
        <f aca="false">IF(L232&gt;0,"прибыль",IF(L232&lt;0,"убыток","ноль"))</f>
        <v>прибыль</v>
      </c>
      <c r="O232" s="6" t="n">
        <f aca="false">IF(L232&lt;0,O231+1,0)</f>
        <v>0</v>
      </c>
      <c r="P232" s="6" t="n">
        <v>58</v>
      </c>
    </row>
    <row r="233" customFormat="false" ht="15" hidden="false" customHeight="false" outlineLevel="0" collapsed="false">
      <c r="A233" s="6" t="n">
        <v>228</v>
      </c>
      <c r="B233" s="5" t="s">
        <v>76</v>
      </c>
      <c r="C233" s="5" t="s">
        <v>25</v>
      </c>
      <c r="D233" s="11" t="n">
        <v>44524</v>
      </c>
      <c r="E233" s="11" t="n">
        <v>44529</v>
      </c>
      <c r="F233" s="5" t="s">
        <v>73</v>
      </c>
      <c r="G233" s="12" t="n">
        <v>435829.970761238</v>
      </c>
      <c r="H233" s="13" t="n">
        <v>82.49</v>
      </c>
      <c r="I233" s="13" t="n">
        <v>72.53</v>
      </c>
      <c r="K233" s="8" t="n">
        <v>36.0584512630927</v>
      </c>
      <c r="L233" s="8" t="n">
        <v>-4398.73889050245</v>
      </c>
      <c r="M233" s="8" t="n">
        <f aca="false">M232+L233</f>
        <v>1351515.67403833</v>
      </c>
      <c r="N233" s="5" t="str">
        <f aca="false">IF(L233&gt;0,"прибыль",IF(L233&lt;0,"убыток","ноль"))</f>
        <v>убыток</v>
      </c>
      <c r="O233" s="6" t="n">
        <f aca="false">IF(L233&lt;0,O232+1,0)</f>
        <v>1</v>
      </c>
      <c r="P233" s="6" t="n">
        <v>3</v>
      </c>
    </row>
    <row r="234" customFormat="false" ht="15" hidden="false" customHeight="false" outlineLevel="0" collapsed="false">
      <c r="A234" s="6" t="n">
        <v>229</v>
      </c>
      <c r="B234" s="5" t="s">
        <v>76</v>
      </c>
      <c r="C234" s="5" t="s">
        <v>25</v>
      </c>
      <c r="D234" s="11" t="n">
        <v>44529</v>
      </c>
      <c r="E234" s="11" t="n">
        <v>44564</v>
      </c>
      <c r="F234" s="5" t="s">
        <v>75</v>
      </c>
      <c r="G234" s="12" t="n">
        <v>407264.438165256</v>
      </c>
      <c r="H234" s="13" t="n">
        <v>72.53</v>
      </c>
      <c r="I234" s="13" t="n">
        <v>79.29</v>
      </c>
      <c r="J234" s="5" t="s">
        <v>74</v>
      </c>
      <c r="K234" s="8" t="n">
        <v>50.5827422476784</v>
      </c>
      <c r="L234" s="8" t="n">
        <v>-41727.7906462612</v>
      </c>
      <c r="M234" s="8" t="n">
        <f aca="false">M233+L234</f>
        <v>1309787.88339207</v>
      </c>
      <c r="N234" s="5" t="str">
        <f aca="false">IF(L234&gt;0,"прибыль",IF(L234&lt;0,"убыток","ноль"))</f>
        <v>убыток</v>
      </c>
      <c r="O234" s="6" t="n">
        <f aca="false">IF(L234&lt;0,O233+1,0)</f>
        <v>2</v>
      </c>
      <c r="P234" s="6" t="n">
        <v>24</v>
      </c>
    </row>
    <row r="235" customFormat="false" ht="15" hidden="false" customHeight="false" outlineLevel="0" collapsed="false">
      <c r="A235" s="6" t="n">
        <v>230</v>
      </c>
      <c r="B235" s="5" t="s">
        <v>76</v>
      </c>
      <c r="C235" s="5" t="s">
        <v>25</v>
      </c>
      <c r="D235" s="11" t="n">
        <v>44564</v>
      </c>
      <c r="E235" s="11" t="n">
        <v>44565</v>
      </c>
      <c r="F235" s="5" t="s">
        <v>73</v>
      </c>
      <c r="G235" s="12" t="n">
        <v>445150.495658899</v>
      </c>
      <c r="H235" s="13" t="n">
        <v>79.29</v>
      </c>
      <c r="I235" s="13" t="n">
        <v>79</v>
      </c>
      <c r="J235" s="5" t="s">
        <v>74</v>
      </c>
      <c r="K235" s="8" t="n">
        <v>44.6370311648624</v>
      </c>
      <c r="L235" s="8" t="n">
        <v>-1686.26583217357</v>
      </c>
      <c r="M235" s="8" t="n">
        <f aca="false">M234+L235</f>
        <v>1308101.6175599</v>
      </c>
      <c r="N235" s="5" t="str">
        <f aca="false">IF(L235&gt;0,"прибыль",IF(L235&lt;0,"убыток","ноль"))</f>
        <v>убыток</v>
      </c>
      <c r="O235" s="6" t="n">
        <f aca="false">IF(L235&lt;0,O234+1,0)</f>
        <v>3</v>
      </c>
      <c r="P235" s="6" t="n">
        <v>1</v>
      </c>
    </row>
    <row r="236" customFormat="false" ht="15" hidden="false" customHeight="false" outlineLevel="0" collapsed="false">
      <c r="A236" s="6" t="n">
        <v>231</v>
      </c>
      <c r="B236" s="5" t="s">
        <v>76</v>
      </c>
      <c r="C236" s="5" t="s">
        <v>25</v>
      </c>
      <c r="D236" s="11" t="n">
        <v>44565</v>
      </c>
      <c r="E236" s="11" t="n">
        <v>44568</v>
      </c>
      <c r="F236" s="5" t="s">
        <v>75</v>
      </c>
      <c r="G236" s="12" t="n">
        <v>540576.315661442</v>
      </c>
      <c r="H236" s="13" t="n">
        <v>79</v>
      </c>
      <c r="I236" s="13" t="n">
        <v>81.99</v>
      </c>
      <c r="K236" s="8" t="n">
        <v>59.3720496190378</v>
      </c>
      <c r="L236" s="8" t="n">
        <v>-20606.4270407843</v>
      </c>
      <c r="M236" s="8" t="n">
        <f aca="false">M235+L236</f>
        <v>1287495.19051911</v>
      </c>
      <c r="N236" s="5" t="str">
        <f aca="false">IF(L236&gt;0,"прибыль",IF(L236&lt;0,"убыток","ноль"))</f>
        <v>убыток</v>
      </c>
      <c r="O236" s="6" t="n">
        <f aca="false">IF(L236&lt;0,O235+1,0)</f>
        <v>4</v>
      </c>
      <c r="P236" s="6" t="n">
        <v>3</v>
      </c>
    </row>
    <row r="237" customFormat="false" ht="15" hidden="false" customHeight="false" outlineLevel="0" collapsed="false">
      <c r="A237" s="6" t="n">
        <v>232</v>
      </c>
      <c r="B237" s="5" t="s">
        <v>76</v>
      </c>
      <c r="C237" s="5" t="s">
        <v>25</v>
      </c>
      <c r="D237" s="11" t="n">
        <v>44568</v>
      </c>
      <c r="E237" s="11" t="n">
        <v>44571</v>
      </c>
      <c r="F237" s="5" t="s">
        <v>73</v>
      </c>
      <c r="G237" s="12" t="n">
        <v>1.04464522663184E-010</v>
      </c>
      <c r="H237" s="13" t="n">
        <v>81.99</v>
      </c>
      <c r="I237" s="13" t="n">
        <v>81.99</v>
      </c>
      <c r="K237" s="8" t="n">
        <v>5.21132806605878E-015</v>
      </c>
      <c r="L237" s="8" t="n">
        <v>-2.4317267007484E-013</v>
      </c>
      <c r="M237" s="8" t="n">
        <f aca="false">M236+L237</f>
        <v>1287495.19051911</v>
      </c>
      <c r="N237" s="5" t="str">
        <f aca="false">IF(L237&gt;0,"прибыль",IF(L237&lt;0,"убыток","ноль"))</f>
        <v>убыток</v>
      </c>
      <c r="O237" s="6" t="n">
        <f aca="false">IF(L237&lt;0,O236+1,0)</f>
        <v>5</v>
      </c>
      <c r="P237" s="6" t="n">
        <v>1</v>
      </c>
    </row>
    <row r="238" customFormat="false" ht="15" hidden="false" customHeight="false" outlineLevel="0" collapsed="false">
      <c r="A238" s="6" t="n">
        <v>233</v>
      </c>
      <c r="B238" s="5" t="s">
        <v>76</v>
      </c>
      <c r="C238" s="5" t="s">
        <v>25</v>
      </c>
      <c r="D238" s="11" t="n">
        <v>44571</v>
      </c>
      <c r="E238" s="11" t="n">
        <v>44608</v>
      </c>
      <c r="F238" s="5" t="s">
        <v>73</v>
      </c>
      <c r="G238" s="12" t="n">
        <v>163478.192152551</v>
      </c>
      <c r="H238" s="13" t="n">
        <v>81.99</v>
      </c>
      <c r="I238" s="13" t="n">
        <v>93.12</v>
      </c>
      <c r="J238" s="5" t="s">
        <v>74</v>
      </c>
      <c r="K238" s="8" t="n">
        <v>17.1485156511218</v>
      </c>
      <c r="L238" s="8" t="n">
        <v>22916.4220452762</v>
      </c>
      <c r="M238" s="8" t="n">
        <f aca="false">M237+L238</f>
        <v>1310411.61256439</v>
      </c>
      <c r="N238" s="5" t="str">
        <f aca="false">IF(L238&gt;0,"прибыль",IF(L238&lt;0,"убыток","ноль"))</f>
        <v>прибыль</v>
      </c>
      <c r="O238" s="6" t="n">
        <f aca="false">IF(L238&lt;0,O237+1,0)</f>
        <v>0</v>
      </c>
      <c r="P238" s="6" t="n">
        <v>27</v>
      </c>
    </row>
    <row r="239" customFormat="false" ht="15" hidden="false" customHeight="false" outlineLevel="0" collapsed="false">
      <c r="A239" s="6" t="n">
        <v>234</v>
      </c>
      <c r="B239" s="5" t="s">
        <v>76</v>
      </c>
      <c r="C239" s="5" t="s">
        <v>25</v>
      </c>
      <c r="D239" s="11" t="n">
        <v>44608</v>
      </c>
      <c r="E239" s="11" t="n">
        <v>44623</v>
      </c>
      <c r="F239" s="5" t="s">
        <v>73</v>
      </c>
      <c r="G239" s="12" t="n">
        <v>346733.101903628</v>
      </c>
      <c r="H239" s="13" t="n">
        <v>93.12</v>
      </c>
      <c r="I239" s="13" t="n">
        <v>114.46</v>
      </c>
      <c r="J239" s="5" t="s">
        <v>74</v>
      </c>
      <c r="K239" s="8" t="n">
        <v>25.413766042889</v>
      </c>
      <c r="L239" s="8" t="n">
        <v>161516.805188109</v>
      </c>
      <c r="M239" s="8" t="n">
        <f aca="false">M238+L239</f>
        <v>1471928.4177525</v>
      </c>
      <c r="N239" s="5" t="str">
        <f aca="false">IF(L239&gt;0,"прибыль",IF(L239&lt;0,"убыток","ноль"))</f>
        <v>прибыль</v>
      </c>
      <c r="O239" s="6" t="n">
        <f aca="false">IF(L239&lt;0,O238+1,0)</f>
        <v>0</v>
      </c>
      <c r="P239" s="6" t="n">
        <v>9</v>
      </c>
    </row>
    <row r="240" customFormat="false" ht="15" hidden="false" customHeight="false" outlineLevel="0" collapsed="false">
      <c r="A240" s="6" t="n">
        <v>235</v>
      </c>
      <c r="B240" s="5" t="s">
        <v>76</v>
      </c>
      <c r="C240" s="5" t="s">
        <v>25</v>
      </c>
      <c r="D240" s="11" t="n">
        <v>44623</v>
      </c>
      <c r="E240" s="11" t="n">
        <v>44630</v>
      </c>
      <c r="F240" s="5" t="s">
        <v>73</v>
      </c>
      <c r="G240" s="12" t="n">
        <v>41407.0157592397</v>
      </c>
      <c r="H240" s="13" t="n">
        <v>114.46</v>
      </c>
      <c r="I240" s="13" t="n">
        <v>120</v>
      </c>
      <c r="K240" s="8" t="n">
        <v>3.18087895130485</v>
      </c>
      <c r="L240" s="8" t="n">
        <v>22207.382387906</v>
      </c>
      <c r="M240" s="8" t="n">
        <f aca="false">M239+L240</f>
        <v>1494135.8001404</v>
      </c>
      <c r="N240" s="5" t="str">
        <f aca="false">IF(L240&gt;0,"прибыль",IF(L240&lt;0,"убыток","ноль"))</f>
        <v>прибыль</v>
      </c>
      <c r="O240" s="6" t="n">
        <f aca="false">IF(L240&lt;0,O239+1,0)</f>
        <v>0</v>
      </c>
      <c r="P240" s="6" t="n">
        <v>3</v>
      </c>
    </row>
    <row r="241" customFormat="false" ht="15" hidden="false" customHeight="false" outlineLevel="0" collapsed="false">
      <c r="A241" s="6" t="n">
        <v>236</v>
      </c>
      <c r="B241" s="5" t="s">
        <v>76</v>
      </c>
      <c r="C241" s="5" t="s">
        <v>25</v>
      </c>
      <c r="D241" s="11" t="n">
        <v>44630</v>
      </c>
      <c r="E241" s="11" t="n">
        <v>44644</v>
      </c>
      <c r="F241" s="5" t="s">
        <v>73</v>
      </c>
      <c r="G241" s="12" t="n">
        <v>30958.3776979324</v>
      </c>
      <c r="H241" s="13" t="n">
        <v>120</v>
      </c>
      <c r="I241" s="13" t="n">
        <v>121.45</v>
      </c>
      <c r="K241" s="8" t="n">
        <v>2.40554488657787</v>
      </c>
      <c r="L241" s="8" t="n">
        <v>17150.1144887384</v>
      </c>
      <c r="M241" s="8" t="n">
        <f aca="false">M240+L241</f>
        <v>1511285.91462914</v>
      </c>
      <c r="N241" s="5" t="str">
        <f aca="false">IF(L241&gt;0,"прибыль",IF(L241&lt;0,"убыток","ноль"))</f>
        <v>прибыль</v>
      </c>
      <c r="O241" s="6" t="n">
        <f aca="false">IF(L241&lt;0,O240+1,0)</f>
        <v>0</v>
      </c>
      <c r="P241" s="6" t="n">
        <v>10</v>
      </c>
    </row>
    <row r="242" customFormat="false" ht="15" hidden="false" customHeight="false" outlineLevel="0" collapsed="false">
      <c r="A242" s="6" t="n">
        <v>237</v>
      </c>
      <c r="B242" s="5" t="s">
        <v>76</v>
      </c>
      <c r="C242" s="5" t="s">
        <v>25</v>
      </c>
      <c r="D242" s="11" t="n">
        <v>44644</v>
      </c>
      <c r="E242" s="11" t="n">
        <v>44692</v>
      </c>
      <c r="F242" s="5" t="s">
        <v>73</v>
      </c>
      <c r="G242" s="12" t="n">
        <v>237264.343081687</v>
      </c>
      <c r="H242" s="13" t="n">
        <v>121.45</v>
      </c>
      <c r="I242" s="13" t="n">
        <v>110.81</v>
      </c>
      <c r="J242" s="5" t="s">
        <v>74</v>
      </c>
      <c r="K242" s="8" t="n">
        <v>37.4135056032859</v>
      </c>
      <c r="L242" s="8" t="n">
        <v>65620.2889875958</v>
      </c>
      <c r="M242" s="8" t="n">
        <f aca="false">M241+L242</f>
        <v>1576906.20361674</v>
      </c>
      <c r="N242" s="5" t="str">
        <f aca="false">IF(L242&gt;0,"прибыль",IF(L242&lt;0,"убыток","ноль"))</f>
        <v>прибыль</v>
      </c>
      <c r="O242" s="6" t="n">
        <f aca="false">IF(L242&lt;0,O241+1,0)</f>
        <v>0</v>
      </c>
      <c r="P242" s="6" t="n">
        <v>30</v>
      </c>
    </row>
    <row r="243" customFormat="false" ht="15" hidden="false" customHeight="false" outlineLevel="0" collapsed="false">
      <c r="A243" s="6" t="n">
        <v>238</v>
      </c>
      <c r="B243" s="5" t="s">
        <v>76</v>
      </c>
      <c r="C243" s="5" t="s">
        <v>25</v>
      </c>
      <c r="D243" s="11" t="n">
        <v>44692</v>
      </c>
      <c r="E243" s="11" t="n">
        <v>44693</v>
      </c>
      <c r="F243" s="5" t="s">
        <v>75</v>
      </c>
      <c r="G243" s="12" t="n">
        <v>317038.648710815</v>
      </c>
      <c r="H243" s="13" t="n">
        <v>110.81</v>
      </c>
      <c r="I243" s="13" t="n">
        <v>106.06</v>
      </c>
      <c r="K243" s="8" t="n">
        <v>30.8701586904662</v>
      </c>
      <c r="L243" s="8" t="n">
        <v>12484.2484543441</v>
      </c>
      <c r="M243" s="8" t="n">
        <f aca="false">M242+L243</f>
        <v>1589390.45207108</v>
      </c>
      <c r="N243" s="5" t="str">
        <f aca="false">IF(L243&gt;0,"прибыль",IF(L243&lt;0,"убыток","ноль"))</f>
        <v>прибыль</v>
      </c>
      <c r="O243" s="6" t="n">
        <f aca="false">IF(L243&lt;0,O242+1,0)</f>
        <v>0</v>
      </c>
      <c r="P243" s="6" t="n">
        <v>1</v>
      </c>
    </row>
    <row r="244" customFormat="false" ht="15" hidden="false" customHeight="false" outlineLevel="0" collapsed="false">
      <c r="A244" s="6" t="n">
        <v>239</v>
      </c>
      <c r="B244" s="5" t="s">
        <v>76</v>
      </c>
      <c r="C244" s="5" t="s">
        <v>25</v>
      </c>
      <c r="D244" s="11" t="n">
        <v>44693</v>
      </c>
      <c r="E244" s="11" t="n">
        <v>44706</v>
      </c>
      <c r="F244" s="5" t="s">
        <v>73</v>
      </c>
      <c r="G244" s="12" t="n">
        <v>312879.643711545</v>
      </c>
      <c r="H244" s="13" t="n">
        <v>106.06</v>
      </c>
      <c r="I244" s="13" t="n">
        <v>112.5</v>
      </c>
      <c r="K244" s="8" t="n">
        <v>34.6040222054745</v>
      </c>
      <c r="L244" s="8" t="n">
        <v>17844.0299699843</v>
      </c>
      <c r="M244" s="8" t="n">
        <f aca="false">M243+L244</f>
        <v>1607234.48204107</v>
      </c>
      <c r="N244" s="5" t="str">
        <f aca="false">IF(L244&gt;0,"прибыль",IF(L244&lt;0,"убыток","ноль"))</f>
        <v>прибыль</v>
      </c>
      <c r="O244" s="6" t="n">
        <f aca="false">IF(L244&lt;0,O243+1,0)</f>
        <v>0</v>
      </c>
      <c r="P244" s="6" t="n">
        <v>9</v>
      </c>
    </row>
    <row r="245" customFormat="false" ht="15" hidden="false" customHeight="false" outlineLevel="0" collapsed="false">
      <c r="A245" s="6" t="n">
        <v>240</v>
      </c>
      <c r="B245" s="5" t="s">
        <v>76</v>
      </c>
      <c r="C245" s="5" t="s">
        <v>25</v>
      </c>
      <c r="D245" s="11" t="n">
        <v>44706</v>
      </c>
      <c r="E245" s="11" t="n">
        <v>44711</v>
      </c>
      <c r="F245" s="5" t="s">
        <v>75</v>
      </c>
      <c r="G245" s="12" t="n">
        <v>361322.166405756</v>
      </c>
      <c r="H245" s="13" t="n">
        <v>112.5</v>
      </c>
      <c r="I245" s="13" t="n">
        <v>116.85</v>
      </c>
      <c r="K245" s="8" t="n">
        <v>40.5789343797729</v>
      </c>
      <c r="L245" s="8" t="n">
        <v>-15127.4914022048</v>
      </c>
      <c r="M245" s="8" t="n">
        <f aca="false">M244+L245</f>
        <v>1592106.99063886</v>
      </c>
      <c r="N245" s="5" t="str">
        <f aca="false">IF(L245&gt;0,"прибыль",IF(L245&lt;0,"убыток","ноль"))</f>
        <v>убыток</v>
      </c>
      <c r="O245" s="6" t="n">
        <f aca="false">IF(L245&lt;0,O244+1,0)</f>
        <v>1</v>
      </c>
      <c r="P245" s="6" t="n">
        <v>3</v>
      </c>
    </row>
    <row r="246" customFormat="false" ht="15" hidden="false" customHeight="false" outlineLevel="0" collapsed="false">
      <c r="A246" s="6" t="n">
        <v>241</v>
      </c>
      <c r="B246" s="5" t="s">
        <v>76</v>
      </c>
      <c r="C246" s="5" t="s">
        <v>25</v>
      </c>
      <c r="D246" s="11" t="n">
        <v>44711</v>
      </c>
      <c r="E246" s="11" t="n">
        <v>44748</v>
      </c>
      <c r="F246" s="5" t="s">
        <v>73</v>
      </c>
      <c r="G246" s="12" t="n">
        <v>174050.816890533</v>
      </c>
      <c r="H246" s="13" t="n">
        <v>116.85</v>
      </c>
      <c r="I246" s="13" t="n">
        <v>105.83</v>
      </c>
      <c r="J246" s="5" t="s">
        <v>74</v>
      </c>
      <c r="K246" s="8" t="n">
        <v>15.2669015167049</v>
      </c>
      <c r="L246" s="8" t="n">
        <v>-8964.9927900238</v>
      </c>
      <c r="M246" s="8" t="n">
        <f aca="false">M245+L246</f>
        <v>1583141.99784884</v>
      </c>
      <c r="N246" s="5" t="str">
        <f aca="false">IF(L246&gt;0,"прибыль",IF(L246&lt;0,"убыток","ноль"))</f>
        <v>убыток</v>
      </c>
      <c r="O246" s="6" t="n">
        <f aca="false">IF(L246&lt;0,O245+1,0)</f>
        <v>2</v>
      </c>
      <c r="P246" s="6" t="n">
        <v>26</v>
      </c>
    </row>
    <row r="247" customFormat="false" ht="15" hidden="false" customHeight="false" outlineLevel="0" collapsed="false">
      <c r="A247" s="6" t="n">
        <v>242</v>
      </c>
      <c r="B247" s="5" t="s">
        <v>76</v>
      </c>
      <c r="C247" s="5" t="s">
        <v>25</v>
      </c>
      <c r="D247" s="11" t="n">
        <v>44748</v>
      </c>
      <c r="E247" s="11" t="n">
        <v>44749</v>
      </c>
      <c r="F247" s="5" t="s">
        <v>73</v>
      </c>
      <c r="G247" s="12" t="n">
        <v>401355.731163416</v>
      </c>
      <c r="H247" s="13" t="n">
        <v>105.83</v>
      </c>
      <c r="I247" s="13" t="n">
        <v>101.5</v>
      </c>
      <c r="K247" s="8" t="n">
        <v>36.6279328367327</v>
      </c>
      <c r="L247" s="8" t="n">
        <v>-36267.7154655399</v>
      </c>
      <c r="M247" s="8" t="n">
        <f aca="false">M246+L247</f>
        <v>1546874.2823833</v>
      </c>
      <c r="N247" s="5" t="str">
        <f aca="false">IF(L247&gt;0,"прибыль",IF(L247&lt;0,"убыток","ноль"))</f>
        <v>убыток</v>
      </c>
      <c r="O247" s="6" t="n">
        <f aca="false">IF(L247&lt;0,O246+1,0)</f>
        <v>3</v>
      </c>
      <c r="P247" s="6" t="n">
        <v>1</v>
      </c>
    </row>
    <row r="248" customFormat="false" ht="15" hidden="false" customHeight="false" outlineLevel="0" collapsed="false">
      <c r="A248" s="6" t="n">
        <v>243</v>
      </c>
      <c r="B248" s="5" t="s">
        <v>76</v>
      </c>
      <c r="C248" s="5" t="s">
        <v>25</v>
      </c>
      <c r="D248" s="11" t="n">
        <v>44749</v>
      </c>
      <c r="E248" s="11" t="n">
        <v>44750</v>
      </c>
      <c r="F248" s="5" t="s">
        <v>75</v>
      </c>
      <c r="G248" s="12" t="n">
        <v>367434.013103941</v>
      </c>
      <c r="H248" s="13" t="n">
        <v>101.5</v>
      </c>
      <c r="I248" s="13" t="n">
        <v>106.01</v>
      </c>
      <c r="K248" s="8" t="n">
        <v>35.8371469451133</v>
      </c>
      <c r="L248" s="8" t="n">
        <v>-17619.2474767404</v>
      </c>
      <c r="M248" s="8" t="n">
        <f aca="false">M247+L248</f>
        <v>1529255.03490656</v>
      </c>
      <c r="N248" s="5" t="str">
        <f aca="false">IF(L248&gt;0,"прибыль",IF(L248&lt;0,"убыток","ноль"))</f>
        <v>убыток</v>
      </c>
      <c r="O248" s="6" t="n">
        <f aca="false">IF(L248&lt;0,O247+1,0)</f>
        <v>4</v>
      </c>
      <c r="P248" s="6" t="n">
        <v>1</v>
      </c>
    </row>
    <row r="249" customFormat="false" ht="15" hidden="false" customHeight="false" outlineLevel="0" collapsed="false">
      <c r="A249" s="6" t="n">
        <v>244</v>
      </c>
      <c r="B249" s="5" t="s">
        <v>76</v>
      </c>
      <c r="C249" s="5" t="s">
        <v>25</v>
      </c>
      <c r="D249" s="11" t="n">
        <v>44750</v>
      </c>
      <c r="E249" s="11" t="n">
        <v>44755</v>
      </c>
      <c r="F249" s="5" t="s">
        <v>73</v>
      </c>
      <c r="G249" s="12" t="n">
        <v>331725.51546853</v>
      </c>
      <c r="H249" s="13" t="n">
        <v>106.01</v>
      </c>
      <c r="I249" s="13" t="n">
        <v>100.24</v>
      </c>
      <c r="K249" s="8" t="n">
        <v>31.368017178912</v>
      </c>
      <c r="L249" s="8" t="n">
        <v>-19177.4552790648</v>
      </c>
      <c r="M249" s="8" t="n">
        <f aca="false">M248+L249</f>
        <v>1510077.57962749</v>
      </c>
      <c r="N249" s="5" t="str">
        <f aca="false">IF(L249&gt;0,"прибыль",IF(L249&lt;0,"убыток","ноль"))</f>
        <v>убыток</v>
      </c>
      <c r="O249" s="6" t="n">
        <f aca="false">IF(L249&lt;0,O248+1,0)</f>
        <v>5</v>
      </c>
      <c r="P249" s="6" t="n">
        <v>3</v>
      </c>
    </row>
    <row r="250" customFormat="false" ht="15" hidden="false" customHeight="false" outlineLevel="0" collapsed="false">
      <c r="A250" s="6" t="n">
        <v>245</v>
      </c>
      <c r="B250" s="5" t="s">
        <v>76</v>
      </c>
      <c r="C250" s="5" t="s">
        <v>25</v>
      </c>
      <c r="D250" s="11" t="n">
        <v>44755</v>
      </c>
      <c r="E250" s="11" t="n">
        <v>44760</v>
      </c>
      <c r="F250" s="5" t="s">
        <v>75</v>
      </c>
      <c r="G250" s="12" t="n">
        <v>314780.915371597</v>
      </c>
      <c r="H250" s="13" t="n">
        <v>100.24</v>
      </c>
      <c r="I250" s="13" t="n">
        <v>102.45</v>
      </c>
      <c r="K250" s="8" t="n">
        <v>31.9784897342711</v>
      </c>
      <c r="L250" s="8" t="n">
        <v>-8118.76447213446</v>
      </c>
      <c r="M250" s="8" t="n">
        <f aca="false">M249+L250</f>
        <v>1501958.81515536</v>
      </c>
      <c r="N250" s="5" t="str">
        <f aca="false">IF(L250&gt;0,"прибыль",IF(L250&lt;0,"убыток","ноль"))</f>
        <v>убыток</v>
      </c>
      <c r="O250" s="6" t="n">
        <f aca="false">IF(L250&lt;0,O249+1,0)</f>
        <v>6</v>
      </c>
      <c r="P250" s="6" t="n">
        <v>3</v>
      </c>
    </row>
    <row r="251" customFormat="false" ht="15" hidden="false" customHeight="false" outlineLevel="0" collapsed="false">
      <c r="A251" s="6" t="n">
        <v>246</v>
      </c>
      <c r="B251" s="5" t="s">
        <v>76</v>
      </c>
      <c r="C251" s="5" t="s">
        <v>25</v>
      </c>
      <c r="D251" s="11" t="n">
        <v>44760</v>
      </c>
      <c r="E251" s="11" t="n">
        <v>44764</v>
      </c>
      <c r="F251" s="5" t="s">
        <v>73</v>
      </c>
      <c r="G251" s="12" t="n">
        <v>316702.093331426</v>
      </c>
      <c r="H251" s="13" t="n">
        <v>102.45</v>
      </c>
      <c r="I251" s="13" t="n">
        <v>104.01</v>
      </c>
      <c r="K251" s="8" t="n">
        <v>30.8565127030866</v>
      </c>
      <c r="L251" s="8" t="n">
        <v>3621.49929340146</v>
      </c>
      <c r="M251" s="8" t="n">
        <f aca="false">M250+L251</f>
        <v>1505580.31444876</v>
      </c>
      <c r="N251" s="5" t="str">
        <f aca="false">IF(L251&gt;0,"прибыль",IF(L251&lt;0,"убыток","ноль"))</f>
        <v>прибыль</v>
      </c>
      <c r="O251" s="6" t="n">
        <f aca="false">IF(L251&lt;0,O250+1,0)</f>
        <v>0</v>
      </c>
      <c r="P251" s="6" t="n">
        <v>4</v>
      </c>
    </row>
    <row r="252" customFormat="false" ht="15" hidden="false" customHeight="false" outlineLevel="0" collapsed="false">
      <c r="A252" s="6" t="n">
        <v>247</v>
      </c>
      <c r="B252" s="5" t="s">
        <v>76</v>
      </c>
      <c r="C252" s="5" t="s">
        <v>25</v>
      </c>
      <c r="D252" s="11" t="n">
        <v>44764</v>
      </c>
      <c r="E252" s="11" t="n">
        <v>44803</v>
      </c>
      <c r="F252" s="5" t="s">
        <v>75</v>
      </c>
      <c r="G252" s="12" t="n">
        <v>107409.213983313</v>
      </c>
      <c r="H252" s="13" t="n">
        <v>104.01</v>
      </c>
      <c r="I252" s="13" t="n">
        <v>104.77</v>
      </c>
      <c r="J252" s="5" t="s">
        <v>74</v>
      </c>
      <c r="K252" s="8" t="n">
        <v>17.7492680168529</v>
      </c>
      <c r="L252" s="8" t="n">
        <v>-9585.08665376468</v>
      </c>
      <c r="M252" s="8" t="n">
        <f aca="false">M251+L252</f>
        <v>1495995.227795</v>
      </c>
      <c r="N252" s="5" t="str">
        <f aca="false">IF(L252&gt;0,"прибыль",IF(L252&lt;0,"убыток","ноль"))</f>
        <v>убыток</v>
      </c>
      <c r="O252" s="6" t="n">
        <f aca="false">IF(L252&lt;0,O251+1,0)</f>
        <v>1</v>
      </c>
      <c r="P252" s="6" t="n">
        <v>27</v>
      </c>
    </row>
    <row r="253" customFormat="false" ht="15" hidden="false" customHeight="false" outlineLevel="0" collapsed="false">
      <c r="A253" s="6" t="n">
        <v>248</v>
      </c>
      <c r="B253" s="5" t="s">
        <v>76</v>
      </c>
      <c r="C253" s="5" t="s">
        <v>25</v>
      </c>
      <c r="D253" s="11" t="n">
        <v>44803</v>
      </c>
      <c r="E253" s="11" t="n">
        <v>44804</v>
      </c>
      <c r="F253" s="5" t="s">
        <v>75</v>
      </c>
      <c r="G253" s="12" t="n">
        <v>427375.399908886</v>
      </c>
      <c r="H253" s="13" t="n">
        <v>104.77</v>
      </c>
      <c r="I253" s="13" t="n">
        <v>100.96</v>
      </c>
      <c r="K253" s="8" t="n">
        <v>43.9021043582666</v>
      </c>
      <c r="L253" s="8" t="n">
        <v>-21223.1679942783</v>
      </c>
      <c r="M253" s="8" t="n">
        <f aca="false">M252+L253</f>
        <v>1474772.05980072</v>
      </c>
      <c r="N253" s="5" t="str">
        <f aca="false">IF(L253&gt;0,"прибыль",IF(L253&lt;0,"убыток","ноль"))</f>
        <v>убыток</v>
      </c>
      <c r="O253" s="6" t="n">
        <f aca="false">IF(L253&lt;0,O252+1,0)</f>
        <v>2</v>
      </c>
      <c r="P253" s="6" t="n">
        <v>1</v>
      </c>
    </row>
    <row r="254" customFormat="false" ht="15" hidden="false" customHeight="false" outlineLevel="0" collapsed="false">
      <c r="A254" s="6" t="n">
        <v>249</v>
      </c>
      <c r="B254" s="5" t="s">
        <v>76</v>
      </c>
      <c r="C254" s="5" t="s">
        <v>25</v>
      </c>
      <c r="D254" s="11" t="n">
        <v>44804</v>
      </c>
      <c r="E254" s="11" t="n">
        <v>44806</v>
      </c>
      <c r="F254" s="5" t="s">
        <v>73</v>
      </c>
      <c r="G254" s="12" t="n">
        <v>429487.421366525</v>
      </c>
      <c r="H254" s="13" t="n">
        <v>100.96</v>
      </c>
      <c r="I254" s="13" t="n">
        <v>95.89</v>
      </c>
      <c r="J254" s="5" t="s">
        <v>74</v>
      </c>
      <c r="K254" s="8" t="n">
        <v>40.9649548745831</v>
      </c>
      <c r="L254" s="8" t="n">
        <v>-19831.2668151088</v>
      </c>
      <c r="M254" s="8" t="n">
        <f aca="false">M253+L254</f>
        <v>1454940.79298561</v>
      </c>
      <c r="N254" s="5" t="str">
        <f aca="false">IF(L254&gt;0,"прибыль",IF(L254&lt;0,"убыток","ноль"))</f>
        <v>убыток</v>
      </c>
      <c r="O254" s="6" t="n">
        <f aca="false">IF(L254&lt;0,O253+1,0)</f>
        <v>3</v>
      </c>
      <c r="P254" s="6" t="n">
        <v>2</v>
      </c>
    </row>
    <row r="255" customFormat="false" ht="15" hidden="false" customHeight="false" outlineLevel="0" collapsed="false">
      <c r="A255" s="6" t="n">
        <v>250</v>
      </c>
      <c r="B255" s="5" t="s">
        <v>76</v>
      </c>
      <c r="C255" s="5" t="s">
        <v>25</v>
      </c>
      <c r="D255" s="11" t="n">
        <v>44806</v>
      </c>
      <c r="E255" s="11" t="n">
        <v>44811</v>
      </c>
      <c r="F255" s="5" t="s">
        <v>75</v>
      </c>
      <c r="G255" s="12" t="n">
        <v>409601.977985371</v>
      </c>
      <c r="H255" s="13" t="n">
        <v>95.89</v>
      </c>
      <c r="I255" s="13" t="n">
        <v>94.85</v>
      </c>
      <c r="K255" s="8" t="n">
        <v>40.3700092733235</v>
      </c>
      <c r="L255" s="8" t="n">
        <v>3225.80446506801</v>
      </c>
      <c r="M255" s="8" t="n">
        <f aca="false">M254+L255</f>
        <v>1458166.59745068</v>
      </c>
      <c r="N255" s="5" t="str">
        <f aca="false">IF(L255&gt;0,"прибыль",IF(L255&lt;0,"убыток","ноль"))</f>
        <v>прибыль</v>
      </c>
      <c r="O255" s="6" t="n">
        <f aca="false">IF(L255&lt;0,O254+1,0)</f>
        <v>0</v>
      </c>
      <c r="P255" s="6" t="n">
        <v>3</v>
      </c>
    </row>
    <row r="256" customFormat="false" ht="15" hidden="false" customHeight="false" outlineLevel="0" collapsed="false">
      <c r="A256" s="6" t="n">
        <v>251</v>
      </c>
      <c r="B256" s="5" t="s">
        <v>76</v>
      </c>
      <c r="C256" s="5" t="s">
        <v>25</v>
      </c>
      <c r="D256" s="11" t="n">
        <v>44811</v>
      </c>
      <c r="E256" s="11" t="n">
        <v>44812</v>
      </c>
      <c r="F256" s="5" t="s">
        <v>73</v>
      </c>
      <c r="G256" s="12" t="n">
        <v>401064.38195544</v>
      </c>
      <c r="H256" s="13" t="n">
        <v>94.85</v>
      </c>
      <c r="I256" s="13" t="n">
        <v>91.06</v>
      </c>
      <c r="K256" s="8" t="n">
        <v>37.853476297046</v>
      </c>
      <c r="L256" s="8" t="n">
        <v>-17220.7236631976</v>
      </c>
      <c r="M256" s="8" t="n">
        <f aca="false">M255+L256</f>
        <v>1440945.87378748</v>
      </c>
      <c r="N256" s="5" t="str">
        <f aca="false">IF(L256&gt;0,"прибыль",IF(L256&lt;0,"убыток","ноль"))</f>
        <v>убыток</v>
      </c>
      <c r="O256" s="6" t="n">
        <f aca="false">IF(L256&lt;0,O255+1,0)</f>
        <v>1</v>
      </c>
      <c r="P256" s="6" t="n">
        <v>1</v>
      </c>
    </row>
    <row r="257" customFormat="false" ht="15" hidden="false" customHeight="false" outlineLevel="0" collapsed="false">
      <c r="A257" s="6" t="n">
        <v>252</v>
      </c>
      <c r="B257" s="5" t="s">
        <v>76</v>
      </c>
      <c r="C257" s="5" t="s">
        <v>25</v>
      </c>
      <c r="D257" s="11" t="n">
        <v>44812</v>
      </c>
      <c r="E257" s="11" t="n">
        <v>44816</v>
      </c>
      <c r="F257" s="5" t="s">
        <v>75</v>
      </c>
      <c r="G257" s="12" t="n">
        <v>373188.01417238</v>
      </c>
      <c r="H257" s="13" t="n">
        <v>91.06</v>
      </c>
      <c r="I257" s="13" t="n">
        <v>93.85</v>
      </c>
      <c r="K257" s="8" t="n">
        <v>37.95501883247</v>
      </c>
      <c r="L257" s="8" t="n">
        <v>-12665.3223990185</v>
      </c>
      <c r="M257" s="8" t="n">
        <f aca="false">M256+L257</f>
        <v>1428280.55138846</v>
      </c>
      <c r="N257" s="5" t="str">
        <f aca="false">IF(L257&gt;0,"прибыль",IF(L257&lt;0,"убыток","ноль"))</f>
        <v>убыток</v>
      </c>
      <c r="O257" s="6" t="n">
        <f aca="false">IF(L257&lt;0,O256+1,0)</f>
        <v>2</v>
      </c>
      <c r="P257" s="6" t="n">
        <v>2</v>
      </c>
    </row>
    <row r="258" customFormat="false" ht="15" hidden="false" customHeight="false" outlineLevel="0" collapsed="false">
      <c r="A258" s="6" t="n">
        <v>253</v>
      </c>
      <c r="B258" s="5" t="s">
        <v>76</v>
      </c>
      <c r="C258" s="5" t="s">
        <v>25</v>
      </c>
      <c r="D258" s="11" t="n">
        <v>44816</v>
      </c>
      <c r="E258" s="11" t="n">
        <v>44817</v>
      </c>
      <c r="F258" s="5" t="s">
        <v>73</v>
      </c>
      <c r="G258" s="12" t="n">
        <v>373284.995096834</v>
      </c>
      <c r="H258" s="13" t="n">
        <v>93.85</v>
      </c>
      <c r="I258" s="13" t="n">
        <v>94.46</v>
      </c>
      <c r="K258" s="8" t="n">
        <v>38.1433263972682</v>
      </c>
      <c r="L258" s="8" t="n">
        <v>1244.86156792682</v>
      </c>
      <c r="M258" s="8" t="n">
        <f aca="false">M257+L258</f>
        <v>1429525.41295639</v>
      </c>
      <c r="N258" s="5" t="str">
        <f aca="false">IF(L258&gt;0,"прибыль",IF(L258&lt;0,"убыток","ноль"))</f>
        <v>прибыль</v>
      </c>
      <c r="O258" s="6" t="n">
        <f aca="false">IF(L258&lt;0,O257+1,0)</f>
        <v>0</v>
      </c>
      <c r="P258" s="6" t="n">
        <v>1</v>
      </c>
    </row>
    <row r="259" customFormat="false" ht="15" hidden="false" customHeight="false" outlineLevel="0" collapsed="false">
      <c r="A259" s="6" t="n">
        <v>254</v>
      </c>
      <c r="B259" s="5" t="s">
        <v>76</v>
      </c>
      <c r="C259" s="5" t="s">
        <v>25</v>
      </c>
      <c r="D259" s="11" t="n">
        <v>44817</v>
      </c>
      <c r="E259" s="11" t="n">
        <v>44868</v>
      </c>
      <c r="F259" s="5" t="s">
        <v>75</v>
      </c>
      <c r="G259" s="12" t="n">
        <v>575871.577156247</v>
      </c>
      <c r="H259" s="13" t="n">
        <v>94.46</v>
      </c>
      <c r="I259" s="13" t="n">
        <v>96.57</v>
      </c>
      <c r="J259" s="5" t="s">
        <v>74</v>
      </c>
      <c r="K259" s="8" t="n">
        <v>67.8574583289297</v>
      </c>
      <c r="L259" s="8" t="n">
        <v>-3661.07303100147</v>
      </c>
      <c r="M259" s="8" t="n">
        <f aca="false">M258+L259</f>
        <v>1425864.33992539</v>
      </c>
      <c r="N259" s="5" t="str">
        <f aca="false">IF(L259&gt;0,"прибыль",IF(L259&lt;0,"убыток","ноль"))</f>
        <v>убыток</v>
      </c>
      <c r="O259" s="6" t="n">
        <f aca="false">IF(L259&lt;0,O258+1,0)</f>
        <v>1</v>
      </c>
      <c r="P259" s="6" t="n">
        <v>37</v>
      </c>
    </row>
    <row r="260" customFormat="false" ht="15" hidden="false" customHeight="false" outlineLevel="0" collapsed="false">
      <c r="A260" s="6" t="n">
        <v>255</v>
      </c>
      <c r="B260" s="5" t="s">
        <v>76</v>
      </c>
      <c r="C260" s="5" t="s">
        <v>25</v>
      </c>
      <c r="D260" s="11" t="n">
        <v>44868</v>
      </c>
      <c r="E260" s="11" t="n">
        <v>44872</v>
      </c>
      <c r="F260" s="5" t="s">
        <v>73</v>
      </c>
      <c r="G260" s="12" t="n">
        <v>590111.324647635</v>
      </c>
      <c r="H260" s="13" t="n">
        <v>96.57</v>
      </c>
      <c r="I260" s="13" t="n">
        <v>95.22</v>
      </c>
      <c r="K260" s="8" t="n">
        <v>57.9692970616297</v>
      </c>
      <c r="L260" s="8" t="n">
        <v>-9584.60079561066</v>
      </c>
      <c r="M260" s="8" t="n">
        <f aca="false">M259+L260</f>
        <v>1416279.73912978</v>
      </c>
      <c r="N260" s="5" t="str">
        <f aca="false">IF(L260&gt;0,"прибыль",IF(L260&lt;0,"убыток","ноль"))</f>
        <v>убыток</v>
      </c>
      <c r="O260" s="6" t="n">
        <f aca="false">IF(L260&lt;0,O259+1,0)</f>
        <v>2</v>
      </c>
      <c r="P260" s="6" t="n">
        <v>1</v>
      </c>
    </row>
    <row r="261" customFormat="false" ht="15" hidden="false" customHeight="false" outlineLevel="0" collapsed="false">
      <c r="A261" s="6" t="n">
        <v>256</v>
      </c>
      <c r="B261" s="5" t="s">
        <v>76</v>
      </c>
      <c r="C261" s="5" t="s">
        <v>25</v>
      </c>
      <c r="D261" s="11" t="n">
        <v>44872</v>
      </c>
      <c r="E261" s="11" t="n">
        <v>44873</v>
      </c>
      <c r="F261" s="5" t="s">
        <v>75</v>
      </c>
      <c r="G261" s="12" t="n">
        <v>578801.248083508</v>
      </c>
      <c r="H261" s="13" t="n">
        <v>95.22</v>
      </c>
      <c r="I261" s="13" t="n">
        <v>98.66</v>
      </c>
      <c r="K261" s="8" t="n">
        <v>57.0998809329868</v>
      </c>
      <c r="L261" s="8" t="n">
        <v>-22328.8218016888</v>
      </c>
      <c r="M261" s="8" t="n">
        <f aca="false">M260+L261</f>
        <v>1393950.91732809</v>
      </c>
      <c r="N261" s="5" t="str">
        <f aca="false">IF(L261&gt;0,"прибыль",IF(L261&lt;0,"убыток","ноль"))</f>
        <v>убыток</v>
      </c>
      <c r="O261" s="6" t="n">
        <f aca="false">IF(L261&lt;0,O260+1,0)</f>
        <v>3</v>
      </c>
      <c r="P261" s="6" t="n">
        <v>1</v>
      </c>
    </row>
    <row r="262" customFormat="false" ht="15" hidden="false" customHeight="false" outlineLevel="0" collapsed="false">
      <c r="A262" s="6" t="n">
        <v>257</v>
      </c>
      <c r="B262" s="5" t="s">
        <v>76</v>
      </c>
      <c r="C262" s="5" t="s">
        <v>25</v>
      </c>
      <c r="D262" s="11" t="n">
        <v>44873</v>
      </c>
      <c r="E262" s="11" t="n">
        <v>44874</v>
      </c>
      <c r="F262" s="5" t="s">
        <v>73</v>
      </c>
      <c r="G262" s="12" t="n">
        <v>540924.648655472</v>
      </c>
      <c r="H262" s="13" t="n">
        <v>98.66</v>
      </c>
      <c r="I262" s="13" t="n">
        <v>96.54</v>
      </c>
      <c r="K262" s="8" t="n">
        <v>53.4090783103008</v>
      </c>
      <c r="L262" s="8" t="n">
        <v>-12905.5578644999</v>
      </c>
      <c r="M262" s="8" t="n">
        <f aca="false">M261+L262</f>
        <v>1381045.35946359</v>
      </c>
      <c r="N262" s="5" t="str">
        <f aca="false">IF(L262&gt;0,"прибыль",IF(L262&lt;0,"убыток","ноль"))</f>
        <v>убыток</v>
      </c>
      <c r="O262" s="6" t="n">
        <f aca="false">IF(L262&lt;0,O261+1,0)</f>
        <v>4</v>
      </c>
      <c r="P262" s="6" t="n">
        <v>1</v>
      </c>
    </row>
    <row r="263" customFormat="false" ht="15" hidden="false" customHeight="false" outlineLevel="0" collapsed="false">
      <c r="A263" s="6" t="n">
        <v>258</v>
      </c>
      <c r="B263" s="5" t="s">
        <v>76</v>
      </c>
      <c r="C263" s="5" t="s">
        <v>25</v>
      </c>
      <c r="D263" s="11" t="n">
        <v>44874</v>
      </c>
      <c r="E263" s="11" t="n">
        <v>44879</v>
      </c>
      <c r="F263" s="5" t="s">
        <v>75</v>
      </c>
      <c r="G263" s="12" t="n">
        <v>540109.066336734</v>
      </c>
      <c r="H263" s="13" t="n">
        <v>96.54</v>
      </c>
      <c r="I263" s="13" t="n">
        <v>96.76</v>
      </c>
      <c r="K263" s="8" t="n">
        <v>52.9067152375583</v>
      </c>
      <c r="L263" s="8" t="n">
        <v>-2566.13829558868</v>
      </c>
      <c r="M263" s="8" t="n">
        <f aca="false">M262+L263</f>
        <v>1378479.221168</v>
      </c>
      <c r="N263" s="5" t="str">
        <f aca="false">IF(L263&gt;0,"прибыль",IF(L263&lt;0,"убыток","ноль"))</f>
        <v>убыток</v>
      </c>
      <c r="O263" s="6" t="n">
        <f aca="false">IF(L263&lt;0,O262+1,0)</f>
        <v>5</v>
      </c>
      <c r="P263" s="6" t="n">
        <v>3</v>
      </c>
    </row>
    <row r="264" customFormat="false" ht="15" hidden="false" customHeight="false" outlineLevel="0" collapsed="false">
      <c r="A264" s="6" t="n">
        <v>259</v>
      </c>
      <c r="B264" s="5" t="s">
        <v>76</v>
      </c>
      <c r="C264" s="5" t="s">
        <v>25</v>
      </c>
      <c r="D264" s="11" t="n">
        <v>44879</v>
      </c>
      <c r="E264" s="11" t="n">
        <v>44880</v>
      </c>
      <c r="F264" s="5" t="s">
        <v>73</v>
      </c>
      <c r="G264" s="12" t="n">
        <v>515512.006834082</v>
      </c>
      <c r="H264" s="13" t="n">
        <v>96.76</v>
      </c>
      <c r="I264" s="13" t="n">
        <v>93.67</v>
      </c>
      <c r="K264" s="8" t="n">
        <v>50.1702509182857</v>
      </c>
      <c r="L264" s="8" t="n">
        <v>-17721.8899894715</v>
      </c>
      <c r="M264" s="8" t="n">
        <f aca="false">M263+L264</f>
        <v>1360757.33117853</v>
      </c>
      <c r="N264" s="5" t="str">
        <f aca="false">IF(L264&gt;0,"прибыль",IF(L264&lt;0,"убыток","ноль"))</f>
        <v>убыток</v>
      </c>
      <c r="O264" s="6" t="n">
        <f aca="false">IF(L264&lt;0,O263+1,0)</f>
        <v>6</v>
      </c>
      <c r="P264" s="6" t="n">
        <v>1</v>
      </c>
    </row>
    <row r="265" customFormat="false" ht="15" hidden="false" customHeight="false" outlineLevel="0" collapsed="false">
      <c r="A265" s="6" t="n">
        <v>260</v>
      </c>
      <c r="B265" s="5" t="s">
        <v>76</v>
      </c>
      <c r="C265" s="5" t="s">
        <v>25</v>
      </c>
      <c r="D265" s="11" t="n">
        <v>44880</v>
      </c>
      <c r="E265" s="11" t="n">
        <v>44888</v>
      </c>
      <c r="F265" s="5" t="s">
        <v>75</v>
      </c>
      <c r="G265" s="12" t="n">
        <v>505564.731270185</v>
      </c>
      <c r="H265" s="13" t="n">
        <v>93.67</v>
      </c>
      <c r="I265" s="13" t="n">
        <v>88.86</v>
      </c>
      <c r="K265" s="8" t="n">
        <v>48.0613177547486</v>
      </c>
      <c r="L265" s="8" t="n">
        <v>24716.2336619011</v>
      </c>
      <c r="M265" s="8" t="n">
        <f aca="false">M264+L265</f>
        <v>1385473.56484043</v>
      </c>
      <c r="N265" s="5" t="str">
        <f aca="false">IF(L265&gt;0,"прибыль",IF(L265&lt;0,"убыток","ноль"))</f>
        <v>прибыль</v>
      </c>
      <c r="O265" s="6" t="n">
        <f aca="false">IF(L265&lt;0,O264+1,0)</f>
        <v>0</v>
      </c>
      <c r="P265" s="6" t="n">
        <v>6</v>
      </c>
    </row>
    <row r="266" customFormat="false" ht="15" hidden="false" customHeight="false" outlineLevel="0" collapsed="false">
      <c r="A266" s="6" t="n">
        <v>261</v>
      </c>
      <c r="B266" s="5" t="s">
        <v>76</v>
      </c>
      <c r="C266" s="5" t="s">
        <v>25</v>
      </c>
      <c r="D266" s="11" t="n">
        <v>44888</v>
      </c>
      <c r="E266" s="11" t="n">
        <v>44889</v>
      </c>
      <c r="F266" s="5" t="s">
        <v>73</v>
      </c>
      <c r="G266" s="12" t="n">
        <v>480425.918804441</v>
      </c>
      <c r="H266" s="13" t="n">
        <v>88.86</v>
      </c>
      <c r="I266" s="13" t="n">
        <v>86.4</v>
      </c>
      <c r="K266" s="8" t="n">
        <v>46.2891109549879</v>
      </c>
      <c r="L266" s="8" t="n">
        <v>-14551.5444000331</v>
      </c>
      <c r="M266" s="8" t="n">
        <f aca="false">M265+L266</f>
        <v>1370922.02044039</v>
      </c>
      <c r="N266" s="5" t="str">
        <f aca="false">IF(L266&gt;0,"прибыль",IF(L266&lt;0,"убыток","ноль"))</f>
        <v>убыток</v>
      </c>
      <c r="O266" s="6" t="n">
        <f aca="false">IF(L266&lt;0,O265+1,0)</f>
        <v>1</v>
      </c>
      <c r="P266" s="6" t="n">
        <v>1</v>
      </c>
    </row>
    <row r="267" customFormat="false" ht="15" hidden="false" customHeight="false" outlineLevel="0" collapsed="false">
      <c r="A267" s="6" t="n">
        <v>262</v>
      </c>
      <c r="B267" s="5" t="s">
        <v>76</v>
      </c>
      <c r="C267" s="5" t="s">
        <v>25</v>
      </c>
      <c r="D267" s="11" t="n">
        <v>44889</v>
      </c>
      <c r="E267" s="11" t="n">
        <v>44992</v>
      </c>
      <c r="F267" s="5" t="s">
        <v>75</v>
      </c>
      <c r="G267" s="12" t="n">
        <v>771906.935576981</v>
      </c>
      <c r="H267" s="13" t="n">
        <v>86.4</v>
      </c>
      <c r="I267" s="13" t="n">
        <v>87.38</v>
      </c>
      <c r="J267" s="5" t="s">
        <v>74</v>
      </c>
      <c r="K267" s="8" t="n">
        <v>83.0006710775816</v>
      </c>
      <c r="L267" s="8" t="n">
        <v>79873.8668935329</v>
      </c>
      <c r="M267" s="8" t="n">
        <f aca="false">M266+L267</f>
        <v>1450795.88733393</v>
      </c>
      <c r="N267" s="5" t="str">
        <f aca="false">IF(L267&gt;0,"прибыль",IF(L267&lt;0,"убыток","ноль"))</f>
        <v>прибыль</v>
      </c>
      <c r="O267" s="6" t="n">
        <f aca="false">IF(L267&lt;0,O266+1,0)</f>
        <v>0</v>
      </c>
      <c r="P267" s="6" t="n">
        <v>71</v>
      </c>
    </row>
    <row r="268" customFormat="false" ht="15" hidden="false" customHeight="false" outlineLevel="0" collapsed="false">
      <c r="A268" s="6" t="n">
        <v>263</v>
      </c>
      <c r="B268" s="5" t="s">
        <v>76</v>
      </c>
      <c r="C268" s="5" t="s">
        <v>25</v>
      </c>
      <c r="D268" s="11" t="n">
        <v>44992</v>
      </c>
      <c r="E268" s="11" t="n">
        <v>44994</v>
      </c>
      <c r="F268" s="5" t="s">
        <v>73</v>
      </c>
      <c r="G268" s="12" t="n">
        <v>656017.973546674</v>
      </c>
      <c r="H268" s="13" t="n">
        <v>87.38</v>
      </c>
      <c r="I268" s="13" t="n">
        <v>85.25</v>
      </c>
      <c r="K268" s="8" t="n">
        <v>62.4648412173088</v>
      </c>
      <c r="L268" s="8" t="n">
        <v>-17380.1625748455</v>
      </c>
      <c r="M268" s="8" t="n">
        <f aca="false">M267+L268</f>
        <v>1433415.72475908</v>
      </c>
      <c r="N268" s="5" t="str">
        <f aca="false">IF(L268&gt;0,"прибыль",IF(L268&lt;0,"убыток","ноль"))</f>
        <v>убыток</v>
      </c>
      <c r="O268" s="6" t="n">
        <f aca="false">IF(L268&lt;0,O267+1,0)</f>
        <v>1</v>
      </c>
      <c r="P268" s="6" t="n">
        <v>1</v>
      </c>
    </row>
    <row r="269" customFormat="false" ht="15" hidden="false" customHeight="false" outlineLevel="0" collapsed="false">
      <c r="A269" s="6" t="n">
        <v>264</v>
      </c>
      <c r="B269" s="5" t="s">
        <v>76</v>
      </c>
      <c r="C269" s="5" t="s">
        <v>25</v>
      </c>
      <c r="D269" s="11" t="n">
        <v>44994</v>
      </c>
      <c r="E269" s="11" t="n">
        <v>45064</v>
      </c>
      <c r="F269" s="5" t="s">
        <v>75</v>
      </c>
      <c r="G269" s="12" t="n">
        <v>192019.454967077</v>
      </c>
      <c r="H269" s="13" t="n">
        <v>85.25</v>
      </c>
      <c r="I269" s="13" t="n">
        <v>77.4</v>
      </c>
      <c r="J269" s="5" t="s">
        <v>74</v>
      </c>
      <c r="K269" s="8" t="n">
        <v>16.9735102328185</v>
      </c>
      <c r="L269" s="8" t="n">
        <v>25475.2265269995</v>
      </c>
      <c r="M269" s="8" t="n">
        <f aca="false">M268+L269</f>
        <v>1458890.95128608</v>
      </c>
      <c r="N269" s="5" t="str">
        <f aca="false">IF(L269&gt;0,"прибыль",IF(L269&lt;0,"убыток","ноль"))</f>
        <v>прибыль</v>
      </c>
      <c r="O269" s="6" t="n">
        <f aca="false">IF(L269&lt;0,O268+1,0)</f>
        <v>0</v>
      </c>
      <c r="P269" s="6" t="n">
        <v>48</v>
      </c>
    </row>
    <row r="270" customFormat="false" ht="15" hidden="false" customHeight="false" outlineLevel="0" collapsed="false">
      <c r="A270" s="6" t="n">
        <v>265</v>
      </c>
      <c r="B270" s="5" t="s">
        <v>76</v>
      </c>
      <c r="C270" s="5" t="s">
        <v>25</v>
      </c>
      <c r="D270" s="11" t="n">
        <v>45064</v>
      </c>
      <c r="E270" s="11" t="n">
        <v>45120</v>
      </c>
      <c r="F270" s="5" t="s">
        <v>75</v>
      </c>
      <c r="G270" s="12" t="n">
        <v>727707.556721575</v>
      </c>
      <c r="H270" s="13" t="n">
        <v>77.4</v>
      </c>
      <c r="I270" s="13" t="n">
        <v>80.49</v>
      </c>
      <c r="J270" s="5" t="s">
        <v>74</v>
      </c>
      <c r="K270" s="8" t="n">
        <v>71.706558203109</v>
      </c>
      <c r="L270" s="8" t="n">
        <v>72491.2496299786</v>
      </c>
      <c r="M270" s="8" t="n">
        <f aca="false">M269+L270</f>
        <v>1531382.20091606</v>
      </c>
      <c r="N270" s="5" t="str">
        <f aca="false">IF(L270&gt;0,"прибыль",IF(L270&lt;0,"убыток","ноль"))</f>
        <v>прибыль</v>
      </c>
      <c r="O270" s="6" t="n">
        <f aca="false">IF(L270&lt;0,O269+1,0)</f>
        <v>0</v>
      </c>
      <c r="P270" s="6" t="n">
        <v>39</v>
      </c>
    </row>
    <row r="271" customFormat="false" ht="15" hidden="false" customHeight="false" outlineLevel="0" collapsed="false">
      <c r="A271" s="6" t="n">
        <v>266</v>
      </c>
      <c r="B271" s="5" t="s">
        <v>76</v>
      </c>
      <c r="C271" s="5" t="s">
        <v>25</v>
      </c>
      <c r="D271" s="11" t="n">
        <v>45120</v>
      </c>
      <c r="E271" s="11" t="n">
        <v>45121</v>
      </c>
      <c r="F271" s="5" t="s">
        <v>73</v>
      </c>
      <c r="G271" s="12" t="n">
        <v>9.81575357461046E-011</v>
      </c>
      <c r="H271" s="13" t="n">
        <v>80.49</v>
      </c>
      <c r="I271" s="13" t="n">
        <v>81.59</v>
      </c>
      <c r="K271" s="8" t="n">
        <v>4.96490800749648E-015</v>
      </c>
      <c r="L271" s="8" t="n">
        <v>1.13565949581756E-012</v>
      </c>
      <c r="M271" s="8" t="n">
        <f aca="false">M270+L271</f>
        <v>1531382.20091606</v>
      </c>
      <c r="N271" s="5" t="str">
        <f aca="false">IF(L271&gt;0,"прибыль",IF(L271&lt;0,"убыток","ноль"))</f>
        <v>прибыль</v>
      </c>
      <c r="O271" s="6" t="n">
        <f aca="false">IF(L271&lt;0,O270+1,0)</f>
        <v>0</v>
      </c>
      <c r="P271" s="6" t="n">
        <v>1</v>
      </c>
    </row>
    <row r="272" customFormat="false" ht="15" hidden="false" customHeight="false" outlineLevel="0" collapsed="false">
      <c r="A272" s="6" t="n">
        <v>267</v>
      </c>
      <c r="B272" s="5" t="s">
        <v>76</v>
      </c>
      <c r="C272" s="5" t="s">
        <v>25</v>
      </c>
      <c r="D272" s="11" t="n">
        <v>45121</v>
      </c>
      <c r="E272" s="11" t="n">
        <v>45124</v>
      </c>
      <c r="F272" s="5" t="s">
        <v>73</v>
      </c>
      <c r="G272" s="12" t="n">
        <v>642799.05009979</v>
      </c>
      <c r="H272" s="13" t="n">
        <v>81.59</v>
      </c>
      <c r="I272" s="13" t="n">
        <v>79.5</v>
      </c>
      <c r="K272" s="8" t="n">
        <v>62.9811797201732</v>
      </c>
      <c r="L272" s="8" t="n">
        <v>-9279.51890474295</v>
      </c>
      <c r="M272" s="8" t="n">
        <f aca="false">M271+L272</f>
        <v>1522102.68201132</v>
      </c>
      <c r="N272" s="5" t="str">
        <f aca="false">IF(L272&gt;0,"прибыль",IF(L272&lt;0,"убыток","ноль"))</f>
        <v>убыток</v>
      </c>
      <c r="O272" s="6" t="n">
        <f aca="false">IF(L272&lt;0,O271+1,0)</f>
        <v>1</v>
      </c>
      <c r="P272" s="6" t="n">
        <v>1</v>
      </c>
    </row>
    <row r="273" customFormat="false" ht="15" hidden="false" customHeight="false" outlineLevel="0" collapsed="false">
      <c r="A273" s="6" t="n">
        <v>268</v>
      </c>
      <c r="B273" s="5" t="s">
        <v>76</v>
      </c>
      <c r="C273" s="5" t="s">
        <v>25</v>
      </c>
      <c r="D273" s="11" t="n">
        <v>45124</v>
      </c>
      <c r="E273" s="11" t="n">
        <v>45125</v>
      </c>
      <c r="F273" s="5" t="s">
        <v>75</v>
      </c>
      <c r="G273" s="12" t="n">
        <v>9.67501400272422E-011</v>
      </c>
      <c r="H273" s="13" t="n">
        <v>79.5</v>
      </c>
      <c r="I273" s="13" t="n">
        <v>79.05</v>
      </c>
      <c r="K273" s="8" t="n">
        <v>4.82022380276572E-015</v>
      </c>
      <c r="L273" s="8" t="n">
        <v>3.40843748125085E-013</v>
      </c>
      <c r="M273" s="8" t="n">
        <f aca="false">M272+L273</f>
        <v>1522102.68201132</v>
      </c>
      <c r="N273" s="5" t="str">
        <f aca="false">IF(L273&gt;0,"прибыль",IF(L273&lt;0,"убыток","ноль"))</f>
        <v>прибыль</v>
      </c>
      <c r="O273" s="6" t="n">
        <f aca="false">IF(L273&lt;0,O272+1,0)</f>
        <v>0</v>
      </c>
      <c r="P273" s="6" t="n">
        <v>1</v>
      </c>
    </row>
    <row r="274" customFormat="false" ht="15" hidden="false" customHeight="false" outlineLevel="0" collapsed="false">
      <c r="A274" s="6" t="n">
        <v>269</v>
      </c>
      <c r="B274" s="5" t="s">
        <v>76</v>
      </c>
      <c r="C274" s="5" t="s">
        <v>25</v>
      </c>
      <c r="D274" s="11" t="n">
        <v>45125</v>
      </c>
      <c r="E274" s="11" t="n">
        <v>45131</v>
      </c>
      <c r="F274" s="5" t="s">
        <v>75</v>
      </c>
      <c r="G274" s="12" t="n">
        <v>626041.082028695</v>
      </c>
      <c r="H274" s="13" t="n">
        <v>79.05</v>
      </c>
      <c r="I274" s="13" t="n">
        <v>80.99</v>
      </c>
      <c r="K274" s="8" t="n">
        <v>68.597365979938</v>
      </c>
      <c r="L274" s="8" t="n">
        <v>-13063.5850890303</v>
      </c>
      <c r="M274" s="8" t="n">
        <f aca="false">M273+L274</f>
        <v>1509039.09692229</v>
      </c>
      <c r="N274" s="5" t="str">
        <f aca="false">IF(L274&gt;0,"прибыль",IF(L274&lt;0,"убыток","ноль"))</f>
        <v>убыток</v>
      </c>
      <c r="O274" s="6" t="n">
        <f aca="false">IF(L274&lt;0,O273+1,0)</f>
        <v>1</v>
      </c>
      <c r="P274" s="6" t="n">
        <v>4</v>
      </c>
    </row>
    <row r="275" customFormat="false" ht="15" hidden="false" customHeight="false" outlineLevel="0" collapsed="false">
      <c r="A275" s="6" t="n">
        <v>270</v>
      </c>
      <c r="B275" s="5" t="s">
        <v>76</v>
      </c>
      <c r="C275" s="5" t="s">
        <v>25</v>
      </c>
      <c r="D275" s="11" t="n">
        <v>45131</v>
      </c>
      <c r="E275" s="11" t="n">
        <v>45132</v>
      </c>
      <c r="F275" s="5" t="s">
        <v>73</v>
      </c>
      <c r="G275" s="12" t="n">
        <v>9.8758421780547E-011</v>
      </c>
      <c r="H275" s="13" t="n">
        <v>80.99</v>
      </c>
      <c r="I275" s="13" t="n">
        <v>82.99</v>
      </c>
      <c r="K275" s="8" t="n">
        <v>5.05022659398826E-015</v>
      </c>
      <c r="L275" s="8" t="n">
        <v>2.2410598726242E-012</v>
      </c>
      <c r="M275" s="8" t="n">
        <f aca="false">M274+L275</f>
        <v>1509039.09692229</v>
      </c>
      <c r="N275" s="5" t="str">
        <f aca="false">IF(L275&gt;0,"прибыль",IF(L275&lt;0,"убыток","ноль"))</f>
        <v>прибыль</v>
      </c>
      <c r="O275" s="6" t="n">
        <f aca="false">IF(L275&lt;0,O274+1,0)</f>
        <v>0</v>
      </c>
      <c r="P275" s="6" t="n">
        <v>1</v>
      </c>
    </row>
    <row r="276" customFormat="false" ht="15" hidden="false" customHeight="false" outlineLevel="0" collapsed="false">
      <c r="A276" s="6" t="n">
        <v>271</v>
      </c>
      <c r="B276" s="5" t="s">
        <v>76</v>
      </c>
      <c r="C276" s="5" t="s">
        <v>25</v>
      </c>
      <c r="D276" s="11" t="n">
        <v>45132</v>
      </c>
      <c r="E276" s="11" t="n">
        <v>45204</v>
      </c>
      <c r="F276" s="5" t="s">
        <v>73</v>
      </c>
      <c r="G276" s="12" t="n">
        <v>358935.568251188</v>
      </c>
      <c r="H276" s="13" t="n">
        <v>82.99</v>
      </c>
      <c r="I276" s="13" t="n">
        <v>86.64</v>
      </c>
      <c r="J276" s="5" t="s">
        <v>74</v>
      </c>
      <c r="K276" s="8" t="n">
        <v>27.6407287953826</v>
      </c>
      <c r="L276" s="8" t="n">
        <v>27780.0315997407</v>
      </c>
      <c r="M276" s="8" t="n">
        <f aca="false">M275+L276</f>
        <v>1536819.12852203</v>
      </c>
      <c r="N276" s="5" t="str">
        <f aca="false">IF(L276&gt;0,"прибыль",IF(L276&lt;0,"убыток","ноль"))</f>
        <v>прибыль</v>
      </c>
      <c r="O276" s="6" t="n">
        <f aca="false">IF(L276&lt;0,O275+1,0)</f>
        <v>0</v>
      </c>
      <c r="P276" s="6" t="n">
        <v>52</v>
      </c>
    </row>
    <row r="277" customFormat="false" ht="15" hidden="false" customHeight="false" outlineLevel="0" collapsed="false">
      <c r="A277" s="6" t="n">
        <v>272</v>
      </c>
      <c r="B277" s="5" t="s">
        <v>76</v>
      </c>
      <c r="C277" s="5" t="s">
        <v>25</v>
      </c>
      <c r="D277" s="11" t="n">
        <v>45204</v>
      </c>
      <c r="E277" s="11" t="n">
        <v>45215</v>
      </c>
      <c r="F277" s="5" t="s">
        <v>73</v>
      </c>
      <c r="G277" s="12" t="n">
        <v>176502.986938427</v>
      </c>
      <c r="H277" s="13" t="n">
        <v>86.64</v>
      </c>
      <c r="I277" s="13" t="n">
        <v>91.13</v>
      </c>
      <c r="K277" s="8" t="n">
        <v>9.99834854354585</v>
      </c>
      <c r="L277" s="8" t="n">
        <v>23453.9855839468</v>
      </c>
      <c r="M277" s="8" t="n">
        <f aca="false">M276+L277</f>
        <v>1560273.11410597</v>
      </c>
      <c r="N277" s="5" t="str">
        <f aca="false">IF(L277&gt;0,"прибыль",IF(L277&lt;0,"убыток","ноль"))</f>
        <v>прибыль</v>
      </c>
      <c r="O277" s="6" t="n">
        <f aca="false">IF(L277&lt;0,O276+1,0)</f>
        <v>0</v>
      </c>
      <c r="P277" s="6" t="n">
        <v>7</v>
      </c>
    </row>
    <row r="278" customFormat="false" ht="15" hidden="false" customHeight="false" outlineLevel="0" collapsed="false">
      <c r="A278" s="6" t="n">
        <v>273</v>
      </c>
      <c r="B278" s="5" t="s">
        <v>76</v>
      </c>
      <c r="C278" s="5" t="s">
        <v>25</v>
      </c>
      <c r="D278" s="11" t="n">
        <v>45215</v>
      </c>
      <c r="E278" s="11" t="n">
        <v>45238</v>
      </c>
      <c r="F278" s="5" t="s">
        <v>73</v>
      </c>
      <c r="G278" s="12" t="n">
        <v>363544.029985327</v>
      </c>
      <c r="H278" s="13" t="n">
        <v>91.13</v>
      </c>
      <c r="I278" s="13" t="n">
        <v>83.24</v>
      </c>
      <c r="J278" s="5" t="s">
        <v>74</v>
      </c>
      <c r="K278" s="8" t="n">
        <v>41.4550881259955</v>
      </c>
      <c r="L278" s="8" t="n">
        <v>18742.8234008161</v>
      </c>
      <c r="M278" s="8" t="n">
        <f aca="false">M277+L278</f>
        <v>1579015.93750679</v>
      </c>
      <c r="N278" s="5" t="str">
        <f aca="false">IF(L278&gt;0,"прибыль",IF(L278&lt;0,"убыток","ноль"))</f>
        <v>прибыль</v>
      </c>
      <c r="O278" s="6" t="n">
        <f aca="false">IF(L278&lt;0,O277+1,0)</f>
        <v>0</v>
      </c>
      <c r="P278" s="6" t="n">
        <v>17</v>
      </c>
    </row>
    <row r="279" customFormat="false" ht="15" hidden="false" customHeight="false" outlineLevel="0" collapsed="false">
      <c r="A279" s="6" t="n">
        <v>274</v>
      </c>
      <c r="B279" s="5" t="s">
        <v>76</v>
      </c>
      <c r="C279" s="5" t="s">
        <v>25</v>
      </c>
      <c r="D279" s="11" t="n">
        <v>45238</v>
      </c>
      <c r="E279" s="11" t="n">
        <v>45299</v>
      </c>
      <c r="F279" s="5" t="s">
        <v>75</v>
      </c>
      <c r="G279" s="12" t="n">
        <v>565958.086087064</v>
      </c>
      <c r="H279" s="13" t="n">
        <v>83.24</v>
      </c>
      <c r="I279" s="13" t="n">
        <v>78.49</v>
      </c>
      <c r="J279" s="5" t="s">
        <v>74</v>
      </c>
      <c r="K279" s="8" t="n">
        <v>64.4913854832234</v>
      </c>
      <c r="L279" s="8" t="n">
        <v>-1459.81409601939</v>
      </c>
      <c r="M279" s="8" t="n">
        <f aca="false">M278+L279</f>
        <v>1577556.12341077</v>
      </c>
      <c r="N279" s="5" t="str">
        <f aca="false">IF(L279&gt;0,"прибыль",IF(L279&lt;0,"убыток","ноль"))</f>
        <v>убыток</v>
      </c>
      <c r="O279" s="6" t="n">
        <f aca="false">IF(L279&lt;0,O278+1,0)</f>
        <v>1</v>
      </c>
      <c r="P279" s="6" t="n">
        <v>41</v>
      </c>
    </row>
    <row r="280" customFormat="false" ht="15" hidden="false" customHeight="false" outlineLevel="0" collapsed="false">
      <c r="A280" s="6" t="n">
        <v>275</v>
      </c>
      <c r="B280" s="5" t="s">
        <v>76</v>
      </c>
      <c r="C280" s="5" t="s">
        <v>25</v>
      </c>
      <c r="D280" s="11" t="n">
        <v>45299</v>
      </c>
      <c r="E280" s="11" t="n">
        <v>45300</v>
      </c>
      <c r="F280" s="5" t="s">
        <v>73</v>
      </c>
      <c r="G280" s="12" t="n">
        <v>603289.668825446</v>
      </c>
      <c r="H280" s="13" t="n">
        <v>78.49</v>
      </c>
      <c r="I280" s="13" t="n">
        <v>76.8</v>
      </c>
      <c r="K280" s="8" t="n">
        <v>56.7867724401165</v>
      </c>
      <c r="L280" s="8" t="n">
        <v>-14351.7052353824</v>
      </c>
      <c r="M280" s="8" t="n">
        <f aca="false">M279+L280</f>
        <v>1563204.41817539</v>
      </c>
      <c r="N280" s="5" t="str">
        <f aca="false">IF(L280&gt;0,"прибыль",IF(L280&lt;0,"убыток","ноль"))</f>
        <v>убыток</v>
      </c>
      <c r="O280" s="6" t="n">
        <f aca="false">IF(L280&lt;0,O279+1,0)</f>
        <v>2</v>
      </c>
      <c r="P280" s="6" t="n">
        <v>1</v>
      </c>
    </row>
    <row r="281" customFormat="false" ht="15" hidden="false" customHeight="false" outlineLevel="0" collapsed="false">
      <c r="A281" s="6" t="n">
        <v>276</v>
      </c>
      <c r="B281" s="5" t="s">
        <v>76</v>
      </c>
      <c r="C281" s="5" t="s">
        <v>25</v>
      </c>
      <c r="D281" s="11" t="n">
        <v>45300</v>
      </c>
      <c r="E281" s="11" t="n">
        <v>45301</v>
      </c>
      <c r="F281" s="5" t="s">
        <v>75</v>
      </c>
      <c r="G281" s="12" t="n">
        <v>1.02596563494804E-010</v>
      </c>
      <c r="H281" s="13" t="n">
        <v>76.8</v>
      </c>
      <c r="I281" s="13" t="n">
        <v>78.25</v>
      </c>
      <c r="K281" s="8" t="n">
        <v>5.23864495253477E-015</v>
      </c>
      <c r="L281" s="8" t="n">
        <v>-2.18157420084441E-012</v>
      </c>
      <c r="M281" s="8" t="n">
        <f aca="false">M280+L281</f>
        <v>1563204.41817539</v>
      </c>
      <c r="N281" s="5" t="str">
        <f aca="false">IF(L281&gt;0,"прибыль",IF(L281&lt;0,"убыток","ноль"))</f>
        <v>убыток</v>
      </c>
      <c r="O281" s="6" t="n">
        <f aca="false">IF(L281&lt;0,O280+1,0)</f>
        <v>3</v>
      </c>
      <c r="P281" s="6" t="n">
        <v>1</v>
      </c>
    </row>
    <row r="282" customFormat="false" ht="15" hidden="false" customHeight="false" outlineLevel="0" collapsed="false">
      <c r="A282" s="6" t="n">
        <v>277</v>
      </c>
      <c r="B282" s="5" t="s">
        <v>76</v>
      </c>
      <c r="C282" s="5" t="s">
        <v>25</v>
      </c>
      <c r="D282" s="11" t="n">
        <v>45301</v>
      </c>
      <c r="E282" s="11" t="n">
        <v>45306</v>
      </c>
      <c r="F282" s="5" t="s">
        <v>75</v>
      </c>
      <c r="G282" s="12" t="n">
        <v>546740.698439826</v>
      </c>
      <c r="H282" s="13" t="n">
        <v>78.25</v>
      </c>
      <c r="I282" s="13" t="n">
        <v>78.93</v>
      </c>
      <c r="K282" s="8" t="n">
        <v>59.0391786036256</v>
      </c>
      <c r="L282" s="8" t="n">
        <v>-16462.1484773119</v>
      </c>
      <c r="M282" s="8" t="n">
        <f aca="false">M281+L282</f>
        <v>1546742.26969808</v>
      </c>
      <c r="N282" s="5" t="str">
        <f aca="false">IF(L282&gt;0,"прибыль",IF(L282&lt;0,"убыток","ноль"))</f>
        <v>убыток</v>
      </c>
      <c r="O282" s="6" t="n">
        <f aca="false">IF(L282&lt;0,O281+1,0)</f>
        <v>4</v>
      </c>
      <c r="P282" s="6" t="n">
        <v>3</v>
      </c>
    </row>
    <row r="283" customFormat="false" ht="15" hidden="false" customHeight="false" outlineLevel="0" collapsed="false">
      <c r="A283" s="6" t="n">
        <v>278</v>
      </c>
      <c r="B283" s="5" t="s">
        <v>76</v>
      </c>
      <c r="C283" s="5" t="s">
        <v>25</v>
      </c>
      <c r="D283" s="11" t="n">
        <v>45306</v>
      </c>
      <c r="E283" s="11" t="n">
        <v>45309</v>
      </c>
      <c r="F283" s="5" t="s">
        <v>73</v>
      </c>
      <c r="G283" s="12" t="n">
        <v>617639.764333977</v>
      </c>
      <c r="H283" s="13" t="n">
        <v>78.93</v>
      </c>
      <c r="I283" s="13" t="n">
        <v>78.32</v>
      </c>
      <c r="K283" s="8" t="n">
        <v>64.8249020061762</v>
      </c>
      <c r="L283" s="8" t="n">
        <v>-6084.63976158161</v>
      </c>
      <c r="M283" s="8" t="n">
        <f aca="false">M282+L283</f>
        <v>1540657.62993649</v>
      </c>
      <c r="N283" s="5" t="str">
        <f aca="false">IF(L283&gt;0,"прибыль",IF(L283&lt;0,"убыток","ноль"))</f>
        <v>убыток</v>
      </c>
      <c r="O283" s="6" t="n">
        <f aca="false">IF(L283&lt;0,O282+1,0)</f>
        <v>5</v>
      </c>
      <c r="P283" s="6" t="n">
        <v>3</v>
      </c>
    </row>
    <row r="284" customFormat="false" ht="15" hidden="false" customHeight="false" outlineLevel="0" collapsed="false">
      <c r="A284" s="6" t="n">
        <v>279</v>
      </c>
      <c r="B284" s="5" t="s">
        <v>76</v>
      </c>
      <c r="C284" s="5" t="s">
        <v>25</v>
      </c>
      <c r="D284" s="11" t="n">
        <v>45309</v>
      </c>
      <c r="E284" s="11" t="n">
        <v>45310</v>
      </c>
      <c r="F284" s="5" t="s">
        <v>75</v>
      </c>
      <c r="G284" s="12" t="n">
        <v>684878.090649122</v>
      </c>
      <c r="H284" s="13" t="n">
        <v>78.32</v>
      </c>
      <c r="I284" s="13" t="n">
        <v>79.19</v>
      </c>
      <c r="K284" s="8" t="n">
        <v>69.3315422896928</v>
      </c>
      <c r="L284" s="8" t="n">
        <v>-9032.09500908895</v>
      </c>
      <c r="M284" s="8" t="n">
        <f aca="false">M283+L284</f>
        <v>1531625.53492741</v>
      </c>
      <c r="N284" s="5" t="str">
        <f aca="false">IF(L284&gt;0,"прибыль",IF(L284&lt;0,"убыток","ноль"))</f>
        <v>убыток</v>
      </c>
      <c r="O284" s="6" t="n">
        <f aca="false">IF(L284&lt;0,O283+1,0)</f>
        <v>6</v>
      </c>
      <c r="P284" s="6" t="n">
        <v>1</v>
      </c>
    </row>
    <row r="285" customFormat="false" ht="15" hidden="false" customHeight="false" outlineLevel="0" collapsed="false">
      <c r="A285" s="6" t="n">
        <v>280</v>
      </c>
      <c r="B285" s="5" t="s">
        <v>76</v>
      </c>
      <c r="C285" s="5" t="s">
        <v>25</v>
      </c>
      <c r="D285" s="11" t="n">
        <v>45310</v>
      </c>
      <c r="E285" s="11" t="n">
        <v>45313</v>
      </c>
      <c r="F285" s="5" t="s">
        <v>73</v>
      </c>
      <c r="G285" s="12" t="n">
        <v>1.06014119982788E-010</v>
      </c>
      <c r="H285" s="13" t="n">
        <v>79.19</v>
      </c>
      <c r="I285" s="13" t="n">
        <v>78.73</v>
      </c>
      <c r="K285" s="8" t="n">
        <v>5.25966986336935E-015</v>
      </c>
      <c r="L285" s="8" t="n">
        <v>-8.25982385264811E-013</v>
      </c>
      <c r="M285" s="8" t="n">
        <f aca="false">M284+L285</f>
        <v>1531625.53492741</v>
      </c>
      <c r="N285" s="5" t="str">
        <f aca="false">IF(L285&gt;0,"прибыль",IF(L285&lt;0,"убыток","ноль"))</f>
        <v>убыток</v>
      </c>
      <c r="O285" s="6" t="n">
        <f aca="false">IF(L285&lt;0,O284+1,0)</f>
        <v>7</v>
      </c>
      <c r="P285" s="6" t="n">
        <v>1</v>
      </c>
    </row>
    <row r="286" customFormat="false" ht="15" hidden="false" customHeight="false" outlineLevel="0" collapsed="false">
      <c r="A286" s="6" t="n">
        <v>281</v>
      </c>
      <c r="B286" s="5" t="s">
        <v>76</v>
      </c>
      <c r="C286" s="5" t="s">
        <v>25</v>
      </c>
      <c r="D286" s="11" t="n">
        <v>45313</v>
      </c>
      <c r="E286" s="11" t="n">
        <v>45400</v>
      </c>
      <c r="F286" s="5" t="s">
        <v>73</v>
      </c>
      <c r="G286" s="12" t="n">
        <v>228646.504057006</v>
      </c>
      <c r="H286" s="13" t="n">
        <v>78.73</v>
      </c>
      <c r="I286" s="13" t="n">
        <v>87.78</v>
      </c>
      <c r="J286" s="5" t="s">
        <v>74</v>
      </c>
      <c r="K286" s="8" t="n">
        <v>29.2600777550132</v>
      </c>
      <c r="L286" s="8" t="n">
        <v>21214.4929442592</v>
      </c>
      <c r="M286" s="8" t="n">
        <f aca="false">M285+L286</f>
        <v>1552840.02787167</v>
      </c>
      <c r="N286" s="5" t="str">
        <f aca="false">IF(L286&gt;0,"прибыль",IF(L286&lt;0,"убыток","ноль"))</f>
        <v>прибыль</v>
      </c>
      <c r="O286" s="6" t="n">
        <f aca="false">IF(L286&lt;0,O285+1,0)</f>
        <v>0</v>
      </c>
      <c r="P286" s="6" t="n">
        <v>61</v>
      </c>
    </row>
    <row r="287" customFormat="false" ht="15" hidden="false" customHeight="false" outlineLevel="0" collapsed="false">
      <c r="A287" s="6" t="n">
        <v>282</v>
      </c>
      <c r="B287" s="5" t="s">
        <v>76</v>
      </c>
      <c r="C287" s="5" t="s">
        <v>25</v>
      </c>
      <c r="D287" s="11" t="n">
        <v>45400</v>
      </c>
      <c r="E287" s="11" t="n">
        <v>45427</v>
      </c>
      <c r="F287" s="5" t="s">
        <v>73</v>
      </c>
      <c r="G287" s="12" t="n">
        <v>799454.785642172</v>
      </c>
      <c r="H287" s="13" t="n">
        <v>87.78</v>
      </c>
      <c r="I287" s="13" t="n">
        <v>83.23</v>
      </c>
      <c r="J287" s="5" t="s">
        <v>74</v>
      </c>
      <c r="K287" s="8" t="n">
        <v>89.611523397419</v>
      </c>
      <c r="L287" s="8" t="n">
        <v>65231.5800731373</v>
      </c>
      <c r="M287" s="8" t="n">
        <f aca="false">M286+L287</f>
        <v>1618071.6079448</v>
      </c>
      <c r="N287" s="5" t="str">
        <f aca="false">IF(L287&gt;0,"прибыль",IF(L287&lt;0,"убыток","ноль"))</f>
        <v>прибыль</v>
      </c>
      <c r="O287" s="6" t="n">
        <f aca="false">IF(L287&lt;0,O286+1,0)</f>
        <v>0</v>
      </c>
      <c r="P287" s="6" t="n">
        <v>18</v>
      </c>
    </row>
    <row r="288" customFormat="false" ht="15" hidden="false" customHeight="false" outlineLevel="0" collapsed="false">
      <c r="A288" s="6" t="n">
        <v>283</v>
      </c>
      <c r="B288" s="5" t="s">
        <v>76</v>
      </c>
      <c r="C288" s="5" t="s">
        <v>25</v>
      </c>
      <c r="D288" s="11" t="n">
        <v>45427</v>
      </c>
      <c r="E288" s="11" t="n">
        <v>45429</v>
      </c>
      <c r="F288" s="5" t="s">
        <v>75</v>
      </c>
      <c r="G288" s="12" t="n">
        <v>927454.490709673</v>
      </c>
      <c r="H288" s="13" t="n">
        <v>83.23</v>
      </c>
      <c r="I288" s="13" t="n">
        <v>83.74</v>
      </c>
      <c r="K288" s="8" t="n">
        <v>103.829152305212</v>
      </c>
      <c r="L288" s="8" t="n">
        <v>-7199.36514860818</v>
      </c>
      <c r="M288" s="8" t="n">
        <f aca="false">M287+L288</f>
        <v>1610872.24279619</v>
      </c>
      <c r="N288" s="5" t="str">
        <f aca="false">IF(L288&gt;0,"прибыль",IF(L288&lt;0,"убыток","ноль"))</f>
        <v>убыток</v>
      </c>
      <c r="O288" s="6" t="n">
        <f aca="false">IF(L288&lt;0,O287+1,0)</f>
        <v>1</v>
      </c>
      <c r="P288" s="6" t="n">
        <v>2</v>
      </c>
    </row>
    <row r="289" customFormat="false" ht="15" hidden="false" customHeight="false" outlineLevel="0" collapsed="false">
      <c r="A289" s="6" t="n">
        <v>284</v>
      </c>
      <c r="B289" s="5" t="s">
        <v>76</v>
      </c>
      <c r="C289" s="5" t="s">
        <v>25</v>
      </c>
      <c r="D289" s="11" t="n">
        <v>45429</v>
      </c>
      <c r="E289" s="11" t="n">
        <v>45434</v>
      </c>
      <c r="F289" s="5" t="s">
        <v>73</v>
      </c>
      <c r="G289" s="12" t="n">
        <v>1142033.01939827</v>
      </c>
      <c r="H289" s="13" t="n">
        <v>83.74</v>
      </c>
      <c r="I289" s="13" t="n">
        <v>82.59</v>
      </c>
      <c r="K289" s="8" t="n">
        <v>109.974680299108</v>
      </c>
      <c r="L289" s="8" t="n">
        <v>-17416.4807738481</v>
      </c>
      <c r="M289" s="8" t="n">
        <f aca="false">M288+L289</f>
        <v>1593455.76202235</v>
      </c>
      <c r="N289" s="5" t="str">
        <f aca="false">IF(L289&gt;0,"прибыль",IF(L289&lt;0,"убыток","ноль"))</f>
        <v>убыток</v>
      </c>
      <c r="O289" s="6" t="n">
        <f aca="false">IF(L289&lt;0,O288+1,0)</f>
        <v>2</v>
      </c>
      <c r="P289" s="6" t="n">
        <v>3</v>
      </c>
    </row>
    <row r="290" customFormat="false" ht="15" hidden="false" customHeight="false" outlineLevel="0" collapsed="false">
      <c r="A290" s="6" t="n">
        <v>285</v>
      </c>
      <c r="B290" s="5" t="s">
        <v>76</v>
      </c>
      <c r="C290" s="5" t="s">
        <v>25</v>
      </c>
      <c r="D290" s="11" t="n">
        <v>45434</v>
      </c>
      <c r="E290" s="11" t="n">
        <v>45441</v>
      </c>
      <c r="F290" s="5" t="s">
        <v>75</v>
      </c>
      <c r="G290" s="12" t="n">
        <v>1074767.09267743</v>
      </c>
      <c r="H290" s="13" t="n">
        <v>82.59</v>
      </c>
      <c r="I290" s="13" t="n">
        <v>84.49</v>
      </c>
      <c r="K290" s="8" t="n">
        <v>104.40306631968</v>
      </c>
      <c r="L290" s="8" t="n">
        <v>-26485.5355068603</v>
      </c>
      <c r="M290" s="8" t="n">
        <f aca="false">M289+L290</f>
        <v>1566970.22651549</v>
      </c>
      <c r="N290" s="5" t="str">
        <f aca="false">IF(L290&gt;0,"прибыль",IF(L290&lt;0,"убыток","ноль"))</f>
        <v>убыток</v>
      </c>
      <c r="O290" s="6" t="n">
        <f aca="false">IF(L290&lt;0,O289+1,0)</f>
        <v>3</v>
      </c>
      <c r="P290" s="6" t="n">
        <v>5</v>
      </c>
    </row>
    <row r="291" customFormat="false" ht="15" hidden="false" customHeight="false" outlineLevel="0" collapsed="false">
      <c r="A291" s="6" t="n">
        <v>286</v>
      </c>
      <c r="B291" s="5" t="s">
        <v>76</v>
      </c>
      <c r="C291" s="5" t="s">
        <v>25</v>
      </c>
      <c r="D291" s="11" t="n">
        <v>45441</v>
      </c>
      <c r="E291" s="11" t="n">
        <v>45442</v>
      </c>
      <c r="F291" s="5" t="s">
        <v>73</v>
      </c>
      <c r="G291" s="12" t="n">
        <v>986913.101275636</v>
      </c>
      <c r="H291" s="13" t="n">
        <v>84.49</v>
      </c>
      <c r="I291" s="13" t="n">
        <v>83.47</v>
      </c>
      <c r="K291" s="8" t="n">
        <v>96.8698658741891</v>
      </c>
      <c r="L291" s="8" t="n">
        <v>-13526.0287196525</v>
      </c>
      <c r="M291" s="8" t="n">
        <f aca="false">M290+L291</f>
        <v>1553444.19779583</v>
      </c>
      <c r="N291" s="5" t="str">
        <f aca="false">IF(L291&gt;0,"прибыль",IF(L291&lt;0,"убыток","ноль"))</f>
        <v>убыток</v>
      </c>
      <c r="O291" s="6" t="n">
        <f aca="false">IF(L291&lt;0,O290+1,0)</f>
        <v>4</v>
      </c>
      <c r="P291" s="6" t="n">
        <v>1</v>
      </c>
    </row>
    <row r="292" customFormat="false" ht="15" hidden="false" customHeight="false" outlineLevel="0" collapsed="false">
      <c r="A292" s="6" t="n">
        <v>287</v>
      </c>
      <c r="B292" s="5" t="s">
        <v>76</v>
      </c>
      <c r="C292" s="5" t="s">
        <v>25</v>
      </c>
      <c r="D292" s="11" t="n">
        <v>45442</v>
      </c>
      <c r="E292" s="11" t="n">
        <v>45454</v>
      </c>
      <c r="F292" s="5" t="s">
        <v>75</v>
      </c>
      <c r="G292" s="12" t="n">
        <v>247654.752859484</v>
      </c>
      <c r="H292" s="13" t="n">
        <v>83.47</v>
      </c>
      <c r="I292" s="13" t="n">
        <v>81.42</v>
      </c>
      <c r="J292" s="5" t="s">
        <v>74</v>
      </c>
      <c r="K292" s="8" t="n">
        <v>12.6546349492568</v>
      </c>
      <c r="L292" s="8" t="n">
        <v>-5450.60076060043</v>
      </c>
      <c r="M292" s="8" t="n">
        <f aca="false">M291+L292</f>
        <v>1547993.59703523</v>
      </c>
      <c r="N292" s="5" t="str">
        <f aca="false">IF(L292&gt;0,"прибыль",IF(L292&lt;0,"убыток","ноль"))</f>
        <v>убыток</v>
      </c>
      <c r="O292" s="6" t="n">
        <f aca="false">IF(L292&lt;0,O291+1,0)</f>
        <v>5</v>
      </c>
      <c r="P292" s="6" t="n">
        <v>8</v>
      </c>
    </row>
    <row r="293" customFormat="false" ht="15" hidden="false" customHeight="false" outlineLevel="0" collapsed="false">
      <c r="A293" s="6" t="n">
        <v>288</v>
      </c>
      <c r="B293" s="5" t="s">
        <v>76</v>
      </c>
      <c r="C293" s="5" t="s">
        <v>25</v>
      </c>
      <c r="D293" s="11" t="n">
        <v>45454</v>
      </c>
      <c r="E293" s="11" t="n">
        <v>45460</v>
      </c>
      <c r="F293" s="5" t="s">
        <v>75</v>
      </c>
      <c r="G293" s="12" t="n">
        <v>716258.62220244</v>
      </c>
      <c r="H293" s="13" t="n">
        <v>81.42</v>
      </c>
      <c r="I293" s="13" t="n">
        <v>82.26</v>
      </c>
      <c r="K293" s="8" t="n">
        <v>74.1033999164227</v>
      </c>
      <c r="L293" s="8" t="n">
        <v>-23346.8249470355</v>
      </c>
      <c r="M293" s="8" t="n">
        <f aca="false">M292+L293</f>
        <v>1524646.7720882</v>
      </c>
      <c r="N293" s="5" t="str">
        <f aca="false">IF(L293&gt;0,"прибыль",IF(L293&lt;0,"убыток","ноль"))</f>
        <v>убыток</v>
      </c>
      <c r="O293" s="6" t="n">
        <f aca="false">IF(L293&lt;0,O292+1,0)</f>
        <v>6</v>
      </c>
      <c r="P293" s="6" t="n">
        <v>3</v>
      </c>
    </row>
    <row r="294" customFormat="false" ht="15" hidden="false" customHeight="false" outlineLevel="0" collapsed="false">
      <c r="A294" s="6" t="n">
        <v>289</v>
      </c>
      <c r="B294" s="5" t="s">
        <v>76</v>
      </c>
      <c r="C294" s="5" t="s">
        <v>25</v>
      </c>
      <c r="D294" s="11" t="n">
        <v>45460</v>
      </c>
      <c r="E294" s="11" t="n">
        <v>45509</v>
      </c>
      <c r="F294" s="5" t="s">
        <v>73</v>
      </c>
      <c r="G294" s="12" t="n">
        <v>1025221.44824585</v>
      </c>
      <c r="H294" s="13" t="n">
        <v>82.26</v>
      </c>
      <c r="I294" s="13" t="n">
        <v>77.44</v>
      </c>
      <c r="J294" s="5" t="s">
        <v>74</v>
      </c>
      <c r="K294" s="8" t="n">
        <v>100.61598776976</v>
      </c>
      <c r="L294" s="8" t="n">
        <v>-73249.4168436455</v>
      </c>
      <c r="M294" s="8" t="n">
        <f aca="false">M293+L294</f>
        <v>1451397.35524455</v>
      </c>
      <c r="N294" s="5" t="str">
        <f aca="false">IF(L294&gt;0,"прибыль",IF(L294&lt;0,"убыток","ноль"))</f>
        <v>убыток</v>
      </c>
      <c r="O294" s="6" t="n">
        <f aca="false">IF(L294&lt;0,O293+1,0)</f>
        <v>7</v>
      </c>
      <c r="P294" s="6" t="n">
        <v>35</v>
      </c>
    </row>
    <row r="295" customFormat="false" ht="15" hidden="false" customHeight="false" outlineLevel="0" collapsed="false">
      <c r="A295" s="6" t="n">
        <v>290</v>
      </c>
      <c r="B295" s="5" t="s">
        <v>76</v>
      </c>
      <c r="C295" s="5" t="s">
        <v>25</v>
      </c>
      <c r="D295" s="11" t="n">
        <v>45509</v>
      </c>
      <c r="E295" s="11" t="n">
        <v>45510</v>
      </c>
      <c r="F295" s="5" t="s">
        <v>75</v>
      </c>
      <c r="G295" s="12" t="n">
        <v>1.13433290708831E-010</v>
      </c>
      <c r="H295" s="13" t="n">
        <v>77.44</v>
      </c>
      <c r="I295" s="13" t="n">
        <v>78.28</v>
      </c>
      <c r="K295" s="8" t="n">
        <v>5.74337040380948E-015</v>
      </c>
      <c r="L295" s="8" t="n">
        <v>-1.43986073776279E-012</v>
      </c>
      <c r="M295" s="8" t="n">
        <f aca="false">M294+L295</f>
        <v>1451397.35524455</v>
      </c>
      <c r="N295" s="5" t="str">
        <f aca="false">IF(L295&gt;0,"прибыль",IF(L295&lt;0,"убыток","ноль"))</f>
        <v>убыток</v>
      </c>
      <c r="O295" s="6" t="n">
        <f aca="false">IF(L295&lt;0,O294+1,0)</f>
        <v>8</v>
      </c>
      <c r="P295" s="6" t="n">
        <v>1</v>
      </c>
    </row>
    <row r="296" customFormat="false" ht="15" hidden="false" customHeight="false" outlineLevel="0" collapsed="false">
      <c r="A296" s="6" t="n">
        <v>291</v>
      </c>
      <c r="B296" s="5" t="s">
        <v>76</v>
      </c>
      <c r="C296" s="5" t="s">
        <v>25</v>
      </c>
      <c r="D296" s="11" t="n">
        <v>45510</v>
      </c>
      <c r="E296" s="11" t="n">
        <v>45517</v>
      </c>
      <c r="F296" s="5" t="s">
        <v>75</v>
      </c>
      <c r="G296" s="12" t="n">
        <v>202308.22835343</v>
      </c>
      <c r="H296" s="13" t="n">
        <v>78.28</v>
      </c>
      <c r="I296" s="13" t="n">
        <v>82.08</v>
      </c>
      <c r="K296" s="8" t="n">
        <v>10.7424684627884</v>
      </c>
      <c r="L296" s="8" t="n">
        <v>-12551.8833708002</v>
      </c>
      <c r="M296" s="8" t="n">
        <f aca="false">M295+L296</f>
        <v>1438845.47187375</v>
      </c>
      <c r="N296" s="5" t="str">
        <f aca="false">IF(L296&gt;0,"прибыль",IF(L296&lt;0,"убыток","ноль"))</f>
        <v>убыток</v>
      </c>
      <c r="O296" s="6" t="n">
        <f aca="false">IF(L296&lt;0,O295+1,0)</f>
        <v>9</v>
      </c>
      <c r="P296" s="6" t="n">
        <v>5</v>
      </c>
    </row>
    <row r="297" customFormat="false" ht="15" hidden="false" customHeight="false" outlineLevel="0" collapsed="false">
      <c r="A297" s="6" t="n">
        <v>292</v>
      </c>
      <c r="B297" s="5" t="s">
        <v>76</v>
      </c>
      <c r="C297" s="5" t="s">
        <v>25</v>
      </c>
      <c r="D297" s="11" t="n">
        <v>45517</v>
      </c>
      <c r="E297" s="11" t="n">
        <v>45576</v>
      </c>
      <c r="F297" s="5" t="s">
        <v>75</v>
      </c>
      <c r="G297" s="12" t="n">
        <v>126820.542364301</v>
      </c>
      <c r="H297" s="13" t="n">
        <v>82.08</v>
      </c>
      <c r="I297" s="13" t="n">
        <v>78.58</v>
      </c>
      <c r="J297" s="5" t="s">
        <v>74</v>
      </c>
      <c r="K297" s="8" t="n">
        <v>6.26442743101737</v>
      </c>
      <c r="L297" s="8" t="n">
        <v>1525.72931652246</v>
      </c>
      <c r="M297" s="8" t="n">
        <f aca="false">M296+L297</f>
        <v>1440371.20119027</v>
      </c>
      <c r="N297" s="5" t="str">
        <f aca="false">IF(L297&gt;0,"прибыль",IF(L297&lt;0,"убыток","ноль"))</f>
        <v>прибыль</v>
      </c>
      <c r="O297" s="6" t="n">
        <f aca="false">IF(L297&lt;0,O296+1,0)</f>
        <v>0</v>
      </c>
      <c r="P297" s="6" t="n">
        <v>43</v>
      </c>
    </row>
    <row r="298" customFormat="false" ht="15" hidden="false" customHeight="false" outlineLevel="0" collapsed="false">
      <c r="A298" s="6" t="n">
        <v>293</v>
      </c>
      <c r="B298" s="5" t="s">
        <v>76</v>
      </c>
      <c r="C298" s="5" t="s">
        <v>25</v>
      </c>
      <c r="D298" s="11" t="n">
        <v>45576</v>
      </c>
      <c r="E298" s="11" t="n">
        <v>45602</v>
      </c>
      <c r="F298" s="5" t="s">
        <v>75</v>
      </c>
      <c r="G298" s="12" t="n">
        <v>448433.543620535</v>
      </c>
      <c r="H298" s="13" t="n">
        <v>78.58</v>
      </c>
      <c r="I298" s="13" t="n">
        <v>74.6</v>
      </c>
      <c r="J298" s="5" t="s">
        <v>74</v>
      </c>
      <c r="K298" s="8" t="n">
        <v>43.2027552366545</v>
      </c>
      <c r="L298" s="8" t="n">
        <v>28964.1182344357</v>
      </c>
      <c r="M298" s="8" t="n">
        <f aca="false">M297+L298</f>
        <v>1469335.31942471</v>
      </c>
      <c r="N298" s="5" t="str">
        <f aca="false">IF(L298&gt;0,"прибыль",IF(L298&lt;0,"убыток","ноль"))</f>
        <v>прибыль</v>
      </c>
      <c r="O298" s="6" t="n">
        <f aca="false">IF(L298&lt;0,O297+1,0)</f>
        <v>0</v>
      </c>
      <c r="P298" s="6" t="n">
        <v>18</v>
      </c>
    </row>
    <row r="299" customFormat="false" ht="15" hidden="false" customHeight="false" outlineLevel="0" collapsed="false">
      <c r="A299" s="6" t="n">
        <v>294</v>
      </c>
      <c r="B299" s="5" t="s">
        <v>76</v>
      </c>
      <c r="C299" s="5" t="s">
        <v>25</v>
      </c>
      <c r="D299" s="11" t="n">
        <v>45602</v>
      </c>
      <c r="E299" s="11" t="n">
        <v>45604</v>
      </c>
      <c r="F299" s="5" t="s">
        <v>73</v>
      </c>
      <c r="G299" s="12" t="n">
        <v>444628.882102227</v>
      </c>
      <c r="H299" s="13" t="n">
        <v>74.6</v>
      </c>
      <c r="I299" s="13" t="n">
        <v>75.34</v>
      </c>
      <c r="K299" s="8" t="n">
        <v>46.3014223277869</v>
      </c>
      <c r="L299" s="8" t="n">
        <v>3196.45603580687</v>
      </c>
      <c r="M299" s="8" t="n">
        <f aca="false">M298+L299</f>
        <v>1472531.77546052</v>
      </c>
      <c r="N299" s="5" t="str">
        <f aca="false">IF(L299&gt;0,"прибыль",IF(L299&lt;0,"убыток","ноль"))</f>
        <v>прибыль</v>
      </c>
      <c r="O299" s="6" t="n">
        <f aca="false">IF(L299&lt;0,O298+1,0)</f>
        <v>0</v>
      </c>
      <c r="P299" s="6" t="n">
        <v>2</v>
      </c>
    </row>
    <row r="300" customFormat="false" ht="15" hidden="false" customHeight="false" outlineLevel="0" collapsed="false">
      <c r="A300" s="6" t="n">
        <v>295</v>
      </c>
      <c r="B300" s="5" t="s">
        <v>76</v>
      </c>
      <c r="C300" s="5" t="s">
        <v>25</v>
      </c>
      <c r="D300" s="11" t="n">
        <v>45604</v>
      </c>
      <c r="E300" s="11" t="n">
        <v>45642</v>
      </c>
      <c r="F300" s="5" t="s">
        <v>75</v>
      </c>
      <c r="G300" s="12" t="n">
        <v>603324.570000234</v>
      </c>
      <c r="H300" s="13" t="n">
        <v>75.34</v>
      </c>
      <c r="I300" s="13" t="n">
        <v>74.3</v>
      </c>
      <c r="J300" s="5" t="s">
        <v>74</v>
      </c>
      <c r="K300" s="8" t="n">
        <v>70.4676511355528</v>
      </c>
      <c r="L300" s="8" t="n">
        <v>-1879.86593079394</v>
      </c>
      <c r="M300" s="8" t="n">
        <f aca="false">M299+L300</f>
        <v>1470651.90952972</v>
      </c>
      <c r="N300" s="5" t="str">
        <f aca="false">IF(L300&gt;0,"прибыль",IF(L300&lt;0,"убыток","ноль"))</f>
        <v>убыток</v>
      </c>
      <c r="O300" s="6" t="n">
        <f aca="false">IF(L300&lt;0,O299+1,0)</f>
        <v>1</v>
      </c>
      <c r="P300" s="6" t="n">
        <v>26</v>
      </c>
    </row>
    <row r="301" customFormat="false" ht="15" hidden="false" customHeight="false" outlineLevel="0" collapsed="false">
      <c r="A301" s="6" t="n">
        <v>296</v>
      </c>
      <c r="B301" s="5" t="s">
        <v>76</v>
      </c>
      <c r="C301" s="5" t="s">
        <v>25</v>
      </c>
      <c r="D301" s="11" t="n">
        <v>45642</v>
      </c>
      <c r="E301" s="11" t="n">
        <v>45644</v>
      </c>
      <c r="F301" s="5" t="s">
        <v>73</v>
      </c>
      <c r="G301" s="12" t="n">
        <v>679051.291426303</v>
      </c>
      <c r="H301" s="13" t="n">
        <v>74.3</v>
      </c>
      <c r="I301" s="13" t="n">
        <v>73.3</v>
      </c>
      <c r="K301" s="8" t="n">
        <v>70.905199055777</v>
      </c>
      <c r="L301" s="8" t="n">
        <v>-10486.3024287744</v>
      </c>
      <c r="M301" s="8" t="n">
        <f aca="false">M300+L301</f>
        <v>1460165.60710095</v>
      </c>
      <c r="N301" s="5" t="str">
        <f aca="false">IF(L301&gt;0,"прибыль",IF(L301&lt;0,"убыток","ноль"))</f>
        <v>убыток</v>
      </c>
      <c r="O301" s="6" t="n">
        <f aca="false">IF(L301&lt;0,O300+1,0)</f>
        <v>2</v>
      </c>
      <c r="P301" s="6" t="n">
        <v>2</v>
      </c>
    </row>
    <row r="302" customFormat="false" ht="15" hidden="false" customHeight="false" outlineLevel="0" collapsed="false">
      <c r="A302" s="6" t="n">
        <v>297</v>
      </c>
      <c r="B302" s="5" t="s">
        <v>76</v>
      </c>
      <c r="C302" s="5" t="s">
        <v>25</v>
      </c>
      <c r="D302" s="11" t="n">
        <v>45644</v>
      </c>
      <c r="E302" s="11" t="n">
        <v>45645</v>
      </c>
      <c r="F302" s="5" t="s">
        <v>75</v>
      </c>
      <c r="G302" s="12" t="n">
        <v>1.04889315457165E-010</v>
      </c>
      <c r="H302" s="13" t="n">
        <v>73.3</v>
      </c>
      <c r="I302" s="13" t="n">
        <v>73.19</v>
      </c>
      <c r="K302" s="8" t="n">
        <v>5.24625780486357E-015</v>
      </c>
      <c r="L302" s="8" t="n">
        <v>-4.10868979114817E-014</v>
      </c>
      <c r="M302" s="8" t="n">
        <f aca="false">M301+L302</f>
        <v>1460165.60710095</v>
      </c>
      <c r="N302" s="5" t="str">
        <f aca="false">IF(L302&gt;0,"прибыль",IF(L302&lt;0,"убыток","ноль"))</f>
        <v>убыток</v>
      </c>
      <c r="O302" s="6" t="n">
        <f aca="false">IF(L302&lt;0,O301+1,0)</f>
        <v>3</v>
      </c>
      <c r="P302" s="6" t="n">
        <v>1</v>
      </c>
    </row>
    <row r="303" customFormat="false" ht="15" hidden="false" customHeight="false" outlineLevel="0" collapsed="false">
      <c r="A303" s="6" t="n">
        <v>298</v>
      </c>
      <c r="B303" s="5" t="s">
        <v>76</v>
      </c>
      <c r="C303" s="5" t="s">
        <v>25</v>
      </c>
      <c r="D303" s="11" t="n">
        <v>45645</v>
      </c>
      <c r="E303" s="11" t="n">
        <v>45650</v>
      </c>
      <c r="F303" s="5" t="s">
        <v>75</v>
      </c>
      <c r="G303" s="12" t="n">
        <v>749468.086918955</v>
      </c>
      <c r="H303" s="13" t="n">
        <v>73.19</v>
      </c>
      <c r="I303" s="13" t="n">
        <v>72.96</v>
      </c>
      <c r="K303" s="8" t="n">
        <v>82.9276781401531</v>
      </c>
      <c r="L303" s="8" t="n">
        <v>2098.82706455439</v>
      </c>
      <c r="M303" s="8" t="n">
        <f aca="false">M302+L303</f>
        <v>1462264.4341655</v>
      </c>
      <c r="N303" s="5" t="str">
        <f aca="false">IF(L303&gt;0,"прибыль",IF(L303&lt;0,"убыток","ноль"))</f>
        <v>прибыль</v>
      </c>
      <c r="O303" s="6" t="n">
        <f aca="false">IF(L303&lt;0,O302+1,0)</f>
        <v>0</v>
      </c>
      <c r="P303" s="6" t="n">
        <v>3</v>
      </c>
    </row>
    <row r="304" customFormat="false" ht="15" hidden="false" customHeight="false" outlineLevel="0" collapsed="false">
      <c r="A304" s="6" t="n">
        <v>299</v>
      </c>
      <c r="B304" s="5" t="s">
        <v>76</v>
      </c>
      <c r="C304" s="5" t="s">
        <v>25</v>
      </c>
      <c r="D304" s="11" t="n">
        <v>45650</v>
      </c>
      <c r="E304" s="11" t="n">
        <v>45660</v>
      </c>
      <c r="F304" s="5" t="s">
        <v>73</v>
      </c>
      <c r="G304" s="12" t="n">
        <v>911267.230626802</v>
      </c>
      <c r="H304" s="13" t="n">
        <v>72.96</v>
      </c>
      <c r="I304" s="13" t="n">
        <v>74.7</v>
      </c>
      <c r="K304" s="8" t="n">
        <v>94.7543283060279</v>
      </c>
      <c r="L304" s="8" t="n">
        <v>20148.3542921595</v>
      </c>
      <c r="M304" s="8" t="n">
        <f aca="false">M303+L304</f>
        <v>1482412.78845766</v>
      </c>
      <c r="N304" s="5" t="str">
        <f aca="false">IF(L304&gt;0,"прибыль",IF(L304&lt;0,"убыток","ноль"))</f>
        <v>прибыль</v>
      </c>
      <c r="O304" s="6" t="n">
        <f aca="false">IF(L304&lt;0,O303+1,0)</f>
        <v>0</v>
      </c>
      <c r="P304" s="6" t="n">
        <v>6</v>
      </c>
    </row>
    <row r="305" customFormat="false" ht="15" hidden="false" customHeight="false" outlineLevel="0" collapsed="false">
      <c r="A305" s="6" t="n">
        <v>300</v>
      </c>
      <c r="B305" s="5" t="s">
        <v>76</v>
      </c>
      <c r="C305" s="5" t="s">
        <v>25</v>
      </c>
      <c r="D305" s="11" t="n">
        <v>45660</v>
      </c>
      <c r="E305" s="11" t="n">
        <v>45666</v>
      </c>
      <c r="F305" s="5" t="s">
        <v>75</v>
      </c>
      <c r="G305" s="12" t="n">
        <v>963576.22687329</v>
      </c>
      <c r="H305" s="13" t="n">
        <v>74.7</v>
      </c>
      <c r="I305" s="13" t="n">
        <v>76.27</v>
      </c>
      <c r="J305" s="5" t="s">
        <v>74</v>
      </c>
      <c r="K305" s="8" t="n">
        <v>106.981211574431</v>
      </c>
      <c r="L305" s="8" t="n">
        <v>3228.33008967944</v>
      </c>
      <c r="M305" s="8" t="n">
        <f aca="false">M304+L305</f>
        <v>1485641.11854734</v>
      </c>
      <c r="N305" s="5" t="str">
        <f aca="false">IF(L305&gt;0,"прибыль",IF(L305&lt;0,"убыток","ноль"))</f>
        <v>прибыль</v>
      </c>
      <c r="O305" s="6" t="n">
        <f aca="false">IF(L305&lt;0,O304+1,0)</f>
        <v>0</v>
      </c>
      <c r="P305" s="6" t="n">
        <v>3</v>
      </c>
    </row>
    <row r="306" customFormat="false" ht="15" hidden="false" customHeight="false" outlineLevel="0" collapsed="false">
      <c r="A306" s="6" t="n">
        <v>301</v>
      </c>
      <c r="B306" s="5" t="s">
        <v>76</v>
      </c>
      <c r="C306" s="5" t="s">
        <v>25</v>
      </c>
      <c r="D306" s="11" t="n">
        <v>45666</v>
      </c>
      <c r="E306" s="11" t="n">
        <v>45670</v>
      </c>
      <c r="F306" s="5" t="s">
        <v>73</v>
      </c>
      <c r="G306" s="12" t="n">
        <v>281386.131945546</v>
      </c>
      <c r="H306" s="13" t="n">
        <v>76.27</v>
      </c>
      <c r="I306" s="13" t="n">
        <v>81.28</v>
      </c>
      <c r="K306" s="8" t="n">
        <v>14.9711013908164</v>
      </c>
      <c r="L306" s="8" t="n">
        <v>18020.9247693923</v>
      </c>
      <c r="M306" s="8" t="n">
        <f aca="false">M305+L306</f>
        <v>1503662.04331673</v>
      </c>
      <c r="N306" s="5" t="str">
        <f aca="false">IF(L306&gt;0,"прибыль",IF(L306&lt;0,"убыток","ноль"))</f>
        <v>прибыль</v>
      </c>
      <c r="O306" s="6" t="n">
        <f aca="false">IF(L306&lt;0,O305+1,0)</f>
        <v>0</v>
      </c>
      <c r="P306" s="6" t="n">
        <v>2</v>
      </c>
    </row>
    <row r="307" customFormat="false" ht="15" hidden="false" customHeight="false" outlineLevel="0" collapsed="false">
      <c r="A307" s="6" t="n">
        <v>302</v>
      </c>
      <c r="B307" s="5" t="s">
        <v>76</v>
      </c>
      <c r="C307" s="5" t="s">
        <v>25</v>
      </c>
      <c r="D307" s="11" t="n">
        <v>45670</v>
      </c>
      <c r="E307" s="11" t="n">
        <v>45685</v>
      </c>
      <c r="F307" s="5" t="s">
        <v>73</v>
      </c>
      <c r="G307" s="12" t="n">
        <v>200389.362430525</v>
      </c>
      <c r="H307" s="13" t="n">
        <v>81.28</v>
      </c>
      <c r="I307" s="13" t="n">
        <v>77.41</v>
      </c>
      <c r="K307" s="8" t="n">
        <v>10.1523702923504</v>
      </c>
      <c r="L307" s="8" t="n">
        <v>2647.89104618978</v>
      </c>
      <c r="M307" s="8" t="n">
        <f aca="false">M306+L307</f>
        <v>1506309.93436292</v>
      </c>
      <c r="N307" s="5" t="str">
        <f aca="false">IF(L307&gt;0,"прибыль",IF(L307&lt;0,"убыток","ноль"))</f>
        <v>прибыль</v>
      </c>
      <c r="O307" s="6" t="n">
        <f aca="false">IF(L307&lt;0,O306+1,0)</f>
        <v>0</v>
      </c>
      <c r="P307" s="6" t="n">
        <v>11</v>
      </c>
    </row>
    <row r="308" customFormat="false" ht="15" hidden="false" customHeight="false" outlineLevel="0" collapsed="false">
      <c r="A308" s="6" t="n">
        <v>303</v>
      </c>
      <c r="B308" s="5" t="s">
        <v>76</v>
      </c>
      <c r="C308" s="5" t="s">
        <v>25</v>
      </c>
      <c r="D308" s="11" t="n">
        <v>45685</v>
      </c>
      <c r="E308" s="11" t="n">
        <v>45714</v>
      </c>
      <c r="F308" s="5" t="s">
        <v>73</v>
      </c>
      <c r="G308" s="12" t="n">
        <v>851055.926702441</v>
      </c>
      <c r="H308" s="13" t="n">
        <v>77.41</v>
      </c>
      <c r="I308" s="13" t="n">
        <v>73.29</v>
      </c>
      <c r="J308" s="5" t="s">
        <v>74</v>
      </c>
      <c r="K308" s="8" t="n">
        <v>87.3324558674852</v>
      </c>
      <c r="L308" s="8" t="n">
        <v>-19233.8955176822</v>
      </c>
      <c r="M308" s="8" t="n">
        <f aca="false">M307+L308</f>
        <v>1487076.03884524</v>
      </c>
      <c r="N308" s="5" t="str">
        <f aca="false">IF(L308&gt;0,"прибыль",IF(L308&lt;0,"убыток","ноль"))</f>
        <v>убыток</v>
      </c>
      <c r="O308" s="6" t="n">
        <f aca="false">IF(L308&lt;0,O307+1,0)</f>
        <v>1</v>
      </c>
      <c r="P308" s="6" t="n">
        <v>21</v>
      </c>
    </row>
    <row r="309" customFormat="false" ht="15" hidden="false" customHeight="false" outlineLevel="0" collapsed="false">
      <c r="A309" s="6" t="n">
        <v>304</v>
      </c>
      <c r="B309" s="5" t="s">
        <v>76</v>
      </c>
      <c r="C309" s="5" t="s">
        <v>25</v>
      </c>
      <c r="D309" s="11" t="n">
        <v>45714</v>
      </c>
      <c r="E309" s="11" t="n">
        <v>45743</v>
      </c>
      <c r="F309" s="5" t="s">
        <v>75</v>
      </c>
      <c r="G309" s="12" t="n">
        <v>761291.648547152</v>
      </c>
      <c r="H309" s="13" t="n">
        <v>73.29</v>
      </c>
      <c r="I309" s="13" t="n">
        <v>73.74</v>
      </c>
      <c r="J309" s="5" t="s">
        <v>74</v>
      </c>
      <c r="K309" s="8" t="n">
        <v>79.5657435836035</v>
      </c>
      <c r="L309" s="8" t="n">
        <v>-28799.4433087612</v>
      </c>
      <c r="M309" s="8" t="n">
        <f aca="false">M308+L309</f>
        <v>1458276.59553648</v>
      </c>
      <c r="N309" s="5" t="str">
        <f aca="false">IF(L309&gt;0,"прибыль",IF(L309&lt;0,"убыток","ноль"))</f>
        <v>убыток</v>
      </c>
      <c r="O309" s="6" t="n">
        <f aca="false">IF(L309&lt;0,O308+1,0)</f>
        <v>2</v>
      </c>
      <c r="P309" s="6" t="n">
        <v>21</v>
      </c>
    </row>
    <row r="310" customFormat="false" ht="15" hidden="false" customHeight="false" outlineLevel="0" collapsed="false">
      <c r="A310" s="6" t="n">
        <v>305</v>
      </c>
      <c r="B310" s="5" t="s">
        <v>76</v>
      </c>
      <c r="C310" s="5" t="s">
        <v>25</v>
      </c>
      <c r="D310" s="11" t="n">
        <v>45743</v>
      </c>
      <c r="E310" s="11" t="n">
        <v>45751</v>
      </c>
      <c r="F310" s="5" t="s">
        <v>73</v>
      </c>
      <c r="G310" s="12" t="n">
        <v>801303.345559739</v>
      </c>
      <c r="H310" s="13" t="n">
        <v>73.74</v>
      </c>
      <c r="I310" s="13" t="n">
        <v>69.61</v>
      </c>
      <c r="J310" s="5" t="s">
        <v>74</v>
      </c>
      <c r="K310" s="8" t="n">
        <v>64.9551209989916</v>
      </c>
      <c r="L310" s="8" t="n">
        <v>-42730.4376409126</v>
      </c>
      <c r="M310" s="8" t="n">
        <f aca="false">M309+L310</f>
        <v>1415546.15789557</v>
      </c>
      <c r="N310" s="5" t="str">
        <f aca="false">IF(L310&gt;0,"прибыль",IF(L310&lt;0,"убыток","ноль"))</f>
        <v>убыток</v>
      </c>
      <c r="O310" s="6" t="n">
        <f aca="false">IF(L310&lt;0,O309+1,0)</f>
        <v>3</v>
      </c>
      <c r="P310" s="6" t="n">
        <v>6</v>
      </c>
    </row>
    <row r="311" customFormat="false" ht="15" hidden="false" customHeight="false" outlineLevel="0" collapsed="false">
      <c r="A311" s="6" t="n">
        <v>306</v>
      </c>
      <c r="B311" s="5" t="s">
        <v>76</v>
      </c>
      <c r="C311" s="5" t="s">
        <v>25</v>
      </c>
      <c r="D311" s="11" t="n">
        <v>45751</v>
      </c>
      <c r="E311" s="11" t="n">
        <v>45757</v>
      </c>
      <c r="F311" s="5" t="s">
        <v>75</v>
      </c>
      <c r="G311" s="12" t="n">
        <v>189277.157210101</v>
      </c>
      <c r="H311" s="13" t="n">
        <v>69.61</v>
      </c>
      <c r="I311" s="13" t="n">
        <v>65.08</v>
      </c>
      <c r="K311" s="8" t="n">
        <v>8.87332398440054</v>
      </c>
      <c r="L311" s="8" t="n">
        <v>11801.804198106</v>
      </c>
      <c r="M311" s="8" t="n">
        <f aca="false">M310+L311</f>
        <v>1427347.96209367</v>
      </c>
      <c r="N311" s="5" t="str">
        <f aca="false">IF(L311&gt;0,"прибыль",IF(L311&lt;0,"убыток","ноль"))</f>
        <v>прибыль</v>
      </c>
      <c r="O311" s="6" t="n">
        <f aca="false">IF(L311&lt;0,O310+1,0)</f>
        <v>0</v>
      </c>
      <c r="P311" s="6" t="n">
        <v>4</v>
      </c>
    </row>
    <row r="312" customFormat="false" ht="15" hidden="false" customHeight="false" outlineLevel="0" collapsed="false">
      <c r="A312" s="6" t="n">
        <v>307</v>
      </c>
      <c r="B312" s="5" t="s">
        <v>76</v>
      </c>
      <c r="C312" s="5" t="s">
        <v>25</v>
      </c>
      <c r="D312" s="11" t="n">
        <v>45757</v>
      </c>
      <c r="E312" s="11" t="n">
        <v>45812</v>
      </c>
      <c r="F312" s="5" t="s">
        <v>75</v>
      </c>
      <c r="G312" s="12" t="n">
        <v>516542.533040126</v>
      </c>
      <c r="H312" s="13" t="n">
        <v>65.08</v>
      </c>
      <c r="I312" s="13" t="n">
        <v>65.31</v>
      </c>
      <c r="J312" s="5" t="s">
        <v>74</v>
      </c>
      <c r="K312" s="8" t="n">
        <v>62.7888707134991</v>
      </c>
      <c r="L312" s="8" t="n">
        <v>3229.6947939137</v>
      </c>
      <c r="M312" s="8" t="n">
        <f aca="false">M311+L312</f>
        <v>1430577.65688759</v>
      </c>
      <c r="N312" s="5" t="str">
        <f aca="false">IF(L312&gt;0,"прибыль",IF(L312&lt;0,"убыток","ноль"))</f>
        <v>прибыль</v>
      </c>
      <c r="O312" s="6" t="n">
        <f aca="false">IF(L312&lt;0,O311+1,0)</f>
        <v>0</v>
      </c>
      <c r="P312" s="6" t="n">
        <v>37</v>
      </c>
    </row>
    <row r="313" customFormat="false" ht="15" hidden="false" customHeight="false" outlineLevel="0" collapsed="false">
      <c r="A313" s="6" t="n">
        <v>308</v>
      </c>
      <c r="B313" s="5" t="s">
        <v>76</v>
      </c>
      <c r="C313" s="5" t="s">
        <v>25</v>
      </c>
      <c r="D313" s="11" t="n">
        <v>45812</v>
      </c>
      <c r="E313" s="11" t="n">
        <v>45821</v>
      </c>
      <c r="F313" s="5" t="s">
        <v>73</v>
      </c>
      <c r="G313" s="12" t="n">
        <v>182231.32117725</v>
      </c>
      <c r="H313" s="13" t="n">
        <v>65.31</v>
      </c>
      <c r="I313" s="13" t="n">
        <v>73.76</v>
      </c>
      <c r="K313" s="8" t="n">
        <v>18.8693572569036</v>
      </c>
      <c r="L313" s="8" t="n">
        <v>21909.8301936726</v>
      </c>
      <c r="M313" s="8" t="n">
        <f aca="false">M312+L313</f>
        <v>1452487.48708126</v>
      </c>
      <c r="N313" s="5" t="str">
        <f aca="false">IF(L313&gt;0,"прибыль",IF(L313&lt;0,"убыток","ноль"))</f>
        <v>прибыль</v>
      </c>
      <c r="O313" s="6" t="n">
        <f aca="false">IF(L313&lt;0,O312+1,0)</f>
        <v>0</v>
      </c>
      <c r="P313" s="6" t="n">
        <v>6</v>
      </c>
    </row>
    <row r="314" customFormat="false" ht="15" hidden="false" customHeight="false" outlineLevel="0" collapsed="false">
      <c r="A314" s="6" t="n">
        <v>309</v>
      </c>
      <c r="B314" s="5" t="s">
        <v>76</v>
      </c>
      <c r="C314" s="5" t="s">
        <v>25</v>
      </c>
      <c r="D314" s="11" t="n">
        <v>45821</v>
      </c>
      <c r="E314" s="11" t="n">
        <v>45824</v>
      </c>
      <c r="F314" s="5" t="s">
        <v>73</v>
      </c>
      <c r="G314" s="12" t="n">
        <v>179679.031854418</v>
      </c>
      <c r="H314" s="13" t="n">
        <v>73.76</v>
      </c>
      <c r="I314" s="13" t="n">
        <v>74.63</v>
      </c>
      <c r="K314" s="8" t="n">
        <v>10.1808686582702</v>
      </c>
      <c r="L314" s="8" t="n">
        <v>23928.1604423282</v>
      </c>
      <c r="M314" s="8" t="n">
        <f aca="false">M313+L314</f>
        <v>1476415.64752359</v>
      </c>
      <c r="N314" s="5" t="str">
        <f aca="false">IF(L314&gt;0,"прибыль",IF(L314&lt;0,"убыток","ноль"))</f>
        <v>прибыль</v>
      </c>
      <c r="O314" s="6" t="n">
        <f aca="false">IF(L314&lt;0,O313+1,0)</f>
        <v>0</v>
      </c>
      <c r="P314" s="6" t="n">
        <v>1</v>
      </c>
    </row>
    <row r="315" customFormat="false" ht="15" hidden="false" customHeight="false" outlineLevel="0" collapsed="false">
      <c r="A315" s="6" t="n">
        <v>310</v>
      </c>
      <c r="B315" s="5" t="s">
        <v>76</v>
      </c>
      <c r="C315" s="5" t="s">
        <v>25</v>
      </c>
      <c r="D315" s="11" t="n">
        <v>45824</v>
      </c>
      <c r="E315" s="11" t="n">
        <v>45832</v>
      </c>
      <c r="F315" s="5" t="s">
        <v>73</v>
      </c>
      <c r="G315" s="12" t="n">
        <v>120998.176587237</v>
      </c>
      <c r="H315" s="13" t="n">
        <v>74.63</v>
      </c>
      <c r="I315" s="13" t="n">
        <v>68.78</v>
      </c>
      <c r="K315" s="8" t="n">
        <v>6.31486662152615</v>
      </c>
      <c r="L315" s="8" t="n">
        <v>5292.84097666486</v>
      </c>
      <c r="M315" s="8" t="n">
        <f aca="false">M314+L315</f>
        <v>1481708.48850025</v>
      </c>
      <c r="N315" s="5" t="str">
        <f aca="false">IF(L315&gt;0,"прибыль",IF(L315&lt;0,"убыток","ноль"))</f>
        <v>прибыль</v>
      </c>
      <c r="O315" s="6" t="n">
        <f aca="false">IF(L315&lt;0,O314+1,0)</f>
        <v>0</v>
      </c>
      <c r="P315" s="6" t="n">
        <v>6</v>
      </c>
    </row>
    <row r="316" customFormat="false" ht="15" hidden="false" customHeight="false" outlineLevel="0" collapsed="false">
      <c r="A316" s="6" t="n">
        <v>311</v>
      </c>
      <c r="B316" s="5" t="s">
        <v>76</v>
      </c>
      <c r="C316" s="5" t="s">
        <v>25</v>
      </c>
      <c r="D316" s="11" t="n">
        <v>45832</v>
      </c>
      <c r="E316" s="11" t="n">
        <v>45880</v>
      </c>
      <c r="F316" s="5" t="s">
        <v>73</v>
      </c>
      <c r="G316" s="12" t="n">
        <v>659223.829142125</v>
      </c>
      <c r="H316" s="13" t="n">
        <v>68.78</v>
      </c>
      <c r="I316" s="13" t="n">
        <v>66.32</v>
      </c>
      <c r="J316" s="5" t="s">
        <v>74</v>
      </c>
      <c r="K316" s="8" t="n">
        <v>88.4979850943837</v>
      </c>
      <c r="L316" s="8" t="n">
        <v>16591.6225952717</v>
      </c>
      <c r="M316" s="8" t="n">
        <f aca="false">M315+L316</f>
        <v>1498300.11109552</v>
      </c>
      <c r="N316" s="5" t="str">
        <f aca="false">IF(L316&gt;0,"прибыль",IF(L316&lt;0,"убыток","ноль"))</f>
        <v>прибыль</v>
      </c>
      <c r="O316" s="6" t="n">
        <f aca="false">IF(L316&lt;0,O315+1,0)</f>
        <v>0</v>
      </c>
      <c r="P316" s="6" t="n">
        <v>34</v>
      </c>
    </row>
    <row r="317" customFormat="false" ht="15" hidden="false" customHeight="false" outlineLevel="0" collapsed="false">
      <c r="A317" s="6" t="n">
        <v>312</v>
      </c>
      <c r="B317" s="5" t="s">
        <v>76</v>
      </c>
      <c r="C317" s="5" t="s">
        <v>25</v>
      </c>
      <c r="D317" s="11" t="n">
        <v>45880</v>
      </c>
      <c r="E317" s="11" t="n">
        <v>45887</v>
      </c>
      <c r="F317" s="5" t="s">
        <v>75</v>
      </c>
      <c r="G317" s="12" t="n">
        <v>702322.749398306</v>
      </c>
      <c r="H317" s="13" t="n">
        <v>66.32</v>
      </c>
      <c r="I317" s="13" t="n">
        <v>66.08</v>
      </c>
      <c r="K317" s="8" t="n">
        <v>70.3356866392082</v>
      </c>
      <c r="L317" s="8" t="n">
        <v>1126.0304559325</v>
      </c>
      <c r="M317" s="8" t="n">
        <f aca="false">M316+L317</f>
        <v>1499426.14155146</v>
      </c>
      <c r="N317" s="5" t="str">
        <f aca="false">IF(L317&gt;0,"прибыль",IF(L317&lt;0,"убыток","ноль"))</f>
        <v>прибыль</v>
      </c>
      <c r="O317" s="6" t="n">
        <f aca="false">IF(L317&lt;0,O316+1,0)</f>
        <v>0</v>
      </c>
      <c r="P317" s="6" t="n">
        <v>7</v>
      </c>
    </row>
    <row r="318" customFormat="false" ht="15" hidden="false" customHeight="false" outlineLevel="0" collapsed="false">
      <c r="A318" s="6" t="n">
        <v>313</v>
      </c>
      <c r="B318" s="5" t="s">
        <v>76</v>
      </c>
      <c r="C318" s="5" t="s">
        <v>25</v>
      </c>
      <c r="D318" s="11" t="n">
        <v>45887</v>
      </c>
      <c r="E318" s="11" t="n">
        <v>45906</v>
      </c>
      <c r="F318" s="5" t="s">
        <v>73</v>
      </c>
      <c r="G318" s="12" t="n">
        <v>969231.761076242</v>
      </c>
      <c r="H318" s="13" t="n">
        <v>66.08</v>
      </c>
      <c r="I318" s="13" t="n">
        <v>65.69</v>
      </c>
      <c r="J318" s="5" t="s">
        <v>74</v>
      </c>
      <c r="K318" s="8" t="n">
        <v>107.325473481786</v>
      </c>
      <c r="L318" s="8" t="n">
        <v>-15445.4004347691</v>
      </c>
      <c r="M318" s="8" t="n">
        <f aca="false">M317+L318</f>
        <v>1483980.74111669</v>
      </c>
      <c r="N318" s="5" t="str">
        <f aca="false">IF(L318&gt;0,"прибыль",IF(L318&lt;0,"убыток","ноль"))</f>
        <v>убыток</v>
      </c>
      <c r="O318" s="6" t="n">
        <f aca="false">IF(L318&lt;0,O317+1,0)</f>
        <v>1</v>
      </c>
      <c r="P318" s="6" t="n">
        <v>19</v>
      </c>
    </row>
    <row r="319" customFormat="false" ht="15" hidden="false" customHeight="false" outlineLevel="0" collapsed="false">
      <c r="A319" s="6" t="n">
        <v>314</v>
      </c>
      <c r="B319" s="5" t="s">
        <v>76</v>
      </c>
      <c r="C319" s="5" t="s">
        <v>25</v>
      </c>
      <c r="D319" s="11" t="n">
        <v>45906</v>
      </c>
      <c r="E319" s="11" t="n">
        <v>45910</v>
      </c>
      <c r="F319" s="5" t="s">
        <v>75</v>
      </c>
      <c r="G319" s="12" t="n">
        <v>928971.371972953</v>
      </c>
      <c r="H319" s="13" t="n">
        <v>65.69</v>
      </c>
      <c r="I319" s="13" t="n">
        <v>67.01</v>
      </c>
      <c r="K319" s="8" t="n">
        <v>94.8433664614422</v>
      </c>
      <c r="L319" s="8" t="n">
        <v>-20276.7931946393</v>
      </c>
      <c r="M319" s="8" t="n">
        <f aca="false">M318+L319</f>
        <v>1463703.94792205</v>
      </c>
      <c r="N319" s="5" t="str">
        <f aca="false">IF(L319&gt;0,"прибыль",IF(L319&lt;0,"убыток","ноль"))</f>
        <v>убыток</v>
      </c>
      <c r="O319" s="6" t="n">
        <f aca="false">IF(L319&lt;0,O318+1,0)</f>
        <v>2</v>
      </c>
      <c r="P319" s="6" t="n">
        <v>4</v>
      </c>
    </row>
    <row r="320" customFormat="false" ht="15" hidden="false" customHeight="false" outlineLevel="0" collapsed="false">
      <c r="A320" s="6" t="n">
        <v>315</v>
      </c>
      <c r="B320" s="5" t="s">
        <v>76</v>
      </c>
      <c r="C320" s="5" t="s">
        <v>25</v>
      </c>
      <c r="D320" s="11" t="n">
        <v>45910</v>
      </c>
      <c r="E320" s="11" t="n">
        <v>45912</v>
      </c>
      <c r="F320" s="5" t="s">
        <v>73</v>
      </c>
      <c r="G320" s="12" t="n">
        <v>947714.007427713</v>
      </c>
      <c r="H320" s="13" t="n">
        <v>67.01</v>
      </c>
      <c r="I320" s="13" t="n">
        <v>65.98</v>
      </c>
      <c r="K320" s="8" t="n">
        <v>88.3297258520086</v>
      </c>
      <c r="L320" s="8" t="n">
        <v>-16195.2708793339</v>
      </c>
      <c r="M320" s="8" t="n">
        <f aca="false">M319+L320</f>
        <v>1447508.67704271</v>
      </c>
      <c r="N320" s="5" t="str">
        <f aca="false">IF(L320&gt;0,"прибыль",IF(L320&lt;0,"убыток","ноль"))</f>
        <v>убыток</v>
      </c>
      <c r="O320" s="6" t="n">
        <f aca="false">IF(L320&lt;0,O319+1,0)</f>
        <v>3</v>
      </c>
      <c r="P320" s="6" t="n">
        <v>2</v>
      </c>
    </row>
    <row r="321" customFormat="false" ht="15" hidden="false" customHeight="false" outlineLevel="0" collapsed="false">
      <c r="A321" s="6" t="n">
        <v>316</v>
      </c>
      <c r="B321" s="5" t="s">
        <v>76</v>
      </c>
      <c r="C321" s="5" t="s">
        <v>25</v>
      </c>
      <c r="D321" s="11" t="n">
        <v>45912</v>
      </c>
      <c r="E321" s="11" t="n">
        <v>45917</v>
      </c>
      <c r="F321" s="5" t="s">
        <v>75</v>
      </c>
      <c r="G321" s="12" t="n">
        <v>834987.450765941</v>
      </c>
      <c r="H321" s="13" t="n">
        <v>65.98</v>
      </c>
      <c r="I321" s="13" t="n">
        <v>68.4</v>
      </c>
      <c r="K321" s="8" t="n">
        <v>87.4384545780795</v>
      </c>
      <c r="L321" s="8" t="n">
        <v>-32171.9654391051</v>
      </c>
      <c r="M321" s="8" t="n">
        <f aca="false">M320+L321</f>
        <v>1415336.71160361</v>
      </c>
      <c r="N321" s="5" t="str">
        <f aca="false">IF(L321&gt;0,"прибыль",IF(L321&lt;0,"убыток","ноль"))</f>
        <v>убыток</v>
      </c>
      <c r="O321" s="6" t="n">
        <f aca="false">IF(L321&lt;0,O320+1,0)</f>
        <v>4</v>
      </c>
      <c r="P321" s="6" t="n">
        <v>5</v>
      </c>
    </row>
    <row r="322" customFormat="false" ht="15" hidden="false" customHeight="false" outlineLevel="0" collapsed="false">
      <c r="A322" s="6" t="n">
        <v>317</v>
      </c>
      <c r="B322" s="5" t="s">
        <v>76</v>
      </c>
      <c r="C322" s="5" t="s">
        <v>25</v>
      </c>
      <c r="D322" s="11" t="n">
        <v>45917</v>
      </c>
      <c r="E322" s="11" t="n">
        <v>45923</v>
      </c>
      <c r="F322" s="5" t="s">
        <v>73</v>
      </c>
      <c r="G322" s="12" t="n">
        <v>881697.113811121</v>
      </c>
      <c r="H322" s="13" t="n">
        <v>68.4</v>
      </c>
      <c r="I322" s="13" t="n">
        <v>66.23</v>
      </c>
      <c r="K322" s="8" t="n">
        <v>84.6213269411836</v>
      </c>
      <c r="L322" s="8" t="n">
        <v>-29489.5703995253</v>
      </c>
      <c r="M322" s="8" t="n">
        <f aca="false">M321+L322</f>
        <v>1385847.14120408</v>
      </c>
      <c r="N322" s="5" t="str">
        <f aca="false">IF(L322&gt;0,"прибыль",IF(L322&lt;0,"убыток","ноль"))</f>
        <v>убыток</v>
      </c>
      <c r="O322" s="6" t="n">
        <f aca="false">IF(L322&lt;0,O321+1,0)</f>
        <v>5</v>
      </c>
      <c r="P322" s="6" t="n">
        <v>4</v>
      </c>
    </row>
    <row r="323" customFormat="false" ht="15" hidden="false" customHeight="false" outlineLevel="0" collapsed="false">
      <c r="A323" s="6" t="n">
        <v>318</v>
      </c>
      <c r="B323" s="5" t="s">
        <v>76</v>
      </c>
      <c r="C323" s="5" t="s">
        <v>25</v>
      </c>
      <c r="D323" s="11" t="n">
        <v>45923</v>
      </c>
      <c r="E323" s="11" t="n">
        <v>45924</v>
      </c>
      <c r="F323" s="5" t="s">
        <v>75</v>
      </c>
      <c r="G323" s="12" t="n">
        <v>840134.374085134</v>
      </c>
      <c r="H323" s="13" t="n">
        <v>66.23</v>
      </c>
      <c r="I323" s="13" t="n">
        <v>67.72</v>
      </c>
      <c r="K323" s="8" t="n">
        <v>82.3181335929045</v>
      </c>
      <c r="L323" s="8" t="n">
        <v>-20482.8951296958</v>
      </c>
      <c r="M323" s="8" t="n">
        <f aca="false">M322+L323</f>
        <v>1365364.24607439</v>
      </c>
      <c r="N323" s="5" t="str">
        <f aca="false">IF(L323&gt;0,"прибыль",IF(L323&lt;0,"убыток","ноль"))</f>
        <v>убыток</v>
      </c>
      <c r="O323" s="6" t="n">
        <f aca="false">IF(L323&lt;0,O322+1,0)</f>
        <v>6</v>
      </c>
      <c r="P323" s="6" t="n">
        <v>1</v>
      </c>
    </row>
    <row r="324" customFormat="false" ht="15" hidden="false" customHeight="false" outlineLevel="0" collapsed="false">
      <c r="A324" s="6" t="n">
        <v>319</v>
      </c>
      <c r="B324" s="5" t="s">
        <v>76</v>
      </c>
      <c r="C324" s="5" t="s">
        <v>25</v>
      </c>
      <c r="D324" s="11" t="n">
        <v>45924</v>
      </c>
      <c r="E324" s="11" t="n">
        <v>45932</v>
      </c>
      <c r="F324" s="5" t="s">
        <v>73</v>
      </c>
      <c r="G324" s="12" t="n">
        <v>785827.720776853</v>
      </c>
      <c r="H324" s="13" t="n">
        <v>67.72</v>
      </c>
      <c r="I324" s="13" t="n">
        <v>65.74</v>
      </c>
      <c r="J324" s="5" t="s">
        <v>74</v>
      </c>
      <c r="K324" s="8" t="n">
        <v>74.3737236016484</v>
      </c>
      <c r="L324" s="8" t="n">
        <v>-9517.34061807525</v>
      </c>
      <c r="M324" s="8" t="n">
        <f aca="false">M323+L324</f>
        <v>1355846.90545631</v>
      </c>
      <c r="N324" s="5" t="str">
        <f aca="false">IF(L324&gt;0,"прибыль",IF(L324&lt;0,"убыток","ноль"))</f>
        <v>убыток</v>
      </c>
      <c r="O324" s="6" t="n">
        <f aca="false">IF(L324&lt;0,O323+1,0)</f>
        <v>7</v>
      </c>
      <c r="P324" s="6" t="n">
        <v>8</v>
      </c>
    </row>
    <row r="325" customFormat="false" ht="15" hidden="false" customHeight="false" outlineLevel="0" collapsed="false">
      <c r="A325" s="6" t="n">
        <v>320</v>
      </c>
      <c r="B325" s="5" t="s">
        <v>76</v>
      </c>
      <c r="C325" s="5" t="s">
        <v>25</v>
      </c>
      <c r="D325" s="11" t="n">
        <v>45932</v>
      </c>
      <c r="E325" s="11" t="n">
        <v>45954</v>
      </c>
      <c r="F325" s="5" t="s">
        <v>75</v>
      </c>
      <c r="G325" s="12" t="n">
        <v>711089.718150589</v>
      </c>
      <c r="H325" s="13" t="n">
        <v>65.74</v>
      </c>
      <c r="I325" s="13" t="n">
        <v>65.77</v>
      </c>
      <c r="K325" s="8" t="n">
        <v>62.7599670722526</v>
      </c>
      <c r="L325" s="8" t="n">
        <v>-1892.82933424689</v>
      </c>
      <c r="M325" s="8" t="n">
        <f aca="false">M324+L325</f>
        <v>1353954.07612207</v>
      </c>
      <c r="N325" s="5" t="str">
        <f aca="false">IF(L325&gt;0,"прибыль",IF(L325&lt;0,"убыток","ноль"))</f>
        <v>убыток</v>
      </c>
      <c r="O325" s="6" t="n">
        <f aca="false">IF(L325&lt;0,O324+1,0)</f>
        <v>8</v>
      </c>
      <c r="P325" s="6" t="n">
        <v>22</v>
      </c>
    </row>
    <row r="326" customFormat="false" ht="15" hidden="false" customHeight="false" outlineLevel="0" collapsed="false">
      <c r="A326" s="6" t="n">
        <v>321</v>
      </c>
      <c r="B326" s="5" t="s">
        <v>76</v>
      </c>
      <c r="C326" s="5" t="s">
        <v>25</v>
      </c>
      <c r="D326" s="11" t="n">
        <v>45954</v>
      </c>
      <c r="E326" s="11" t="n">
        <v>45959</v>
      </c>
      <c r="F326" s="5" t="s">
        <v>73</v>
      </c>
      <c r="G326" s="12" t="n">
        <v>542279.553927288</v>
      </c>
      <c r="H326" s="13" t="n">
        <v>65.77</v>
      </c>
      <c r="I326" s="13" t="n">
        <v>64.44</v>
      </c>
      <c r="K326" s="8" t="n">
        <v>52.8333108136667</v>
      </c>
      <c r="L326" s="8" t="n">
        <v>-12262.4636279825</v>
      </c>
      <c r="M326" s="8" t="n">
        <f aca="false">M325+L326</f>
        <v>1341691.61249408</v>
      </c>
      <c r="N326" s="5" t="str">
        <f aca="false">IF(L326&gt;0,"прибыль",IF(L326&lt;0,"убыток","ноль"))</f>
        <v>убыток</v>
      </c>
      <c r="O326" s="6" t="n">
        <f aca="false">IF(L326&lt;0,O325+1,0)</f>
        <v>9</v>
      </c>
      <c r="P326" s="6" t="n">
        <v>3</v>
      </c>
    </row>
    <row r="327" customFormat="false" ht="15" hidden="false" customHeight="false" outlineLevel="0" collapsed="false">
      <c r="A327" s="6" t="n">
        <v>322</v>
      </c>
      <c r="B327" s="5" t="s">
        <v>76</v>
      </c>
      <c r="C327" s="5" t="s">
        <v>25</v>
      </c>
      <c r="D327" s="11" t="n">
        <v>45959</v>
      </c>
      <c r="E327" s="11" t="n">
        <v>45977</v>
      </c>
      <c r="F327" s="5" t="s">
        <v>75</v>
      </c>
      <c r="G327" s="12" t="n">
        <v>641659.012315469</v>
      </c>
      <c r="H327" s="13" t="n">
        <v>64.44</v>
      </c>
      <c r="I327" s="13" t="n">
        <v>64.32</v>
      </c>
      <c r="J327" s="5" t="s">
        <v>74</v>
      </c>
      <c r="K327" s="8" t="n">
        <v>69.6379033566367</v>
      </c>
      <c r="L327" s="8" t="n">
        <v>-4887.86742020811</v>
      </c>
      <c r="M327" s="8" t="n">
        <f aca="false">M326+L327</f>
        <v>1336803.74507388</v>
      </c>
      <c r="N327" s="5" t="str">
        <f aca="false">IF(L327&gt;0,"прибыль",IF(L327&lt;0,"убыток","ноль"))</f>
        <v>убыток</v>
      </c>
      <c r="O327" s="6" t="n">
        <f aca="false">IF(L327&lt;0,O326+1,0)</f>
        <v>10</v>
      </c>
      <c r="P327" s="6" t="n">
        <v>16</v>
      </c>
    </row>
    <row r="328" customFormat="false" ht="15" hidden="false" customHeight="false" outlineLevel="0" collapsed="false">
      <c r="A328" s="6" t="n">
        <v>323</v>
      </c>
      <c r="B328" s="5" t="s">
        <v>76</v>
      </c>
      <c r="C328" s="5" t="s">
        <v>25</v>
      </c>
      <c r="D328" s="11" t="n">
        <v>45977</v>
      </c>
      <c r="E328" s="11" t="n">
        <v>45981</v>
      </c>
      <c r="F328" s="5" t="s">
        <v>73</v>
      </c>
      <c r="G328" s="12" t="n">
        <v>778552.169139092</v>
      </c>
      <c r="H328" s="13" t="n">
        <v>64.32</v>
      </c>
      <c r="I328" s="13" t="n">
        <v>63.61</v>
      </c>
      <c r="K328" s="8" t="n">
        <v>84.2800433421031</v>
      </c>
      <c r="L328" s="8" t="n">
        <v>-9152.50526904676</v>
      </c>
      <c r="M328" s="8" t="n">
        <f aca="false">M327+L328</f>
        <v>1327651.23980483</v>
      </c>
      <c r="N328" s="5" t="str">
        <f aca="false">IF(L328&gt;0,"прибыль",IF(L328&lt;0,"убыток","ноль"))</f>
        <v>убыток</v>
      </c>
      <c r="O328" s="6" t="n">
        <f aca="false">IF(L328&lt;0,O327+1,0)</f>
        <v>11</v>
      </c>
      <c r="P328" s="6" t="n">
        <v>4</v>
      </c>
    </row>
    <row r="329" customFormat="false" ht="15" hidden="false" customHeight="false" outlineLevel="0" collapsed="false">
      <c r="A329" s="6" t="n">
        <v>324</v>
      </c>
      <c r="B329" s="5" t="s">
        <v>76</v>
      </c>
      <c r="C329" s="5" t="s">
        <v>25</v>
      </c>
      <c r="D329" s="11" t="n">
        <v>45981</v>
      </c>
      <c r="E329" s="11" t="n">
        <v>45987</v>
      </c>
      <c r="F329" s="5" t="s">
        <v>75</v>
      </c>
      <c r="G329" s="12" t="n">
        <v>768782.859437743</v>
      </c>
      <c r="H329" s="13" t="n">
        <v>63.61</v>
      </c>
      <c r="I329" s="13" t="n">
        <v>62.7</v>
      </c>
      <c r="K329" s="8" t="n">
        <v>73.7574296039461</v>
      </c>
      <c r="L329" s="8" t="n">
        <v>9513.85268979751</v>
      </c>
      <c r="M329" s="8" t="n">
        <f aca="false">M328+L329</f>
        <v>1337165.09249463</v>
      </c>
      <c r="N329" s="5" t="str">
        <f aca="false">IF(L329&gt;0,"прибыль",IF(L329&lt;0,"убыток","ноль"))</f>
        <v>прибыль</v>
      </c>
      <c r="O329" s="6" t="n">
        <f aca="false">IF(L329&lt;0,O328+1,0)</f>
        <v>0</v>
      </c>
      <c r="P329" s="6" t="n">
        <v>4</v>
      </c>
    </row>
    <row r="330" customFormat="false" ht="15" hidden="false" customHeight="false" outlineLevel="0" collapsed="false">
      <c r="A330" s="6" t="n">
        <v>325</v>
      </c>
      <c r="B330" s="5" t="s">
        <v>76</v>
      </c>
      <c r="C330" s="5" t="s">
        <v>25</v>
      </c>
      <c r="D330" s="11" t="n">
        <v>45987</v>
      </c>
      <c r="E330" s="11" t="n">
        <v>46001</v>
      </c>
      <c r="F330" s="5" t="s">
        <v>73</v>
      </c>
      <c r="G330" s="12" t="n">
        <v>928258.186305685</v>
      </c>
      <c r="H330" s="13" t="n">
        <v>62.7</v>
      </c>
      <c r="I330" s="13" t="n">
        <v>62.19</v>
      </c>
      <c r="J330" s="5" t="s">
        <v>74</v>
      </c>
      <c r="K330" s="8" t="n">
        <v>103.285565340289</v>
      </c>
      <c r="L330" s="8" t="n">
        <v>-11284.2968667028</v>
      </c>
      <c r="M330" s="8" t="n">
        <f aca="false">M329+L330</f>
        <v>1325880.79562792</v>
      </c>
      <c r="N330" s="5" t="str">
        <f aca="false">IF(L330&gt;0,"прибыль",IF(L330&lt;0,"убыток","ноль"))</f>
        <v>убыток</v>
      </c>
      <c r="O330" s="6" t="n">
        <f aca="false">IF(L330&lt;0,O329+1,0)</f>
        <v>1</v>
      </c>
      <c r="P330" s="6" t="n">
        <v>12</v>
      </c>
    </row>
    <row r="331" customFormat="false" ht="15" hidden="false" customHeight="false" outlineLevel="0" collapsed="false">
      <c r="A331" s="6" t="n">
        <v>326</v>
      </c>
      <c r="B331" s="5" t="s">
        <v>76</v>
      </c>
      <c r="C331" s="5" t="s">
        <v>25</v>
      </c>
      <c r="D331" s="11" t="n">
        <v>46001</v>
      </c>
      <c r="E331" s="11" t="n">
        <v>46014</v>
      </c>
      <c r="F331" s="5" t="s">
        <v>75</v>
      </c>
      <c r="G331" s="12" t="n">
        <v>227273.244630358</v>
      </c>
      <c r="H331" s="13" t="n">
        <v>62.19</v>
      </c>
      <c r="I331" s="13" t="n">
        <v>61.89</v>
      </c>
      <c r="K331" s="8" t="n">
        <v>11.3287132590751</v>
      </c>
      <c r="L331" s="8" t="n">
        <v>687.650735598234</v>
      </c>
      <c r="M331" s="8" t="n">
        <f aca="false">M330+L331</f>
        <v>1326568.44636352</v>
      </c>
      <c r="N331" s="5" t="str">
        <f aca="false">IF(L331&gt;0,"прибыль",IF(L331&lt;0,"убыток","ноль"))</f>
        <v>прибыль</v>
      </c>
      <c r="O331" s="6" t="n">
        <f aca="false">IF(L331&lt;0,O330+1,0)</f>
        <v>0</v>
      </c>
      <c r="P331" s="6" t="n">
        <v>13</v>
      </c>
    </row>
    <row r="332" customFormat="false" ht="15" hidden="false" customHeight="false" outlineLevel="0" collapsed="false">
      <c r="A332" s="6" t="n">
        <v>327</v>
      </c>
      <c r="B332" s="5" t="s">
        <v>76</v>
      </c>
      <c r="C332" s="5" t="s">
        <v>25</v>
      </c>
      <c r="D332" s="11" t="n">
        <v>46014</v>
      </c>
      <c r="E332" s="11" t="n">
        <v>46034</v>
      </c>
      <c r="F332" s="5" t="s">
        <v>75</v>
      </c>
      <c r="G332" s="12" t="n">
        <v>709056.043625991</v>
      </c>
      <c r="H332" s="13" t="n">
        <v>61.89</v>
      </c>
      <c r="I332" s="13" t="n">
        <v>63.5</v>
      </c>
      <c r="J332" s="5" t="s">
        <v>74</v>
      </c>
      <c r="K332" s="8" t="n">
        <v>66.9048181800142</v>
      </c>
      <c r="L332" s="8" t="n">
        <v>-20596.7135633286</v>
      </c>
      <c r="M332" s="8" t="n">
        <f aca="false">M331+L332</f>
        <v>1305971.73280019</v>
      </c>
      <c r="N332" s="5" t="str">
        <f aca="false">IF(L332&gt;0,"прибыль",IF(L332&lt;0,"убыток","ноль"))</f>
        <v>убыток</v>
      </c>
      <c r="O332" s="6" t="n">
        <f aca="false">IF(L332&lt;0,O331+1,0)</f>
        <v>1</v>
      </c>
      <c r="P332" s="6" t="n">
        <v>12</v>
      </c>
    </row>
    <row r="333" customFormat="false" ht="15" hidden="false" customHeight="false" outlineLevel="0" collapsed="false">
      <c r="A333" s="6" t="n">
        <v>328</v>
      </c>
      <c r="B333" s="5" t="s">
        <v>76</v>
      </c>
      <c r="C333" s="5" t="s">
        <v>25</v>
      </c>
      <c r="D333" s="11" t="n">
        <v>46034</v>
      </c>
      <c r="E333" s="11" t="n">
        <v>46035</v>
      </c>
      <c r="F333" s="5" t="s">
        <v>73</v>
      </c>
      <c r="G333" s="12" t="n">
        <v>1.05613536875542E-010</v>
      </c>
      <c r="H333" s="13" t="n">
        <v>63.5</v>
      </c>
      <c r="I333" s="13" t="n">
        <v>64.01</v>
      </c>
      <c r="K333" s="8" t="n">
        <v>5.31175381788381E-015</v>
      </c>
      <c r="L333" s="8" t="n">
        <v>6.16227728316689E-013</v>
      </c>
      <c r="M333" s="8" t="n">
        <f aca="false">M332+L333</f>
        <v>1305971.73280019</v>
      </c>
      <c r="N333" s="5" t="str">
        <f aca="false">IF(L333&gt;0,"прибыль",IF(L333&lt;0,"убыток","ноль"))</f>
        <v>прибыль</v>
      </c>
      <c r="O333" s="6" t="n">
        <f aca="false">IF(L333&lt;0,O332+1,0)</f>
        <v>0</v>
      </c>
      <c r="P333" s="6" t="n">
        <v>1</v>
      </c>
    </row>
    <row r="334" customFormat="false" ht="15" hidden="false" customHeight="false" outlineLevel="0" collapsed="false">
      <c r="A334" s="6" t="n">
        <v>329</v>
      </c>
      <c r="B334" s="5" t="s">
        <v>76</v>
      </c>
      <c r="C334" s="5" t="s">
        <v>25</v>
      </c>
      <c r="D334" s="11" t="n">
        <v>46035</v>
      </c>
      <c r="E334" s="11" t="n">
        <v>46072</v>
      </c>
      <c r="F334" s="5" t="s">
        <v>73</v>
      </c>
      <c r="G334" s="12" t="n">
        <v>176738.24322197</v>
      </c>
      <c r="H334" s="13" t="n">
        <v>64.01</v>
      </c>
      <c r="I334" s="13" t="n">
        <v>70.54</v>
      </c>
      <c r="J334" s="5" t="s">
        <v>74</v>
      </c>
      <c r="K334" s="8" t="n">
        <v>10.479018953588</v>
      </c>
      <c r="L334" s="8" t="n">
        <v>32831.6568308356</v>
      </c>
      <c r="M334" s="8" t="n">
        <f aca="false">M333+L334</f>
        <v>1338803.38963103</v>
      </c>
      <c r="N334" s="5" t="str">
        <f aca="false">IF(L334&gt;0,"прибыль",IF(L334&lt;0,"убыток","ноль"))</f>
        <v>прибыль</v>
      </c>
      <c r="O334" s="6" t="n">
        <f aca="false">IF(L334&lt;0,O333+1,0)</f>
        <v>0</v>
      </c>
      <c r="P334" s="6" t="n">
        <v>35</v>
      </c>
    </row>
    <row r="335" customFormat="false" ht="15" hidden="false" customHeight="false" outlineLevel="0" collapsed="false">
      <c r="A335" s="6" t="n">
        <v>330</v>
      </c>
      <c r="B335" s="5" t="s">
        <v>76</v>
      </c>
      <c r="C335" s="5" t="s">
        <v>25</v>
      </c>
      <c r="D335" s="11" t="n">
        <v>46072</v>
      </c>
      <c r="E335" s="11" t="n">
        <v>46090</v>
      </c>
      <c r="F335" s="5" t="s">
        <v>73</v>
      </c>
      <c r="G335" s="12" t="n">
        <v>145255.170657415</v>
      </c>
      <c r="H335" s="13" t="n">
        <v>70.54</v>
      </c>
      <c r="I335" s="13" t="n">
        <v>105.61</v>
      </c>
      <c r="J335" s="5" t="s">
        <v>74</v>
      </c>
      <c r="K335" s="8" t="n">
        <v>11.6382669045416</v>
      </c>
      <c r="L335" s="8" t="n">
        <v>87498.5291665115</v>
      </c>
      <c r="M335" s="8" t="n">
        <f aca="false">M334+L335</f>
        <v>1426301.91879754</v>
      </c>
      <c r="N335" s="5" t="str">
        <f aca="false">IF(L335&gt;0,"прибыль",IF(L335&lt;0,"убыток","ноль"))</f>
        <v>прибыль</v>
      </c>
      <c r="O335" s="6" t="n">
        <f aca="false">IF(L335&lt;0,O334+1,0)</f>
        <v>0</v>
      </c>
      <c r="P335" s="6" t="n">
        <v>16</v>
      </c>
    </row>
    <row r="336" customFormat="false" ht="15" hidden="false" customHeight="false" outlineLevel="0" collapsed="false">
      <c r="A336" s="6" t="n">
        <v>331</v>
      </c>
      <c r="B336" s="5" t="s">
        <v>76</v>
      </c>
      <c r="C336" s="5" t="s">
        <v>25</v>
      </c>
      <c r="D336" s="11" t="n">
        <v>46090</v>
      </c>
      <c r="E336" s="11" t="n">
        <v>46094</v>
      </c>
      <c r="F336" s="5" t="s">
        <v>73</v>
      </c>
      <c r="G336" s="12" t="n">
        <v>95140.6470775006</v>
      </c>
      <c r="H336" s="13" t="n">
        <v>105.61</v>
      </c>
      <c r="I336" s="13" t="n">
        <v>101.16</v>
      </c>
      <c r="K336" s="8" t="n">
        <v>7.29874814945939</v>
      </c>
      <c r="L336" s="8" t="n">
        <v>50827.0171635377</v>
      </c>
      <c r="M336" s="8" t="n">
        <f aca="false">M335+L336</f>
        <v>1477128.93596108</v>
      </c>
      <c r="N336" s="5" t="str">
        <f aca="false">IF(L336&gt;0,"прибыль",IF(L336&lt;0,"убыток","ноль"))</f>
        <v>прибыль</v>
      </c>
      <c r="O336" s="6" t="n">
        <f aca="false">IF(L336&lt;0,O335+1,0)</f>
        <v>0</v>
      </c>
      <c r="P336" s="6" t="n">
        <v>4</v>
      </c>
    </row>
    <row r="337" customFormat="false" ht="15" hidden="false" customHeight="false" outlineLevel="0" collapsed="false">
      <c r="A337" s="6" t="n">
        <v>332</v>
      </c>
      <c r="B337" s="5" t="s">
        <v>76</v>
      </c>
      <c r="C337" s="5" t="s">
        <v>25</v>
      </c>
      <c r="D337" s="11" t="n">
        <v>46094</v>
      </c>
      <c r="E337" s="11" t="n">
        <v>46105</v>
      </c>
      <c r="F337" s="5" t="s">
        <v>73</v>
      </c>
      <c r="G337" s="12" t="n">
        <v>45971.8946006791</v>
      </c>
      <c r="H337" s="13" t="n">
        <v>101.16</v>
      </c>
      <c r="I337" s="13" t="n">
        <v>103.95</v>
      </c>
      <c r="K337" s="8" t="n">
        <v>3.62211716392975</v>
      </c>
      <c r="L337" s="8" t="n">
        <v>26466.826560752</v>
      </c>
      <c r="M337" s="8" t="n">
        <f aca="false">M336+L337</f>
        <v>1503595.76252183</v>
      </c>
      <c r="N337" s="5" t="str">
        <f aca="false">IF(L337&gt;0,"прибыль",IF(L337&lt;0,"убыток","ноль"))</f>
        <v>прибыль</v>
      </c>
      <c r="O337" s="6" t="n">
        <f aca="false">IF(L337&lt;0,O336+1,0)</f>
        <v>0</v>
      </c>
      <c r="P337" s="6" t="n">
        <v>9</v>
      </c>
    </row>
    <row r="338" customFormat="false" ht="15" hidden="false" customHeight="false" outlineLevel="0" collapsed="false">
      <c r="A338" s="6" t="n">
        <v>333</v>
      </c>
      <c r="B338" s="5" t="s">
        <v>76</v>
      </c>
      <c r="C338" s="5" t="s">
        <v>25</v>
      </c>
      <c r="D338" s="11" t="n">
        <v>46105</v>
      </c>
      <c r="E338" s="11" t="n">
        <v>46149</v>
      </c>
      <c r="F338" s="5" t="s">
        <v>73</v>
      </c>
      <c r="G338" s="12" t="n">
        <v>145404.555671579</v>
      </c>
      <c r="H338" s="13" t="n">
        <v>103.95</v>
      </c>
      <c r="I338" s="13" t="n">
        <v>102.11</v>
      </c>
      <c r="J338" s="5" t="s">
        <v>74</v>
      </c>
      <c r="K338" s="8" t="n">
        <v>24.7972424556929</v>
      </c>
      <c r="L338" s="8" t="n">
        <v>101536.460019696</v>
      </c>
      <c r="M338" s="8" t="n">
        <f aca="false">M337+L338</f>
        <v>1605132.22254153</v>
      </c>
      <c r="N338" s="5" t="str">
        <f aca="false">IF(L338&gt;0,"прибыль",IF(L338&lt;0,"убыток","ноль"))</f>
        <v>прибыль</v>
      </c>
      <c r="O338" s="6" t="n">
        <f aca="false">IF(L338&lt;0,O337+1,0)</f>
        <v>0</v>
      </c>
      <c r="P338" s="6" t="n">
        <v>44</v>
      </c>
    </row>
    <row r="339" customFormat="false" ht="15" hidden="false" customHeight="false" outlineLevel="0" collapsed="false">
      <c r="A339" s="6" t="n">
        <v>334</v>
      </c>
      <c r="B339" s="5" t="s">
        <v>76</v>
      </c>
      <c r="C339" s="5" t="s">
        <v>25</v>
      </c>
      <c r="D339" s="11" t="n">
        <v>46149</v>
      </c>
      <c r="E339" s="11" t="n">
        <v>46154</v>
      </c>
      <c r="F339" s="5" t="s">
        <v>75</v>
      </c>
      <c r="G339" s="12" t="n">
        <v>248979.036180129</v>
      </c>
      <c r="H339" s="13" t="n">
        <v>102.11</v>
      </c>
      <c r="I339" s="13" t="n">
        <v>105.46</v>
      </c>
      <c r="K339" s="8" t="n">
        <v>26.4315919513144</v>
      </c>
      <c r="L339" s="8" t="n">
        <v>-9277.86456432837</v>
      </c>
      <c r="M339" s="8" t="n">
        <f aca="false">M338+L339</f>
        <v>1595854.3579772</v>
      </c>
      <c r="N339" s="5" t="str">
        <f aca="false">IF(L339&gt;0,"прибыль",IF(L339&lt;0,"убыток","ноль"))</f>
        <v>убыток</v>
      </c>
      <c r="O339" s="6" t="n">
        <f aca="false">IF(L339&lt;0,O338+1,0)</f>
        <v>1</v>
      </c>
      <c r="P339" s="6" t="n">
        <v>3</v>
      </c>
    </row>
    <row r="340" customFormat="false" ht="15" hidden="false" customHeight="false" outlineLevel="0" collapsed="false">
      <c r="A340" s="6" t="n">
        <v>335</v>
      </c>
      <c r="B340" s="5" t="s">
        <v>76</v>
      </c>
      <c r="C340" s="5" t="s">
        <v>25</v>
      </c>
      <c r="D340" s="11" t="n">
        <v>46154</v>
      </c>
      <c r="E340" s="11" t="n">
        <v>46155</v>
      </c>
      <c r="F340" s="5" t="s">
        <v>73</v>
      </c>
      <c r="G340" s="12" t="n">
        <v>270401.369873783</v>
      </c>
      <c r="H340" s="13" t="n">
        <v>105.46</v>
      </c>
      <c r="I340" s="13" t="n">
        <v>106.47</v>
      </c>
      <c r="K340" s="8" t="n">
        <v>26.655708597227</v>
      </c>
      <c r="L340" s="8" t="n">
        <v>1446.43589499433</v>
      </c>
      <c r="M340" s="8" t="n">
        <f aca="false">M339+L340</f>
        <v>1597300.79387219</v>
      </c>
      <c r="N340" s="5" t="str">
        <f aca="false">IF(L340&gt;0,"прибыль",IF(L340&lt;0,"убыток","ноль"))</f>
        <v>прибыль</v>
      </c>
      <c r="O340" s="6" t="n">
        <f aca="false">IF(L340&lt;0,O339+1,0)</f>
        <v>0</v>
      </c>
      <c r="P340" s="6" t="n">
        <v>1</v>
      </c>
    </row>
    <row r="341" customFormat="false" ht="15" hidden="false" customHeight="false" outlineLevel="0" collapsed="false">
      <c r="A341" s="6" t="n">
        <v>336</v>
      </c>
      <c r="B341" s="5" t="s">
        <v>76</v>
      </c>
      <c r="C341" s="5" t="s">
        <v>25</v>
      </c>
      <c r="D341" s="11" t="n">
        <v>46155</v>
      </c>
      <c r="E341" s="11" t="n">
        <v>46162</v>
      </c>
      <c r="F341" s="5" t="s">
        <v>75</v>
      </c>
      <c r="G341" s="12" t="n">
        <v>261239.710467166</v>
      </c>
      <c r="H341" s="13" t="n">
        <v>106.47</v>
      </c>
      <c r="I341" s="13" t="n">
        <v>111.18</v>
      </c>
      <c r="K341" s="8" t="n">
        <v>27.7149729519435</v>
      </c>
      <c r="L341" s="8" t="n">
        <v>-12683.6716592958</v>
      </c>
      <c r="M341" s="8" t="n">
        <f aca="false">M340+L341</f>
        <v>1584617.1222129</v>
      </c>
      <c r="N341" s="5" t="str">
        <f aca="false">IF(L341&gt;0,"прибыль",IF(L341&lt;0,"убыток","ноль"))</f>
        <v>убыток</v>
      </c>
      <c r="O341" s="6" t="n">
        <f aca="false">IF(L341&lt;0,O340+1,0)</f>
        <v>1</v>
      </c>
      <c r="P341" s="6" t="n">
        <v>7</v>
      </c>
    </row>
    <row r="342" customFormat="false" ht="15" hidden="false" customHeight="false" outlineLevel="0" collapsed="false">
      <c r="A342" s="6" t="n">
        <v>337</v>
      </c>
      <c r="B342" s="5" t="s">
        <v>76</v>
      </c>
      <c r="C342" s="5" t="s">
        <v>25</v>
      </c>
      <c r="D342" s="11" t="n">
        <v>46162</v>
      </c>
      <c r="E342" s="11" t="n">
        <v>46167</v>
      </c>
      <c r="F342" s="5" t="s">
        <v>73</v>
      </c>
      <c r="G342" s="12" t="n">
        <v>339400.130584077</v>
      </c>
      <c r="H342" s="13" t="n">
        <v>111.18</v>
      </c>
      <c r="I342" s="13" t="n">
        <v>98.01</v>
      </c>
      <c r="K342" s="8" t="n">
        <v>34.1525030699777</v>
      </c>
      <c r="L342" s="8" t="n">
        <v>-38539.5546821378</v>
      </c>
      <c r="M342" s="8" t="n">
        <f aca="false">M341+L342</f>
        <v>1546077.56753076</v>
      </c>
      <c r="N342" s="5" t="str">
        <f aca="false">IF(L342&gt;0,"прибыль",IF(L342&lt;0,"убыток","ноль"))</f>
        <v>убыток</v>
      </c>
      <c r="O342" s="6" t="n">
        <f aca="false">IF(L342&lt;0,O341+1,0)</f>
        <v>2</v>
      </c>
      <c r="P342" s="6" t="n">
        <v>5</v>
      </c>
    </row>
    <row r="343" customFormat="false" ht="15" hidden="false" customHeight="false" outlineLevel="0" collapsed="false">
      <c r="A343" s="6" t="n">
        <v>338</v>
      </c>
      <c r="B343" s="5" t="s">
        <v>76</v>
      </c>
      <c r="C343" s="5" t="s">
        <v>25</v>
      </c>
      <c r="D343" s="11" t="n">
        <v>46167</v>
      </c>
      <c r="E343" s="11" t="n">
        <v>46169</v>
      </c>
      <c r="F343" s="5" t="s">
        <v>75</v>
      </c>
      <c r="G343" s="12" t="n">
        <v>323158.994295829</v>
      </c>
      <c r="H343" s="13" t="n">
        <v>98.01</v>
      </c>
      <c r="I343" s="13" t="n">
        <v>98.5</v>
      </c>
      <c r="K343" s="8" t="n">
        <v>31.4202119482979</v>
      </c>
      <c r="L343" s="8" t="n">
        <v>-2802.60793240212</v>
      </c>
      <c r="M343" s="8" t="n">
        <f aca="false">M342+L343</f>
        <v>1543274.95959836</v>
      </c>
      <c r="N343" s="5" t="str">
        <f aca="false">IF(L343&gt;0,"прибыль",IF(L343&lt;0,"убыток","ноль"))</f>
        <v>убыток</v>
      </c>
      <c r="O343" s="6" t="n">
        <f aca="false">IF(L343&lt;0,O342+1,0)</f>
        <v>3</v>
      </c>
      <c r="P343" s="6" t="n">
        <v>2</v>
      </c>
    </row>
    <row r="344" customFormat="false" ht="15" hidden="false" customHeight="false" outlineLevel="0" collapsed="false">
      <c r="A344" s="6" t="n">
        <v>339</v>
      </c>
      <c r="B344" s="5" t="s">
        <v>76</v>
      </c>
      <c r="C344" s="5" t="s">
        <v>25</v>
      </c>
      <c r="D344" s="11" t="n">
        <v>46169</v>
      </c>
      <c r="E344" s="11" t="n">
        <v>46170</v>
      </c>
      <c r="F344" s="5" t="s">
        <v>73</v>
      </c>
      <c r="G344" s="12" t="n">
        <v>302474.056949675</v>
      </c>
      <c r="H344" s="13" t="n">
        <v>98.5</v>
      </c>
      <c r="I344" s="13" t="n">
        <v>97.36</v>
      </c>
      <c r="K344" s="8" t="n">
        <v>29.9950804333843</v>
      </c>
      <c r="L344" s="8" t="n">
        <v>-4633.6882672937</v>
      </c>
      <c r="M344" s="8" t="n">
        <f aca="false">M343+L344</f>
        <v>1538641.27133106</v>
      </c>
      <c r="N344" s="5" t="str">
        <f aca="false">IF(L344&gt;0,"прибыль",IF(L344&lt;0,"убыток","ноль"))</f>
        <v>убыток</v>
      </c>
      <c r="O344" s="6" t="n">
        <f aca="false">IF(L344&lt;0,O343+1,0)</f>
        <v>4</v>
      </c>
      <c r="P344" s="6" t="n">
        <v>1</v>
      </c>
    </row>
    <row r="345" customFormat="false" ht="15" hidden="false" customHeight="false" outlineLevel="0" collapsed="false">
      <c r="A345" s="6" t="n">
        <v>340</v>
      </c>
      <c r="B345" s="5" t="s">
        <v>76</v>
      </c>
      <c r="C345" s="5" t="s">
        <v>25</v>
      </c>
      <c r="D345" s="11" t="n">
        <v>46170</v>
      </c>
      <c r="E345" s="11" t="n">
        <v>46172</v>
      </c>
      <c r="F345" s="5" t="s">
        <v>75</v>
      </c>
      <c r="G345" s="12" t="n">
        <v>302031.244904871</v>
      </c>
      <c r="H345" s="13" t="n">
        <v>97.36</v>
      </c>
      <c r="I345" s="13" t="n">
        <v>91.92</v>
      </c>
      <c r="K345" s="8" t="n">
        <v>31.2206828426677</v>
      </c>
      <c r="L345" s="8" t="n">
        <v>15828.8280987131</v>
      </c>
      <c r="M345" s="8" t="n">
        <f aca="false">M344+L345</f>
        <v>1554470.09942978</v>
      </c>
      <c r="N345" s="5" t="str">
        <f aca="false">IF(L345&gt;0,"прибыль",IF(L345&lt;0,"убыток","ноль"))</f>
        <v>прибыль</v>
      </c>
      <c r="O345" s="6" t="n">
        <f aca="false">IF(L345&lt;0,O344+1,0)</f>
        <v>0</v>
      </c>
      <c r="P345" s="6" t="n">
        <v>2</v>
      </c>
    </row>
    <row r="346" customFormat="false" ht="15" hidden="false" customHeight="false" outlineLevel="0" collapsed="false">
      <c r="A346" s="6" t="n">
        <v>341</v>
      </c>
      <c r="B346" s="5" t="s">
        <v>76</v>
      </c>
      <c r="C346" s="5" t="s">
        <v>25</v>
      </c>
      <c r="D346" s="11" t="n">
        <v>46172</v>
      </c>
      <c r="E346" s="11" t="n">
        <v>46173</v>
      </c>
      <c r="F346" s="5" t="s">
        <v>73</v>
      </c>
      <c r="G346" s="12" t="n">
        <v>338242.460730039</v>
      </c>
      <c r="H346" s="13" t="n">
        <v>91.92</v>
      </c>
      <c r="I346" s="13" t="n">
        <v>91.84</v>
      </c>
      <c r="K346" s="8" t="n">
        <v>33.9369371954572</v>
      </c>
      <c r="L346" s="8" t="n">
        <v>-1455.93772038096</v>
      </c>
      <c r="M346" s="8" t="n">
        <f aca="false">M345+L346</f>
        <v>1553014.16170939</v>
      </c>
      <c r="N346" s="5" t="str">
        <f aca="false">IF(L346&gt;0,"прибыль",IF(L346&lt;0,"убыток","ноль"))</f>
        <v>убыток</v>
      </c>
      <c r="O346" s="6" t="n">
        <f aca="false">IF(L346&lt;0,O345+1,0)</f>
        <v>1</v>
      </c>
      <c r="P346" s="6" t="n">
        <v>1</v>
      </c>
    </row>
    <row r="347" customFormat="false" ht="15" hidden="false" customHeight="false" outlineLevel="0" collapsed="false">
      <c r="A347" s="6" t="n">
        <v>342</v>
      </c>
      <c r="B347" s="5" t="s">
        <v>76</v>
      </c>
      <c r="C347" s="5" t="s">
        <v>25</v>
      </c>
      <c r="D347" s="11" t="n">
        <v>46173</v>
      </c>
      <c r="E347" s="11" t="n">
        <v>46213</v>
      </c>
      <c r="F347" s="5" t="s">
        <v>75</v>
      </c>
      <c r="G347" s="12" t="n">
        <v>108034.397246798</v>
      </c>
      <c r="H347" s="13" t="n">
        <v>91.84</v>
      </c>
      <c r="I347" s="13" t="n">
        <v>76.55</v>
      </c>
      <c r="J347" s="5" t="s">
        <v>74</v>
      </c>
      <c r="K347" s="8" t="n">
        <v>13.9898082042713</v>
      </c>
      <c r="L347" s="8" t="n">
        <v>13968.7380052154</v>
      </c>
      <c r="M347" s="8" t="n">
        <f aca="false">M346+L347</f>
        <v>1566982.89971461</v>
      </c>
      <c r="N347" s="5" t="str">
        <f aca="false">IF(L347&gt;0,"прибыль",IF(L347&lt;0,"убыток","ноль"))</f>
        <v>прибыль</v>
      </c>
      <c r="O347" s="6" t="n">
        <f aca="false">IF(L347&lt;0,O346+1,0)</f>
        <v>0</v>
      </c>
      <c r="P347" s="6" t="n">
        <v>38</v>
      </c>
    </row>
    <row r="348" customFormat="false" ht="15" hidden="false" customHeight="false" outlineLevel="0" collapsed="false">
      <c r="A348" s="6" t="n">
        <v>343</v>
      </c>
      <c r="B348" s="5" t="s">
        <v>76</v>
      </c>
      <c r="C348" s="5" t="s">
        <v>25</v>
      </c>
      <c r="D348" s="11" t="n">
        <v>46213</v>
      </c>
      <c r="E348" s="11" t="n">
        <v>46225</v>
      </c>
      <c r="F348" s="5" t="s">
        <v>75</v>
      </c>
      <c r="G348" s="12" t="n">
        <v>419628.381367539</v>
      </c>
      <c r="H348" s="13" t="n">
        <v>76.55</v>
      </c>
      <c r="I348" s="13" t="n">
        <v>92.31</v>
      </c>
      <c r="K348" s="8" t="n">
        <v>41.6696310419021</v>
      </c>
      <c r="L348" s="8" t="n">
        <v>-20904.4952182711</v>
      </c>
      <c r="M348" s="8" t="n">
        <f aca="false">M347+L348</f>
        <v>1546078.40449634</v>
      </c>
      <c r="N348" s="5" t="str">
        <f aca="false">IF(L348&gt;0,"прибыль",IF(L348&lt;0,"убыток","ноль"))</f>
        <v>убыток</v>
      </c>
      <c r="O348" s="6" t="n">
        <f aca="false">IF(L348&lt;0,O347+1,0)</f>
        <v>1</v>
      </c>
      <c r="P348" s="6" t="n">
        <v>12</v>
      </c>
    </row>
    <row r="349" customFormat="false" ht="15" hidden="false" customHeight="false" outlineLevel="0" collapsed="false">
      <c r="A349" s="6" t="n">
        <v>344</v>
      </c>
      <c r="B349" s="5" t="s">
        <v>76</v>
      </c>
      <c r="C349" s="5" t="s">
        <v>25</v>
      </c>
      <c r="D349" s="11" t="n">
        <v>46225</v>
      </c>
      <c r="E349" s="11" t="n">
        <v>46228</v>
      </c>
      <c r="F349" s="5" t="s">
        <v>73</v>
      </c>
      <c r="G349" s="12" t="n">
        <v>84013.1867452976</v>
      </c>
      <c r="H349" s="13" t="n">
        <v>92.31</v>
      </c>
      <c r="I349" s="13" t="n">
        <v>97.91</v>
      </c>
      <c r="K349" s="8" t="n">
        <v>4.44117561705956</v>
      </c>
      <c r="L349" s="8" t="n">
        <v>4805.8844202766</v>
      </c>
      <c r="M349" s="8" t="n">
        <f aca="false">M348+L349</f>
        <v>1550884.28891662</v>
      </c>
      <c r="N349" s="5" t="str">
        <f aca="false">IF(L349&gt;0,"прибыль",IF(L349&lt;0,"убыток","ноль"))</f>
        <v>прибыль</v>
      </c>
      <c r="O349" s="6" t="n">
        <f aca="false">IF(L349&lt;0,O348+1,0)</f>
        <v>0</v>
      </c>
      <c r="P349" s="6" t="n">
        <v>3</v>
      </c>
    </row>
    <row r="350" customFormat="false" ht="15" hidden="false" customHeight="false" outlineLevel="0" collapsed="false">
      <c r="A350" s="6" t="n">
        <v>345</v>
      </c>
      <c r="B350" s="5" t="s">
        <v>76</v>
      </c>
      <c r="C350" s="5" t="s">
        <v>25</v>
      </c>
      <c r="D350" s="11" t="n">
        <v>46228</v>
      </c>
      <c r="E350" s="11" t="n">
        <v>46241</v>
      </c>
      <c r="F350" s="5" t="s">
        <v>73</v>
      </c>
      <c r="G350" s="12" t="n">
        <v>63939.3430835673</v>
      </c>
      <c r="H350" s="13" t="n">
        <v>97.91</v>
      </c>
      <c r="I350" s="13" t="n">
        <v>83.85</v>
      </c>
      <c r="J350" s="5" t="s">
        <v>74</v>
      </c>
      <c r="K350" s="8" t="n">
        <v>3.05183456889778</v>
      </c>
      <c r="L350" s="8" t="n">
        <v>-2905.70354018063</v>
      </c>
      <c r="M350" s="8" t="n">
        <f aca="false">M349+L350</f>
        <v>1547978.58537643</v>
      </c>
      <c r="N350" s="5" t="str">
        <f aca="false">IF(L350&gt;0,"прибыль",IF(L350&lt;0,"убыток","ноль"))</f>
        <v>убыток</v>
      </c>
      <c r="O350" s="6" t="n">
        <f aca="false">IF(L350&lt;0,O349+1,0)</f>
        <v>1</v>
      </c>
      <c r="P350" s="6" t="n">
        <v>11</v>
      </c>
    </row>
    <row r="351" customFormat="false" ht="15" hidden="false" customHeight="false" outlineLevel="0" collapsed="false">
      <c r="A351" s="6" t="n">
        <v>346</v>
      </c>
      <c r="B351" s="5" t="s">
        <v>76</v>
      </c>
      <c r="C351" s="5" t="s">
        <v>25</v>
      </c>
      <c r="D351" s="11" t="n">
        <v>46241</v>
      </c>
      <c r="E351" s="11" t="n">
        <v>46271</v>
      </c>
      <c r="F351" s="5" t="s">
        <v>73</v>
      </c>
      <c r="G351" s="12" t="n">
        <v>416470.020522403</v>
      </c>
      <c r="H351" s="13" t="n">
        <v>83.85</v>
      </c>
      <c r="I351" s="13" t="n">
        <v>97</v>
      </c>
      <c r="J351" s="5" t="s">
        <v>74</v>
      </c>
      <c r="K351" s="8" t="n">
        <v>54.9703754381284</v>
      </c>
      <c r="L351" s="8" t="n">
        <v>25215.3286479102</v>
      </c>
      <c r="M351" s="8" t="n">
        <f aca="false">M350+L351</f>
        <v>1573193.91402434</v>
      </c>
      <c r="N351" s="5" t="str">
        <f aca="false">IF(L351&gt;0,"прибыль",IF(L351&lt;0,"убыток","ноль"))</f>
        <v>прибыль</v>
      </c>
      <c r="O351" s="6" t="n">
        <f aca="false">IF(L351&lt;0,O350+1,0)</f>
        <v>0</v>
      </c>
      <c r="P351" s="6" t="n">
        <v>28</v>
      </c>
    </row>
    <row r="352" customFormat="false" ht="15" hidden="false" customHeight="false" outlineLevel="0" collapsed="false">
      <c r="A352" s="6" t="n">
        <v>347</v>
      </c>
      <c r="B352" s="5" t="s">
        <v>76</v>
      </c>
      <c r="C352" s="5" t="s">
        <v>25</v>
      </c>
      <c r="D352" s="11" t="n">
        <v>46271</v>
      </c>
      <c r="E352" s="11" t="n">
        <v>46272</v>
      </c>
      <c r="F352" s="5" t="s">
        <v>75</v>
      </c>
      <c r="G352" s="12" t="n">
        <v>486146.052748823</v>
      </c>
      <c r="H352" s="13" t="n">
        <v>97</v>
      </c>
      <c r="I352" s="13" t="n">
        <v>97.13</v>
      </c>
      <c r="K352" s="8" t="n">
        <v>50.0023622807427</v>
      </c>
      <c r="L352" s="8" t="n">
        <v>-1907.41178419208</v>
      </c>
      <c r="M352" s="8" t="n">
        <f aca="false">M351+L352</f>
        <v>1571286.50224015</v>
      </c>
      <c r="N352" s="5" t="str">
        <f aca="false">IF(L352&gt;0,"прибыль",IF(L352&lt;0,"убыток","ноль"))</f>
        <v>убыток</v>
      </c>
      <c r="O352" s="6" t="n">
        <f aca="false">IF(L352&lt;0,O351+1,0)</f>
        <v>1</v>
      </c>
      <c r="P352" s="6" t="n">
        <v>1</v>
      </c>
    </row>
    <row r="353" customFormat="false" ht="15" hidden="false" customHeight="false" outlineLevel="0" collapsed="false">
      <c r="A353" s="6" t="n">
        <v>348</v>
      </c>
      <c r="B353" s="5" t="s">
        <v>76</v>
      </c>
      <c r="C353" s="5" t="s">
        <v>25</v>
      </c>
      <c r="D353" s="11" t="n">
        <v>46272</v>
      </c>
      <c r="E353" s="11" t="n">
        <v>46276</v>
      </c>
      <c r="F353" s="5" t="s">
        <v>73</v>
      </c>
      <c r="G353" s="12" t="n">
        <v>169378.549133648</v>
      </c>
      <c r="H353" s="13" t="n">
        <v>97.13</v>
      </c>
      <c r="I353" s="13" t="n">
        <v>108.66</v>
      </c>
      <c r="K353" s="8" t="n">
        <v>9.44843430381728</v>
      </c>
      <c r="L353" s="8" t="n">
        <v>19580.6885083934</v>
      </c>
      <c r="M353" s="8" t="n">
        <f aca="false">M352+L353</f>
        <v>1590867.19074855</v>
      </c>
      <c r="N353" s="5" t="str">
        <f aca="false">IF(L353&gt;0,"прибыль",IF(L353&lt;0,"убыток","ноль"))</f>
        <v>прибыль</v>
      </c>
      <c r="O353" s="6" t="n">
        <f aca="false">IF(L353&lt;0,O352+1,0)</f>
        <v>0</v>
      </c>
      <c r="P353" s="6" t="n">
        <v>4</v>
      </c>
    </row>
    <row r="354" customFormat="false" ht="15" hidden="false" customHeight="false" outlineLevel="0" collapsed="false">
      <c r="A354" s="6" t="n">
        <v>349</v>
      </c>
      <c r="B354" s="5" t="s">
        <v>76</v>
      </c>
      <c r="C354" s="5" t="s">
        <v>25</v>
      </c>
      <c r="E354" s="11" t="n">
        <v>46298</v>
      </c>
      <c r="F354" s="5" t="s">
        <v>73</v>
      </c>
      <c r="I354" s="13" t="n">
        <v>102.44</v>
      </c>
      <c r="L354" s="8" t="n">
        <v>22635.389162187</v>
      </c>
      <c r="M354" s="8" t="n">
        <f aca="false">M353+L354</f>
        <v>1613502.57991073</v>
      </c>
      <c r="N354" s="5" t="str">
        <f aca="false">IF(L354&gt;0,"прибыль",IF(L354&lt;0,"убыток","ноль"))</f>
        <v>прибыль</v>
      </c>
      <c r="O354" s="6" t="n">
        <f aca="false">IF(L354&lt;0,O353+1,0)</f>
        <v>0</v>
      </c>
      <c r="Q354" s="5" t="s">
        <v>77</v>
      </c>
    </row>
  </sheetData>
  <autoFilter ref="A5:Q3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5" min="4" style="0" width="17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9" min="8" style="0" width="12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7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60"/>
  </cols>
  <sheetData>
    <row r="1" customFormat="false" ht="15" hidden="false" customHeight="false" outlineLevel="0" collapsed="false">
      <c r="A1" s="10" t="s">
        <v>31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A3" s="2" t="s">
        <v>54</v>
      </c>
    </row>
    <row r="5" customFormat="false" ht="30" hidden="false" customHeight="true" outlineLevel="0" collapsed="false">
      <c r="A5" s="3" t="s">
        <v>55</v>
      </c>
      <c r="B5" s="3" t="s">
        <v>56</v>
      </c>
      <c r="C5" s="3" t="s">
        <v>57</v>
      </c>
      <c r="D5" s="3" t="s">
        <v>58</v>
      </c>
      <c r="E5" s="3" t="s">
        <v>59</v>
      </c>
      <c r="F5" s="3" t="s">
        <v>60</v>
      </c>
      <c r="G5" s="3" t="s">
        <v>61</v>
      </c>
      <c r="H5" s="3" t="s">
        <v>62</v>
      </c>
      <c r="I5" s="3" t="s">
        <v>63</v>
      </c>
      <c r="J5" s="3" t="s">
        <v>64</v>
      </c>
      <c r="K5" s="3" t="s">
        <v>65</v>
      </c>
      <c r="L5" s="3" t="s">
        <v>66</v>
      </c>
      <c r="M5" s="3" t="s">
        <v>67</v>
      </c>
      <c r="N5" s="3" t="s">
        <v>68</v>
      </c>
      <c r="O5" s="3" t="s">
        <v>69</v>
      </c>
      <c r="P5" s="3" t="s">
        <v>70</v>
      </c>
      <c r="Q5" s="3" t="s">
        <v>71</v>
      </c>
    </row>
    <row r="6" customFormat="false" ht="15" hidden="false" customHeight="false" outlineLevel="0" collapsed="false">
      <c r="A6" s="6" t="n">
        <v>1</v>
      </c>
      <c r="B6" s="5" t="s">
        <v>72</v>
      </c>
      <c r="C6" s="5" t="s">
        <v>30</v>
      </c>
      <c r="D6" s="11" t="n">
        <v>43998</v>
      </c>
      <c r="E6" s="11" t="n">
        <v>44012</v>
      </c>
      <c r="F6" s="5" t="s">
        <v>75</v>
      </c>
      <c r="G6" s="12" t="n">
        <v>78125.9823315274</v>
      </c>
      <c r="H6" s="13" t="n">
        <v>1.681</v>
      </c>
      <c r="I6" s="13" t="n">
        <v>1.708</v>
      </c>
      <c r="J6" s="5" t="s">
        <v>74</v>
      </c>
      <c r="K6" s="8" t="n">
        <v>20.5056126666978</v>
      </c>
      <c r="L6" s="8" t="n">
        <v>1840.33303805159</v>
      </c>
      <c r="M6" s="8" t="n">
        <f aca="false">L6</f>
        <v>1840.33303805159</v>
      </c>
      <c r="N6" s="5" t="str">
        <f aca="false">IF(L6&gt;0,"прибыль",IF(L6&lt;0,"убыток","ноль"))</f>
        <v>прибыль</v>
      </c>
      <c r="O6" s="6" t="n">
        <f aca="false">IF(L6&lt;0,1,0)</f>
        <v>0</v>
      </c>
      <c r="P6" s="6" t="n">
        <v>9</v>
      </c>
    </row>
    <row r="7" customFormat="false" ht="15" hidden="false" customHeight="false" outlineLevel="0" collapsed="false">
      <c r="A7" s="6" t="n">
        <v>2</v>
      </c>
      <c r="B7" s="5" t="s">
        <v>72</v>
      </c>
      <c r="C7" s="5" t="s">
        <v>30</v>
      </c>
      <c r="D7" s="11" t="n">
        <v>44012</v>
      </c>
      <c r="E7" s="11" t="n">
        <v>44047</v>
      </c>
      <c r="F7" s="5" t="s">
        <v>75</v>
      </c>
      <c r="G7" s="12" t="n">
        <v>255721.12732162</v>
      </c>
      <c r="H7" s="13" t="n">
        <v>1.708</v>
      </c>
      <c r="I7" s="13" t="n">
        <v>2.1</v>
      </c>
      <c r="J7" s="5" t="s">
        <v>74</v>
      </c>
      <c r="K7" s="8" t="n">
        <v>24.5976587009526</v>
      </c>
      <c r="L7" s="8" t="n">
        <v>-34578.2515944637</v>
      </c>
      <c r="M7" s="8" t="n">
        <f aca="false">M6+L7</f>
        <v>-32737.9185564121</v>
      </c>
      <c r="N7" s="5" t="str">
        <f aca="false">IF(L7&gt;0,"прибыль",IF(L7&lt;0,"убыток","ноль"))</f>
        <v>убыток</v>
      </c>
      <c r="O7" s="6" t="n">
        <f aca="false">IF(L7&lt;0,O6+1,0)</f>
        <v>1</v>
      </c>
      <c r="P7" s="6" t="n">
        <v>24</v>
      </c>
    </row>
    <row r="8" customFormat="false" ht="15" hidden="false" customHeight="false" outlineLevel="0" collapsed="false">
      <c r="A8" s="6" t="n">
        <v>3</v>
      </c>
      <c r="B8" s="5" t="s">
        <v>72</v>
      </c>
      <c r="C8" s="5" t="s">
        <v>30</v>
      </c>
      <c r="D8" s="11" t="n">
        <v>44047</v>
      </c>
      <c r="E8" s="11" t="n">
        <v>44077</v>
      </c>
      <c r="F8" s="5" t="s">
        <v>73</v>
      </c>
      <c r="G8" s="12" t="n">
        <v>291488.942764021</v>
      </c>
      <c r="H8" s="13" t="n">
        <v>2.1</v>
      </c>
      <c r="I8" s="13" t="n">
        <v>2.502</v>
      </c>
      <c r="J8" s="5" t="s">
        <v>74</v>
      </c>
      <c r="K8" s="8" t="n">
        <v>34.995665454157</v>
      </c>
      <c r="L8" s="8" t="n">
        <v>10787.6209285261</v>
      </c>
      <c r="M8" s="8" t="n">
        <f aca="false">M7+L8</f>
        <v>-21950.297627886</v>
      </c>
      <c r="N8" s="5" t="str">
        <f aca="false">IF(L8&gt;0,"прибыль",IF(L8&lt;0,"убыток","ноль"))</f>
        <v>прибыль</v>
      </c>
      <c r="O8" s="6" t="n">
        <f aca="false">IF(L8&lt;0,O7+1,0)</f>
        <v>0</v>
      </c>
      <c r="P8" s="6" t="n">
        <v>22</v>
      </c>
    </row>
    <row r="9" customFormat="false" ht="15" hidden="false" customHeight="false" outlineLevel="0" collapsed="false">
      <c r="A9" s="6" t="n">
        <v>4</v>
      </c>
      <c r="B9" s="5" t="s">
        <v>72</v>
      </c>
      <c r="C9" s="5" t="s">
        <v>30</v>
      </c>
      <c r="D9" s="11" t="n">
        <v>44077</v>
      </c>
      <c r="E9" s="11" t="n">
        <v>44078</v>
      </c>
      <c r="F9" s="5" t="s">
        <v>75</v>
      </c>
      <c r="G9" s="12" t="n">
        <v>307791.199722789</v>
      </c>
      <c r="H9" s="13" t="n">
        <v>2.502</v>
      </c>
      <c r="I9" s="13" t="n">
        <v>2.478</v>
      </c>
      <c r="K9" s="8" t="n">
        <v>30.9968009945094</v>
      </c>
      <c r="L9" s="8" t="n">
        <v>1837.04354932759</v>
      </c>
      <c r="M9" s="8" t="n">
        <f aca="false">M8+L9</f>
        <v>-20113.2540785584</v>
      </c>
      <c r="N9" s="5" t="str">
        <f aca="false">IF(L9&gt;0,"прибыль",IF(L9&lt;0,"убыток","ноль"))</f>
        <v>прибыль</v>
      </c>
      <c r="O9" s="6" t="n">
        <f aca="false">IF(L9&lt;0,O8+1,0)</f>
        <v>0</v>
      </c>
      <c r="P9" s="6" t="n">
        <v>1</v>
      </c>
    </row>
    <row r="10" customFormat="false" ht="15" hidden="false" customHeight="false" outlineLevel="0" collapsed="false">
      <c r="A10" s="6" t="n">
        <v>5</v>
      </c>
      <c r="B10" s="5" t="s">
        <v>72</v>
      </c>
      <c r="C10" s="5" t="s">
        <v>30</v>
      </c>
      <c r="D10" s="11" t="n">
        <v>44078</v>
      </c>
      <c r="E10" s="11" t="n">
        <v>44083</v>
      </c>
      <c r="F10" s="5" t="s">
        <v>73</v>
      </c>
      <c r="G10" s="12" t="n">
        <v>314012.860517721</v>
      </c>
      <c r="H10" s="13" t="n">
        <v>2.478</v>
      </c>
      <c r="I10" s="13" t="n">
        <v>2.358</v>
      </c>
      <c r="K10" s="8" t="n">
        <v>29.1389736693241</v>
      </c>
      <c r="L10" s="8" t="n">
        <v>-16327.3818151643</v>
      </c>
      <c r="M10" s="8" t="n">
        <f aca="false">M9+L10</f>
        <v>-36440.6358937227</v>
      </c>
      <c r="N10" s="5" t="str">
        <f aca="false">IF(L10&gt;0,"прибыль",IF(L10&lt;0,"убыток","ноль"))</f>
        <v>убыток</v>
      </c>
      <c r="O10" s="6" t="n">
        <f aca="false">IF(L10&lt;0,O9+1,0)</f>
        <v>1</v>
      </c>
      <c r="P10" s="6" t="n">
        <v>3</v>
      </c>
    </row>
    <row r="11" customFormat="false" ht="15" hidden="false" customHeight="false" outlineLevel="0" collapsed="false">
      <c r="A11" s="6" t="n">
        <v>6</v>
      </c>
      <c r="B11" s="5" t="s">
        <v>72</v>
      </c>
      <c r="C11" s="5" t="s">
        <v>30</v>
      </c>
      <c r="D11" s="11" t="n">
        <v>44083</v>
      </c>
      <c r="E11" s="11" t="n">
        <v>44084</v>
      </c>
      <c r="F11" s="5" t="s">
        <v>75</v>
      </c>
      <c r="G11" s="12" t="n">
        <v>285064.855710255</v>
      </c>
      <c r="H11" s="13" t="n">
        <v>2.358</v>
      </c>
      <c r="I11" s="13" t="n">
        <v>2.397</v>
      </c>
      <c r="K11" s="8" t="n">
        <v>28.8043325973529</v>
      </c>
      <c r="L11" s="8" t="n">
        <v>-5849.54581547276</v>
      </c>
      <c r="M11" s="8" t="n">
        <f aca="false">M10+L11</f>
        <v>-42290.1817091954</v>
      </c>
      <c r="N11" s="5" t="str">
        <f aca="false">IF(L11&gt;0,"прибыль",IF(L11&lt;0,"убыток","ноль"))</f>
        <v>убыток</v>
      </c>
      <c r="O11" s="6" t="n">
        <f aca="false">IF(L11&lt;0,O10+1,0)</f>
        <v>2</v>
      </c>
      <c r="P11" s="6" t="n">
        <v>1</v>
      </c>
    </row>
    <row r="12" customFormat="false" ht="15" hidden="false" customHeight="false" outlineLevel="0" collapsed="false">
      <c r="A12" s="6" t="n">
        <v>7</v>
      </c>
      <c r="B12" s="5" t="s">
        <v>72</v>
      </c>
      <c r="C12" s="5" t="s">
        <v>30</v>
      </c>
      <c r="D12" s="11" t="n">
        <v>44084</v>
      </c>
      <c r="E12" s="11" t="n">
        <v>44085</v>
      </c>
      <c r="F12" s="5" t="s">
        <v>73</v>
      </c>
      <c r="G12" s="12" t="n">
        <v>285201.054753926</v>
      </c>
      <c r="H12" s="13" t="n">
        <v>2.397</v>
      </c>
      <c r="I12" s="13" t="n">
        <v>2.312</v>
      </c>
      <c r="K12" s="8" t="n">
        <v>27.6386481108486</v>
      </c>
      <c r="L12" s="8" t="n">
        <v>-11198.297356812</v>
      </c>
      <c r="M12" s="8" t="n">
        <f aca="false">M11+L12</f>
        <v>-53488.4790660074</v>
      </c>
      <c r="N12" s="5" t="str">
        <f aca="false">IF(L12&gt;0,"прибыль",IF(L12&lt;0,"убыток","ноль"))</f>
        <v>убыток</v>
      </c>
      <c r="O12" s="6" t="n">
        <f aca="false">IF(L12&lt;0,O11+1,0)</f>
        <v>3</v>
      </c>
      <c r="P12" s="6" t="n">
        <v>1</v>
      </c>
    </row>
    <row r="13" customFormat="false" ht="15" hidden="false" customHeight="false" outlineLevel="0" collapsed="false">
      <c r="A13" s="6" t="n">
        <v>8</v>
      </c>
      <c r="B13" s="5" t="s">
        <v>72</v>
      </c>
      <c r="C13" s="5" t="s">
        <v>30</v>
      </c>
      <c r="D13" s="11" t="n">
        <v>44085</v>
      </c>
      <c r="E13" s="11" t="n">
        <v>44088</v>
      </c>
      <c r="F13" s="5" t="s">
        <v>75</v>
      </c>
      <c r="G13" s="12" t="n">
        <v>5.33686480573515E-011</v>
      </c>
      <c r="H13" s="13" t="n">
        <v>2.312</v>
      </c>
      <c r="I13" s="13" t="n">
        <v>2.32</v>
      </c>
      <c r="K13" s="8" t="n">
        <v>2.68751181290315E-015</v>
      </c>
      <c r="L13" s="8" t="n">
        <v>-3.84275712524293E-013</v>
      </c>
      <c r="M13" s="8" t="n">
        <f aca="false">M12+L13</f>
        <v>-53488.4790660074</v>
      </c>
      <c r="N13" s="5" t="str">
        <f aca="false">IF(L13&gt;0,"прибыль",IF(L13&lt;0,"убыток","ноль"))</f>
        <v>убыток</v>
      </c>
      <c r="O13" s="6" t="n">
        <f aca="false">IF(L13&lt;0,O12+1,0)</f>
        <v>4</v>
      </c>
      <c r="P13" s="6" t="n">
        <v>1</v>
      </c>
    </row>
    <row r="14" customFormat="false" ht="15" hidden="false" customHeight="false" outlineLevel="0" collapsed="false">
      <c r="A14" s="6" t="n">
        <v>9</v>
      </c>
      <c r="B14" s="5" t="s">
        <v>72</v>
      </c>
      <c r="C14" s="5" t="s">
        <v>30</v>
      </c>
      <c r="D14" s="11" t="n">
        <v>44088</v>
      </c>
      <c r="E14" s="11" t="n">
        <v>44098</v>
      </c>
      <c r="F14" s="5" t="s">
        <v>75</v>
      </c>
      <c r="G14" s="12" t="n">
        <v>278742.566171747</v>
      </c>
      <c r="H14" s="13" t="n">
        <v>2.32</v>
      </c>
      <c r="I14" s="13" t="n">
        <v>2.199</v>
      </c>
      <c r="K14" s="8" t="n">
        <v>20.8488868735382</v>
      </c>
      <c r="L14" s="8" t="n">
        <v>12194.1674941207</v>
      </c>
      <c r="M14" s="8" t="n">
        <f aca="false">M13+L14</f>
        <v>-41294.3115718866</v>
      </c>
      <c r="N14" s="5" t="str">
        <f aca="false">IF(L14&gt;0,"прибыль",IF(L14&lt;0,"убыток","ноль"))</f>
        <v>прибыль</v>
      </c>
      <c r="O14" s="6" t="n">
        <f aca="false">IF(L14&lt;0,O13+1,0)</f>
        <v>0</v>
      </c>
      <c r="P14" s="6" t="n">
        <v>8</v>
      </c>
    </row>
    <row r="15" customFormat="false" ht="15" hidden="false" customHeight="false" outlineLevel="0" collapsed="false">
      <c r="A15" s="6" t="n">
        <v>10</v>
      </c>
      <c r="B15" s="5" t="s">
        <v>72</v>
      </c>
      <c r="C15" s="5" t="s">
        <v>30</v>
      </c>
      <c r="D15" s="11" t="n">
        <v>44098</v>
      </c>
      <c r="E15" s="11" t="n">
        <v>44099</v>
      </c>
      <c r="F15" s="5" t="s">
        <v>73</v>
      </c>
      <c r="G15" s="12" t="n">
        <v>150450.187680012</v>
      </c>
      <c r="H15" s="13" t="n">
        <v>2.199</v>
      </c>
      <c r="I15" s="13" t="n">
        <v>2.2</v>
      </c>
      <c r="K15" s="8" t="n">
        <v>14.9846868388372</v>
      </c>
      <c r="L15" s="8" t="n">
        <v>-954.780882049686</v>
      </c>
      <c r="M15" s="8" t="n">
        <f aca="false">M14+L15</f>
        <v>-42249.0924539363</v>
      </c>
      <c r="N15" s="5" t="str">
        <f aca="false">IF(L15&gt;0,"прибыль",IF(L15&lt;0,"убыток","ноль"))</f>
        <v>убыток</v>
      </c>
      <c r="O15" s="6" t="n">
        <f aca="false">IF(L15&lt;0,O14+1,0)</f>
        <v>1</v>
      </c>
      <c r="P15" s="6" t="n">
        <v>1</v>
      </c>
    </row>
    <row r="16" customFormat="false" ht="15" hidden="false" customHeight="false" outlineLevel="0" collapsed="false">
      <c r="A16" s="6" t="n">
        <v>11</v>
      </c>
      <c r="B16" s="5" t="s">
        <v>72</v>
      </c>
      <c r="C16" s="5" t="s">
        <v>30</v>
      </c>
      <c r="D16" s="11" t="n">
        <v>44099</v>
      </c>
      <c r="E16" s="11" t="n">
        <v>44102</v>
      </c>
      <c r="F16" s="5" t="s">
        <v>75</v>
      </c>
      <c r="G16" s="12" t="n">
        <v>2.53555866571472E-011</v>
      </c>
      <c r="H16" s="13" t="n">
        <v>2.2</v>
      </c>
      <c r="I16" s="13" t="n">
        <v>2.138</v>
      </c>
      <c r="K16" s="8" t="n">
        <v>1.24036081668488E-015</v>
      </c>
      <c r="L16" s="8" t="n">
        <v>5.47129962632939E-013</v>
      </c>
      <c r="M16" s="8" t="n">
        <f aca="false">M15+L16</f>
        <v>-42249.0924539363</v>
      </c>
      <c r="N16" s="5" t="str">
        <f aca="false">IF(L16&gt;0,"прибыль",IF(L16&lt;0,"убыток","ноль"))</f>
        <v>прибыль</v>
      </c>
      <c r="O16" s="6" t="n">
        <f aca="false">IF(L16&lt;0,O15+1,0)</f>
        <v>0</v>
      </c>
      <c r="P16" s="6" t="n">
        <v>1</v>
      </c>
    </row>
    <row r="17" customFormat="false" ht="15" hidden="false" customHeight="false" outlineLevel="0" collapsed="false">
      <c r="A17" s="6" t="n">
        <v>12</v>
      </c>
      <c r="B17" s="5" t="s">
        <v>72</v>
      </c>
      <c r="C17" s="5" t="s">
        <v>30</v>
      </c>
      <c r="D17" s="11" t="n">
        <v>44102</v>
      </c>
      <c r="E17" s="11" t="n">
        <v>44125</v>
      </c>
      <c r="F17" s="5" t="s">
        <v>75</v>
      </c>
      <c r="G17" s="12" t="n">
        <v>150183.345291943</v>
      </c>
      <c r="H17" s="13" t="n">
        <v>2.138</v>
      </c>
      <c r="I17" s="13" t="n">
        <v>2.911</v>
      </c>
      <c r="J17" s="5" t="s">
        <v>74</v>
      </c>
      <c r="K17" s="8" t="n">
        <v>15.5688564376048</v>
      </c>
      <c r="L17" s="8" t="n">
        <v>-4339.34789303476</v>
      </c>
      <c r="M17" s="8" t="n">
        <f aca="false">M16+L17</f>
        <v>-46588.4403469711</v>
      </c>
      <c r="N17" s="5" t="str">
        <f aca="false">IF(L17&gt;0,"прибыль",IF(L17&lt;0,"убыток","ноль"))</f>
        <v>убыток</v>
      </c>
      <c r="O17" s="6" t="n">
        <f aca="false">IF(L17&lt;0,O16+1,0)</f>
        <v>1</v>
      </c>
      <c r="P17" s="6" t="n">
        <v>17</v>
      </c>
    </row>
    <row r="18" customFormat="false" ht="15" hidden="false" customHeight="false" outlineLevel="0" collapsed="false">
      <c r="A18" s="6" t="n">
        <v>13</v>
      </c>
      <c r="B18" s="5" t="s">
        <v>72</v>
      </c>
      <c r="C18" s="5" t="s">
        <v>30</v>
      </c>
      <c r="D18" s="11" t="n">
        <v>44125</v>
      </c>
      <c r="E18" s="11" t="n">
        <v>44145</v>
      </c>
      <c r="F18" s="5" t="s">
        <v>73</v>
      </c>
      <c r="G18" s="12" t="n">
        <v>256611.386253557</v>
      </c>
      <c r="H18" s="13" t="n">
        <v>2.911</v>
      </c>
      <c r="I18" s="13" t="n">
        <v>2.899</v>
      </c>
      <c r="J18" s="5" t="s">
        <v>74</v>
      </c>
      <c r="K18" s="8" t="n">
        <v>30.8621861414975</v>
      </c>
      <c r="L18" s="8" t="n">
        <v>-26714.120548533</v>
      </c>
      <c r="M18" s="8" t="n">
        <f aca="false">M17+L18</f>
        <v>-73302.5608955041</v>
      </c>
      <c r="N18" s="5" t="str">
        <f aca="false">IF(L18&gt;0,"прибыль",IF(L18&lt;0,"убыток","ноль"))</f>
        <v>убыток</v>
      </c>
      <c r="O18" s="6" t="n">
        <f aca="false">IF(L18&lt;0,O17+1,0)</f>
        <v>2</v>
      </c>
      <c r="P18" s="6" t="n">
        <v>13</v>
      </c>
    </row>
    <row r="19" customFormat="false" ht="15" hidden="false" customHeight="false" outlineLevel="0" collapsed="false">
      <c r="A19" s="6" t="n">
        <v>14</v>
      </c>
      <c r="B19" s="5" t="s">
        <v>72</v>
      </c>
      <c r="C19" s="5" t="s">
        <v>30</v>
      </c>
      <c r="D19" s="11" t="n">
        <v>44145</v>
      </c>
      <c r="E19" s="11" t="n">
        <v>44151</v>
      </c>
      <c r="F19" s="5" t="s">
        <v>75</v>
      </c>
      <c r="G19" s="12" t="n">
        <v>287574.213108784</v>
      </c>
      <c r="H19" s="13" t="n">
        <v>2.899</v>
      </c>
      <c r="I19" s="13" t="n">
        <v>2.981</v>
      </c>
      <c r="K19" s="8" t="n">
        <v>29.705075378741</v>
      </c>
      <c r="L19" s="8" t="n">
        <v>-9276.3168540824</v>
      </c>
      <c r="M19" s="8" t="n">
        <f aca="false">M18+L19</f>
        <v>-82578.8777495865</v>
      </c>
      <c r="N19" s="5" t="str">
        <f aca="false">IF(L19&gt;0,"прибыль",IF(L19&lt;0,"убыток","ноль"))</f>
        <v>убыток</v>
      </c>
      <c r="O19" s="6" t="n">
        <f aca="false">IF(L19&lt;0,O18+1,0)</f>
        <v>3</v>
      </c>
      <c r="P19" s="6" t="n">
        <v>4</v>
      </c>
    </row>
    <row r="20" customFormat="false" ht="15" hidden="false" customHeight="false" outlineLevel="0" collapsed="false">
      <c r="A20" s="6" t="n">
        <v>15</v>
      </c>
      <c r="B20" s="5" t="s">
        <v>72</v>
      </c>
      <c r="C20" s="5" t="s">
        <v>30</v>
      </c>
      <c r="D20" s="11" t="n">
        <v>44151</v>
      </c>
      <c r="E20" s="11" t="n">
        <v>44152</v>
      </c>
      <c r="F20" s="5" t="s">
        <v>73</v>
      </c>
      <c r="G20" s="12" t="n">
        <v>297280.682687333</v>
      </c>
      <c r="H20" s="13" t="n">
        <v>2.981</v>
      </c>
      <c r="I20" s="13" t="n">
        <v>2.69</v>
      </c>
      <c r="K20" s="8" t="n">
        <v>25.526399966172</v>
      </c>
      <c r="L20" s="8" t="n">
        <v>-30124.477410856</v>
      </c>
      <c r="M20" s="8" t="n">
        <f aca="false">M19+L20</f>
        <v>-112703.355160442</v>
      </c>
      <c r="N20" s="5" t="str">
        <f aca="false">IF(L20&gt;0,"прибыль",IF(L20&lt;0,"убыток","ноль"))</f>
        <v>убыток</v>
      </c>
      <c r="O20" s="6" t="n">
        <f aca="false">IF(L20&lt;0,O19+1,0)</f>
        <v>4</v>
      </c>
      <c r="P20" s="6" t="n">
        <v>1</v>
      </c>
    </row>
    <row r="21" customFormat="false" ht="15" hidden="false" customHeight="false" outlineLevel="0" collapsed="false">
      <c r="A21" s="6" t="n">
        <v>16</v>
      </c>
      <c r="B21" s="5" t="s">
        <v>72</v>
      </c>
      <c r="C21" s="5" t="s">
        <v>30</v>
      </c>
      <c r="D21" s="11" t="n">
        <v>44152</v>
      </c>
      <c r="E21" s="11" t="n">
        <v>44160</v>
      </c>
      <c r="F21" s="5" t="s">
        <v>75</v>
      </c>
      <c r="G21" s="12" t="n">
        <v>243346.267646998</v>
      </c>
      <c r="H21" s="13" t="n">
        <v>2.69</v>
      </c>
      <c r="I21" s="13" t="n">
        <v>2.774</v>
      </c>
      <c r="K21" s="8" t="n">
        <v>26.0174403331703</v>
      </c>
      <c r="L21" s="8" t="n">
        <v>-8680.81646224835</v>
      </c>
      <c r="M21" s="8" t="n">
        <f aca="false">M20+L21</f>
        <v>-121384.171622691</v>
      </c>
      <c r="N21" s="5" t="str">
        <f aca="false">IF(L21&gt;0,"прибыль",IF(L21&lt;0,"убыток","ноль"))</f>
        <v>убыток</v>
      </c>
      <c r="O21" s="6" t="n">
        <f aca="false">IF(L21&lt;0,O20+1,0)</f>
        <v>5</v>
      </c>
      <c r="P21" s="6" t="n">
        <v>6</v>
      </c>
    </row>
    <row r="22" customFormat="false" ht="15" hidden="false" customHeight="false" outlineLevel="0" collapsed="false">
      <c r="A22" s="6" t="n">
        <v>17</v>
      </c>
      <c r="B22" s="5" t="s">
        <v>72</v>
      </c>
      <c r="C22" s="5" t="s">
        <v>30</v>
      </c>
      <c r="D22" s="11" t="n">
        <v>44160</v>
      </c>
      <c r="E22" s="11" t="n">
        <v>44162</v>
      </c>
      <c r="F22" s="5" t="s">
        <v>73</v>
      </c>
      <c r="G22" s="12" t="n">
        <v>268347.739994493</v>
      </c>
      <c r="H22" s="13" t="n">
        <v>2.774</v>
      </c>
      <c r="I22" s="13" t="n">
        <v>2.924</v>
      </c>
      <c r="J22" s="5" t="s">
        <v>74</v>
      </c>
      <c r="K22" s="8" t="n">
        <v>26.6484641340744</v>
      </c>
      <c r="L22" s="8" t="n">
        <v>-3010.29360780792</v>
      </c>
      <c r="M22" s="8" t="n">
        <f aca="false">M21+L22</f>
        <v>-124394.465230499</v>
      </c>
      <c r="N22" s="5" t="str">
        <f aca="false">IF(L22&gt;0,"прибыль",IF(L22&lt;0,"убыток","ноль"))</f>
        <v>убыток</v>
      </c>
      <c r="O22" s="6" t="n">
        <f aca="false">IF(L22&lt;0,O21+1,0)</f>
        <v>6</v>
      </c>
      <c r="P22" s="6" t="n">
        <v>2</v>
      </c>
    </row>
    <row r="23" customFormat="false" ht="15" hidden="false" customHeight="false" outlineLevel="0" collapsed="false">
      <c r="A23" s="6" t="n">
        <v>18</v>
      </c>
      <c r="B23" s="5" t="s">
        <v>72</v>
      </c>
      <c r="C23" s="5" t="s">
        <v>30</v>
      </c>
      <c r="D23" s="11" t="n">
        <v>44162</v>
      </c>
      <c r="E23" s="11" t="n">
        <v>44232</v>
      </c>
      <c r="F23" s="5" t="s">
        <v>75</v>
      </c>
      <c r="G23" s="12" t="n">
        <v>74228.503123329</v>
      </c>
      <c r="H23" s="13" t="n">
        <v>2.924</v>
      </c>
      <c r="I23" s="13" t="n">
        <v>2.968</v>
      </c>
      <c r="J23" s="5" t="s">
        <v>74</v>
      </c>
      <c r="K23" s="8" t="n">
        <v>6.21525291370184</v>
      </c>
      <c r="L23" s="8" t="n">
        <v>1827.85503459691</v>
      </c>
      <c r="M23" s="8" t="n">
        <f aca="false">M22+L23</f>
        <v>-122566.610195902</v>
      </c>
      <c r="N23" s="5" t="str">
        <f aca="false">IF(L23&gt;0,"прибыль",IF(L23&lt;0,"убыток","ноль"))</f>
        <v>прибыль</v>
      </c>
      <c r="O23" s="6" t="n">
        <f aca="false">IF(L23&lt;0,O22+1,0)</f>
        <v>0</v>
      </c>
      <c r="P23" s="6" t="n">
        <v>47</v>
      </c>
    </row>
    <row r="24" customFormat="false" ht="15" hidden="false" customHeight="false" outlineLevel="0" collapsed="false">
      <c r="A24" s="6" t="n">
        <v>19</v>
      </c>
      <c r="B24" s="5" t="s">
        <v>72</v>
      </c>
      <c r="C24" s="5" t="s">
        <v>30</v>
      </c>
      <c r="D24" s="11" t="n">
        <v>44232</v>
      </c>
      <c r="E24" s="11" t="n">
        <v>44305</v>
      </c>
      <c r="F24" s="5" t="s">
        <v>75</v>
      </c>
      <c r="G24" s="12" t="n">
        <v>478778.445268905</v>
      </c>
      <c r="H24" s="13" t="n">
        <v>2.968</v>
      </c>
      <c r="I24" s="13" t="n">
        <v>2.686</v>
      </c>
      <c r="J24" s="5" t="s">
        <v>74</v>
      </c>
      <c r="K24" s="8" t="n">
        <v>60.4582373829742</v>
      </c>
      <c r="L24" s="8" t="n">
        <v>28579.2651119967</v>
      </c>
      <c r="M24" s="8" t="n">
        <f aca="false">M23+L24</f>
        <v>-93987.3450839051</v>
      </c>
      <c r="N24" s="5" t="str">
        <f aca="false">IF(L24&gt;0,"прибыль",IF(L24&lt;0,"убыток","ноль"))</f>
        <v>прибыль</v>
      </c>
      <c r="O24" s="6" t="n">
        <f aca="false">IF(L24&lt;0,O23+1,0)</f>
        <v>0</v>
      </c>
      <c r="P24" s="6" t="n">
        <v>50</v>
      </c>
    </row>
    <row r="25" customFormat="false" ht="15" hidden="false" customHeight="false" outlineLevel="0" collapsed="false">
      <c r="A25" s="6" t="n">
        <v>20</v>
      </c>
      <c r="B25" s="5" t="s">
        <v>72</v>
      </c>
      <c r="C25" s="5" t="s">
        <v>30</v>
      </c>
      <c r="D25" s="11" t="n">
        <v>44305</v>
      </c>
      <c r="E25" s="11" t="n">
        <v>44308</v>
      </c>
      <c r="F25" s="5" t="s">
        <v>73</v>
      </c>
      <c r="G25" s="12" t="n">
        <v>525534.890616611</v>
      </c>
      <c r="H25" s="13" t="n">
        <v>2.686</v>
      </c>
      <c r="I25" s="13" t="n">
        <v>2.698</v>
      </c>
      <c r="K25" s="8" t="n">
        <v>53.1820805010764</v>
      </c>
      <c r="L25" s="8" t="n">
        <v>1066.54828249923</v>
      </c>
      <c r="M25" s="8" t="n">
        <f aca="false">M24+L25</f>
        <v>-92920.7968014058</v>
      </c>
      <c r="N25" s="5" t="str">
        <f aca="false">IF(L25&gt;0,"прибыль",IF(L25&lt;0,"убыток","ноль"))</f>
        <v>прибыль</v>
      </c>
      <c r="O25" s="6" t="n">
        <f aca="false">IF(L25&lt;0,O24+1,0)</f>
        <v>0</v>
      </c>
      <c r="P25" s="6" t="n">
        <v>3</v>
      </c>
    </row>
    <row r="26" customFormat="false" ht="15" hidden="false" customHeight="false" outlineLevel="0" collapsed="false">
      <c r="A26" s="6" t="n">
        <v>21</v>
      </c>
      <c r="B26" s="5" t="s">
        <v>72</v>
      </c>
      <c r="C26" s="5" t="s">
        <v>30</v>
      </c>
      <c r="D26" s="11" t="n">
        <v>44308</v>
      </c>
      <c r="E26" s="11" t="n">
        <v>44309</v>
      </c>
      <c r="F26" s="5" t="s">
        <v>75</v>
      </c>
      <c r="G26" s="12" t="n">
        <v>7.70759092120519E-011</v>
      </c>
      <c r="H26" s="13" t="n">
        <v>2.698</v>
      </c>
      <c r="I26" s="13" t="n">
        <v>2.751</v>
      </c>
      <c r="K26" s="8" t="n">
        <v>3.9385564630968E-015</v>
      </c>
      <c r="L26" s="8" t="n">
        <v>-1.6991586063471E-012</v>
      </c>
      <c r="M26" s="8" t="n">
        <f aca="false">M25+L26</f>
        <v>-92920.7968014058</v>
      </c>
      <c r="N26" s="5" t="str">
        <f aca="false">IF(L26&gt;0,"прибыль",IF(L26&lt;0,"убыток","ноль"))</f>
        <v>убыток</v>
      </c>
      <c r="O26" s="6" t="n">
        <f aca="false">IF(L26&lt;0,O25+1,0)</f>
        <v>1</v>
      </c>
      <c r="P26" s="6" t="n">
        <v>1</v>
      </c>
    </row>
    <row r="27" customFormat="false" ht="15" hidden="false" customHeight="false" outlineLevel="0" collapsed="false">
      <c r="A27" s="6" t="n">
        <v>22</v>
      </c>
      <c r="B27" s="5" t="s">
        <v>72</v>
      </c>
      <c r="C27" s="5" t="s">
        <v>30</v>
      </c>
      <c r="D27" s="11" t="n">
        <v>44309</v>
      </c>
      <c r="E27" s="11" t="n">
        <v>44322</v>
      </c>
      <c r="F27" s="5" t="s">
        <v>75</v>
      </c>
      <c r="G27" s="12" t="n">
        <v>536986.989041916</v>
      </c>
      <c r="H27" s="13" t="n">
        <v>2.751</v>
      </c>
      <c r="I27" s="13" t="n">
        <v>2.95</v>
      </c>
      <c r="J27" s="5" t="s">
        <v>74</v>
      </c>
      <c r="K27" s="8" t="n">
        <v>61.3671504500097</v>
      </c>
      <c r="L27" s="8" t="n">
        <v>-36316.689729698</v>
      </c>
      <c r="M27" s="8" t="n">
        <f aca="false">M26+L27</f>
        <v>-129237.486531104</v>
      </c>
      <c r="N27" s="5" t="str">
        <f aca="false">IF(L27&gt;0,"прибыль",IF(L27&lt;0,"убыток","ноль"))</f>
        <v>убыток</v>
      </c>
      <c r="O27" s="6" t="n">
        <f aca="false">IF(L27&lt;0,O26+1,0)</f>
        <v>2</v>
      </c>
      <c r="P27" s="6" t="n">
        <v>8</v>
      </c>
    </row>
    <row r="28" customFormat="false" ht="15" hidden="false" customHeight="false" outlineLevel="0" collapsed="false">
      <c r="A28" s="6" t="n">
        <v>23</v>
      </c>
      <c r="B28" s="5" t="s">
        <v>72</v>
      </c>
      <c r="C28" s="5" t="s">
        <v>30</v>
      </c>
      <c r="D28" s="11" t="n">
        <v>44322</v>
      </c>
      <c r="E28" s="11" t="n">
        <v>44334</v>
      </c>
      <c r="F28" s="5" t="s">
        <v>73</v>
      </c>
      <c r="G28" s="12" t="n">
        <v>147767.331402731</v>
      </c>
      <c r="H28" s="13" t="n">
        <v>2.95</v>
      </c>
      <c r="I28" s="13" t="n">
        <v>3.12</v>
      </c>
      <c r="K28" s="8" t="n">
        <v>7.79725318541148</v>
      </c>
      <c r="L28" s="8" t="n">
        <v>8169.93505231295</v>
      </c>
      <c r="M28" s="8" t="n">
        <f aca="false">M27+L28</f>
        <v>-121067.551478791</v>
      </c>
      <c r="N28" s="5" t="str">
        <f aca="false">IF(L28&gt;0,"прибыль",IF(L28&lt;0,"убыток","ноль"))</f>
        <v>прибыль</v>
      </c>
      <c r="O28" s="6" t="n">
        <f aca="false">IF(L28&lt;0,O27+1,0)</f>
        <v>0</v>
      </c>
      <c r="P28" s="6" t="n">
        <v>8</v>
      </c>
    </row>
    <row r="29" customFormat="false" ht="15" hidden="false" customHeight="false" outlineLevel="0" collapsed="false">
      <c r="A29" s="6" t="n">
        <v>24</v>
      </c>
      <c r="B29" s="5" t="s">
        <v>72</v>
      </c>
      <c r="C29" s="5" t="s">
        <v>30</v>
      </c>
      <c r="D29" s="11" t="n">
        <v>44334</v>
      </c>
      <c r="E29" s="11" t="n">
        <v>44384</v>
      </c>
      <c r="F29" s="5" t="s">
        <v>73</v>
      </c>
      <c r="G29" s="12" t="n">
        <v>117414.78777437</v>
      </c>
      <c r="H29" s="13" t="n">
        <v>3.12</v>
      </c>
      <c r="I29" s="13" t="n">
        <v>3.679</v>
      </c>
      <c r="J29" s="5" t="s">
        <v>74</v>
      </c>
      <c r="K29" s="8" t="n">
        <v>6.89278572524914</v>
      </c>
      <c r="L29" s="8" t="n">
        <v>20434.0339448873</v>
      </c>
      <c r="M29" s="8" t="n">
        <f aca="false">M28+L29</f>
        <v>-100633.517533904</v>
      </c>
      <c r="N29" s="5" t="str">
        <f aca="false">IF(L29&gt;0,"прибыль",IF(L29&lt;0,"убыток","ноль"))</f>
        <v>прибыль</v>
      </c>
      <c r="O29" s="6" t="n">
        <f aca="false">IF(L29&lt;0,O28+1,0)</f>
        <v>0</v>
      </c>
      <c r="P29" s="6" t="n">
        <v>36</v>
      </c>
    </row>
    <row r="30" customFormat="false" ht="15" hidden="false" customHeight="false" outlineLevel="0" collapsed="false">
      <c r="A30" s="6" t="n">
        <v>25</v>
      </c>
      <c r="B30" s="5" t="s">
        <v>72</v>
      </c>
      <c r="C30" s="5" t="s">
        <v>30</v>
      </c>
      <c r="D30" s="11" t="n">
        <v>44384</v>
      </c>
      <c r="E30" s="11" t="n">
        <v>44435</v>
      </c>
      <c r="F30" s="5" t="s">
        <v>73</v>
      </c>
      <c r="G30" s="12" t="n">
        <v>111429.337232559</v>
      </c>
      <c r="H30" s="13" t="n">
        <v>3.679</v>
      </c>
      <c r="I30" s="13" t="n">
        <v>4.184</v>
      </c>
      <c r="J30" s="5" t="s">
        <v>74</v>
      </c>
      <c r="K30" s="8" t="n">
        <v>7.49999402887515</v>
      </c>
      <c r="L30" s="8" t="n">
        <v>38563.0433509152</v>
      </c>
      <c r="M30" s="8" t="n">
        <f aca="false">M29+L30</f>
        <v>-62070.4741829884</v>
      </c>
      <c r="N30" s="5" t="str">
        <f aca="false">IF(L30&gt;0,"прибыль",IF(L30&lt;0,"убыток","ноль"))</f>
        <v>прибыль</v>
      </c>
      <c r="O30" s="6" t="n">
        <f aca="false">IF(L30&lt;0,O29+1,0)</f>
        <v>0</v>
      </c>
      <c r="P30" s="6" t="n">
        <v>37</v>
      </c>
    </row>
    <row r="31" customFormat="false" ht="15" hidden="false" customHeight="false" outlineLevel="0" collapsed="false">
      <c r="A31" s="6" t="n">
        <v>26</v>
      </c>
      <c r="B31" s="5" t="s">
        <v>72</v>
      </c>
      <c r="C31" s="5" t="s">
        <v>30</v>
      </c>
      <c r="D31" s="11" t="n">
        <v>44435</v>
      </c>
      <c r="E31" s="11" t="n">
        <v>44448</v>
      </c>
      <c r="F31" s="5" t="s">
        <v>73</v>
      </c>
      <c r="G31" s="12" t="n">
        <v>69084.6365622973</v>
      </c>
      <c r="H31" s="13" t="n">
        <v>4.184</v>
      </c>
      <c r="I31" s="13" t="n">
        <v>4.924</v>
      </c>
      <c r="J31" s="5" t="s">
        <v>74</v>
      </c>
      <c r="K31" s="8" t="n">
        <v>5.19657021902101</v>
      </c>
      <c r="L31" s="8" t="n">
        <v>34841.5712479039</v>
      </c>
      <c r="M31" s="8" t="n">
        <f aca="false">M30+L31</f>
        <v>-27228.9029350845</v>
      </c>
      <c r="N31" s="5" t="str">
        <f aca="false">IF(L31&gt;0,"прибыль",IF(L31&lt;0,"убыток","ноль"))</f>
        <v>прибыль</v>
      </c>
      <c r="O31" s="6" t="n">
        <f aca="false">IF(L31&lt;0,O30+1,0)</f>
        <v>0</v>
      </c>
      <c r="P31" s="6" t="n">
        <v>9</v>
      </c>
    </row>
    <row r="32" customFormat="false" ht="15" hidden="false" customHeight="false" outlineLevel="0" collapsed="false">
      <c r="A32" s="6" t="n">
        <v>27</v>
      </c>
      <c r="B32" s="5" t="s">
        <v>72</v>
      </c>
      <c r="C32" s="5" t="s">
        <v>30</v>
      </c>
      <c r="D32" s="11" t="n">
        <v>44448</v>
      </c>
      <c r="E32" s="11" t="n">
        <v>44467</v>
      </c>
      <c r="F32" s="5" t="s">
        <v>73</v>
      </c>
      <c r="G32" s="12" t="n">
        <v>65262.514282767</v>
      </c>
      <c r="H32" s="13" t="n">
        <v>4.924</v>
      </c>
      <c r="I32" s="13" t="n">
        <v>5.707</v>
      </c>
      <c r="K32" s="8" t="n">
        <v>5.68758038740354</v>
      </c>
      <c r="L32" s="8" t="n">
        <v>48483.4058849165</v>
      </c>
      <c r="M32" s="8" t="n">
        <f aca="false">M31+L32</f>
        <v>21254.5029498319</v>
      </c>
      <c r="N32" s="5" t="str">
        <f aca="false">IF(L32&gt;0,"прибыль",IF(L32&lt;0,"убыток","ноль"))</f>
        <v>прибыль</v>
      </c>
      <c r="O32" s="6" t="n">
        <f aca="false">IF(L32&lt;0,O31+1,0)</f>
        <v>0</v>
      </c>
      <c r="P32" s="6" t="n">
        <v>13</v>
      </c>
    </row>
    <row r="33" customFormat="false" ht="15" hidden="false" customHeight="false" outlineLevel="0" collapsed="false">
      <c r="A33" s="6" t="n">
        <v>28</v>
      </c>
      <c r="B33" s="5" t="s">
        <v>72</v>
      </c>
      <c r="C33" s="5" t="s">
        <v>30</v>
      </c>
      <c r="D33" s="11" t="n">
        <v>44467</v>
      </c>
      <c r="E33" s="11" t="n">
        <v>44474</v>
      </c>
      <c r="F33" s="5" t="s">
        <v>73</v>
      </c>
      <c r="G33" s="12" t="n">
        <v>31743.7572295915</v>
      </c>
      <c r="H33" s="13" t="n">
        <v>5.707</v>
      </c>
      <c r="I33" s="13" t="n">
        <v>5.82</v>
      </c>
      <c r="J33" s="5" t="s">
        <v>74</v>
      </c>
      <c r="K33" s="8" t="n">
        <v>2.76832650409442</v>
      </c>
      <c r="L33" s="8" t="n">
        <v>23620.0045257929</v>
      </c>
      <c r="M33" s="8" t="n">
        <f aca="false">M32+L33</f>
        <v>44874.5074756248</v>
      </c>
      <c r="N33" s="5" t="str">
        <f aca="false">IF(L33&gt;0,"прибыль",IF(L33&lt;0,"убыток","ноль"))</f>
        <v>прибыль</v>
      </c>
      <c r="O33" s="6" t="n">
        <f aca="false">IF(L33&lt;0,O32+1,0)</f>
        <v>0</v>
      </c>
      <c r="P33" s="6" t="n">
        <v>5</v>
      </c>
    </row>
    <row r="34" customFormat="false" ht="15" hidden="false" customHeight="false" outlineLevel="0" collapsed="false">
      <c r="A34" s="6" t="n">
        <v>29</v>
      </c>
      <c r="B34" s="5" t="s">
        <v>72</v>
      </c>
      <c r="C34" s="5" t="s">
        <v>30</v>
      </c>
      <c r="D34" s="11" t="n">
        <v>44474</v>
      </c>
      <c r="E34" s="11" t="n">
        <v>44495</v>
      </c>
      <c r="F34" s="5" t="s">
        <v>73</v>
      </c>
      <c r="G34" s="12" t="n">
        <v>22683.3311189124</v>
      </c>
      <c r="H34" s="13" t="n">
        <v>5.82</v>
      </c>
      <c r="I34" s="13" t="n">
        <v>6</v>
      </c>
      <c r="K34" s="8" t="n">
        <v>2.03829173441457</v>
      </c>
      <c r="L34" s="8" t="n">
        <v>18080.4652776445</v>
      </c>
      <c r="M34" s="8" t="n">
        <f aca="false">M33+L34</f>
        <v>62954.9727532693</v>
      </c>
      <c r="N34" s="5" t="str">
        <f aca="false">IF(L34&gt;0,"прибыль",IF(L34&lt;0,"убыток","ноль"))</f>
        <v>прибыль</v>
      </c>
      <c r="O34" s="6" t="n">
        <f aca="false">IF(L34&lt;0,O33+1,0)</f>
        <v>0</v>
      </c>
      <c r="P34" s="6" t="n">
        <v>15</v>
      </c>
    </row>
    <row r="35" customFormat="false" ht="15" hidden="false" customHeight="false" outlineLevel="0" collapsed="false">
      <c r="A35" s="6" t="n">
        <v>30</v>
      </c>
      <c r="B35" s="5" t="s">
        <v>72</v>
      </c>
      <c r="C35" s="5" t="s">
        <v>30</v>
      </c>
      <c r="D35" s="11" t="n">
        <v>44495</v>
      </c>
      <c r="E35" s="11" t="n">
        <v>44531</v>
      </c>
      <c r="F35" s="5" t="s">
        <v>73</v>
      </c>
      <c r="G35" s="12" t="n">
        <v>152880.229434209</v>
      </c>
      <c r="H35" s="13" t="n">
        <v>6</v>
      </c>
      <c r="I35" s="13" t="n">
        <v>4.604</v>
      </c>
      <c r="J35" s="5" t="s">
        <v>74</v>
      </c>
      <c r="K35" s="8" t="n">
        <v>20.3239301011597</v>
      </c>
      <c r="L35" s="8" t="n">
        <v>9407.95622976852</v>
      </c>
      <c r="M35" s="8" t="n">
        <f aca="false">M34+L35</f>
        <v>72362.9289830378</v>
      </c>
      <c r="N35" s="5" t="str">
        <f aca="false">IF(L35&gt;0,"прибыль",IF(L35&lt;0,"убыток","ноль"))</f>
        <v>прибыль</v>
      </c>
      <c r="O35" s="6" t="n">
        <f aca="false">IF(L35&lt;0,O34+1,0)</f>
        <v>0</v>
      </c>
      <c r="P35" s="6" t="n">
        <v>25</v>
      </c>
    </row>
    <row r="36" customFormat="false" ht="15" hidden="false" customHeight="false" outlineLevel="0" collapsed="false">
      <c r="A36" s="6" t="n">
        <v>31</v>
      </c>
      <c r="B36" s="5" t="s">
        <v>72</v>
      </c>
      <c r="C36" s="5" t="s">
        <v>30</v>
      </c>
      <c r="D36" s="11" t="n">
        <v>44531</v>
      </c>
      <c r="E36" s="11" t="n">
        <v>44574</v>
      </c>
      <c r="F36" s="5" t="s">
        <v>75</v>
      </c>
      <c r="G36" s="12" t="n">
        <v>83234.3918192902</v>
      </c>
      <c r="H36" s="13" t="n">
        <v>4.604</v>
      </c>
      <c r="I36" s="13" t="n">
        <v>4.817</v>
      </c>
      <c r="J36" s="5" t="s">
        <v>74</v>
      </c>
      <c r="K36" s="8" t="n">
        <v>8.33515420400444</v>
      </c>
      <c r="L36" s="8" t="n">
        <v>-13205.1995152166</v>
      </c>
      <c r="M36" s="8" t="n">
        <f aca="false">M35+L36</f>
        <v>59157.7294678212</v>
      </c>
      <c r="N36" s="5" t="str">
        <f aca="false">IF(L36&gt;0,"прибыль",IF(L36&lt;0,"убыток","ноль"))</f>
        <v>убыток</v>
      </c>
      <c r="O36" s="6" t="n">
        <f aca="false">IF(L36&lt;0,O35+1,0)</f>
        <v>1</v>
      </c>
      <c r="P36" s="6" t="n">
        <v>30</v>
      </c>
    </row>
    <row r="37" customFormat="false" ht="15" hidden="false" customHeight="false" outlineLevel="0" collapsed="false">
      <c r="A37" s="6" t="n">
        <v>32</v>
      </c>
      <c r="B37" s="5" t="s">
        <v>72</v>
      </c>
      <c r="C37" s="5" t="s">
        <v>30</v>
      </c>
      <c r="D37" s="11" t="n">
        <v>44574</v>
      </c>
      <c r="E37" s="11" t="n">
        <v>44595</v>
      </c>
      <c r="F37" s="5" t="s">
        <v>75</v>
      </c>
      <c r="G37" s="12" t="n">
        <v>38779.5292635668</v>
      </c>
      <c r="H37" s="13" t="n">
        <v>4.817</v>
      </c>
      <c r="I37" s="13" t="n">
        <v>5.433</v>
      </c>
      <c r="J37" s="5" t="s">
        <v>74</v>
      </c>
      <c r="K37" s="8" t="n">
        <v>2.48761326538433</v>
      </c>
      <c r="L37" s="8" t="n">
        <v>-10975.2236573852</v>
      </c>
      <c r="M37" s="8" t="n">
        <f aca="false">M36+L37</f>
        <v>48182.5058104361</v>
      </c>
      <c r="N37" s="5" t="str">
        <f aca="false">IF(L37&gt;0,"прибыль",IF(L37&lt;0,"убыток","ноль"))</f>
        <v>убыток</v>
      </c>
      <c r="O37" s="6" t="n">
        <f aca="false">IF(L37&lt;0,O36+1,0)</f>
        <v>2</v>
      </c>
      <c r="P37" s="6" t="n">
        <v>15</v>
      </c>
    </row>
    <row r="38" customFormat="false" ht="15" hidden="false" customHeight="false" outlineLevel="0" collapsed="false">
      <c r="A38" s="6" t="n">
        <v>33</v>
      </c>
      <c r="B38" s="5" t="s">
        <v>72</v>
      </c>
      <c r="C38" s="5" t="s">
        <v>30</v>
      </c>
      <c r="D38" s="11" t="n">
        <v>44595</v>
      </c>
      <c r="E38" s="11" t="n">
        <v>44648</v>
      </c>
      <c r="F38" s="5" t="s">
        <v>75</v>
      </c>
      <c r="G38" s="12" t="n">
        <v>209936.273316785</v>
      </c>
      <c r="H38" s="13" t="n">
        <v>5.433</v>
      </c>
      <c r="I38" s="13" t="n">
        <v>5.34</v>
      </c>
      <c r="J38" s="5" t="s">
        <v>74</v>
      </c>
      <c r="K38" s="8" t="n">
        <v>30.9709113839831</v>
      </c>
      <c r="L38" s="8" t="n">
        <v>-48734.8335143513</v>
      </c>
      <c r="M38" s="8" t="n">
        <f aca="false">M37+L38</f>
        <v>-552.32770391526</v>
      </c>
      <c r="N38" s="5" t="str">
        <f aca="false">IF(L38&gt;0,"прибыль",IF(L38&lt;0,"убыток","ноль"))</f>
        <v>убыток</v>
      </c>
      <c r="O38" s="6" t="n">
        <f aca="false">IF(L38&lt;0,O37+1,0)</f>
        <v>3</v>
      </c>
      <c r="P38" s="6" t="n">
        <v>33</v>
      </c>
    </row>
    <row r="39" customFormat="false" ht="15" hidden="false" customHeight="false" outlineLevel="0" collapsed="false">
      <c r="A39" s="6" t="n">
        <v>34</v>
      </c>
      <c r="B39" s="5" t="s">
        <v>72</v>
      </c>
      <c r="C39" s="5" t="s">
        <v>30</v>
      </c>
      <c r="D39" s="11" t="n">
        <v>44648</v>
      </c>
      <c r="E39" s="11" t="n">
        <v>44670</v>
      </c>
      <c r="F39" s="5" t="s">
        <v>73</v>
      </c>
      <c r="G39" s="12" t="n">
        <v>87231.1635606576</v>
      </c>
      <c r="H39" s="13" t="n">
        <v>5.34</v>
      </c>
      <c r="I39" s="13" t="n">
        <v>7.2</v>
      </c>
      <c r="J39" s="5" t="s">
        <v>74</v>
      </c>
      <c r="K39" s="8" t="n">
        <v>10.5545418990483</v>
      </c>
      <c r="L39" s="8" t="n">
        <v>33812.4025460991</v>
      </c>
      <c r="M39" s="8" t="n">
        <f aca="false">M38+L39</f>
        <v>33260.0748421839</v>
      </c>
      <c r="N39" s="5" t="str">
        <f aca="false">IF(L39&gt;0,"прибыль",IF(L39&lt;0,"убыток","ноль"))</f>
        <v>прибыль</v>
      </c>
      <c r="O39" s="6" t="n">
        <f aca="false">IF(L39&lt;0,O38+1,0)</f>
        <v>0</v>
      </c>
      <c r="P39" s="6" t="n">
        <v>16</v>
      </c>
    </row>
    <row r="40" customFormat="false" ht="15" hidden="false" customHeight="false" outlineLevel="0" collapsed="false">
      <c r="A40" s="6" t="n">
        <v>35</v>
      </c>
      <c r="B40" s="5" t="s">
        <v>72</v>
      </c>
      <c r="C40" s="5" t="s">
        <v>30</v>
      </c>
      <c r="D40" s="11" t="n">
        <v>44670</v>
      </c>
      <c r="E40" s="11" t="n">
        <v>44678</v>
      </c>
      <c r="F40" s="5" t="s">
        <v>73</v>
      </c>
      <c r="G40" s="12" t="n">
        <v>75040.7155937445</v>
      </c>
      <c r="H40" s="13" t="n">
        <v>7.2</v>
      </c>
      <c r="I40" s="13" t="n">
        <v>6.849</v>
      </c>
      <c r="K40" s="8" t="n">
        <v>4.95056523731711</v>
      </c>
      <c r="L40" s="8" t="n">
        <v>23965.6385873603</v>
      </c>
      <c r="M40" s="8" t="n">
        <f aca="false">M39+L40</f>
        <v>57225.7134295441</v>
      </c>
      <c r="N40" s="5" t="str">
        <f aca="false">IF(L40&gt;0,"прибыль",IF(L40&lt;0,"убыток","ноль"))</f>
        <v>прибыль</v>
      </c>
      <c r="O40" s="6" t="n">
        <f aca="false">IF(L40&lt;0,O39+1,0)</f>
        <v>0</v>
      </c>
      <c r="P40" s="6" t="n">
        <v>6</v>
      </c>
    </row>
    <row r="41" customFormat="false" ht="15" hidden="false" customHeight="false" outlineLevel="0" collapsed="false">
      <c r="A41" s="6" t="n">
        <v>36</v>
      </c>
      <c r="B41" s="5" t="s">
        <v>72</v>
      </c>
      <c r="C41" s="5" t="s">
        <v>30</v>
      </c>
      <c r="D41" s="11" t="n">
        <v>44678</v>
      </c>
      <c r="E41" s="11" t="n">
        <v>44686</v>
      </c>
      <c r="F41" s="5" t="s">
        <v>73</v>
      </c>
      <c r="G41" s="12" t="n">
        <v>54743.1856869414</v>
      </c>
      <c r="H41" s="13" t="n">
        <v>6.849</v>
      </c>
      <c r="I41" s="13" t="n">
        <v>7.65</v>
      </c>
      <c r="J41" s="5" t="s">
        <v>74</v>
      </c>
      <c r="K41" s="8" t="n">
        <v>3.88994268479363</v>
      </c>
      <c r="L41" s="8" t="n">
        <v>23051.7780662465</v>
      </c>
      <c r="M41" s="8" t="n">
        <f aca="false">M40+L41</f>
        <v>80277.4914957906</v>
      </c>
      <c r="N41" s="5" t="str">
        <f aca="false">IF(L41&gt;0,"прибыль",IF(L41&lt;0,"убыток","ноль"))</f>
        <v>прибыль</v>
      </c>
      <c r="O41" s="6" t="n">
        <f aca="false">IF(L41&lt;0,O40+1,0)</f>
        <v>0</v>
      </c>
      <c r="P41" s="6" t="n">
        <v>4</v>
      </c>
    </row>
    <row r="42" customFormat="false" ht="15" hidden="false" customHeight="false" outlineLevel="0" collapsed="false">
      <c r="A42" s="6" t="n">
        <v>37</v>
      </c>
      <c r="B42" s="5" t="s">
        <v>72</v>
      </c>
      <c r="C42" s="5" t="s">
        <v>30</v>
      </c>
      <c r="D42" s="11" t="n">
        <v>44686</v>
      </c>
      <c r="E42" s="11" t="n">
        <v>44727</v>
      </c>
      <c r="F42" s="5" t="s">
        <v>73</v>
      </c>
      <c r="G42" s="12" t="n">
        <v>50077.8656113748</v>
      </c>
      <c r="H42" s="13" t="n">
        <v>7.65</v>
      </c>
      <c r="I42" s="13" t="n">
        <v>7.513</v>
      </c>
      <c r="J42" s="5" t="s">
        <v>74</v>
      </c>
      <c r="K42" s="8" t="n">
        <v>7.28618686482577</v>
      </c>
      <c r="L42" s="8" t="n">
        <v>10801.5180162634</v>
      </c>
      <c r="M42" s="8" t="n">
        <f aca="false">M41+L42</f>
        <v>91079.009512054</v>
      </c>
      <c r="N42" s="5" t="str">
        <f aca="false">IF(L42&gt;0,"прибыль",IF(L42&lt;0,"убыток","ноль"))</f>
        <v>прибыль</v>
      </c>
      <c r="O42" s="6" t="n">
        <f aca="false">IF(L42&lt;0,O41+1,0)</f>
        <v>0</v>
      </c>
      <c r="P42" s="6" t="n">
        <v>26</v>
      </c>
    </row>
    <row r="43" customFormat="false" ht="15" hidden="false" customHeight="false" outlineLevel="0" collapsed="false">
      <c r="A43" s="6" t="n">
        <v>38</v>
      </c>
      <c r="B43" s="5" t="s">
        <v>72</v>
      </c>
      <c r="C43" s="5" t="s">
        <v>30</v>
      </c>
      <c r="D43" s="11" t="n">
        <v>44727</v>
      </c>
      <c r="E43" s="11" t="n">
        <v>44760</v>
      </c>
      <c r="F43" s="5" t="s">
        <v>73</v>
      </c>
      <c r="G43" s="12" t="n">
        <v>49074.3261195834</v>
      </c>
      <c r="H43" s="13" t="n">
        <v>7.513</v>
      </c>
      <c r="I43" s="13" t="n">
        <v>6.99</v>
      </c>
      <c r="J43" s="5" t="s">
        <v>74</v>
      </c>
      <c r="K43" s="8" t="n">
        <v>4.7880684218994</v>
      </c>
      <c r="L43" s="8" t="n">
        <v>3636.05164860679</v>
      </c>
      <c r="M43" s="8" t="n">
        <f aca="false">M42+L43</f>
        <v>94715.0611606608</v>
      </c>
      <c r="N43" s="5" t="str">
        <f aca="false">IF(L43&gt;0,"прибыль",IF(L43&lt;0,"убыток","ноль"))</f>
        <v>прибыль</v>
      </c>
      <c r="O43" s="6" t="n">
        <f aca="false">IF(L43&lt;0,O42+1,0)</f>
        <v>0</v>
      </c>
      <c r="P43" s="6" t="n">
        <v>23</v>
      </c>
    </row>
    <row r="44" customFormat="false" ht="15" hidden="false" customHeight="false" outlineLevel="0" collapsed="false">
      <c r="A44" s="6" t="n">
        <v>39</v>
      </c>
      <c r="B44" s="5" t="s">
        <v>72</v>
      </c>
      <c r="C44" s="5" t="s">
        <v>30</v>
      </c>
      <c r="D44" s="11" t="n">
        <v>44760</v>
      </c>
      <c r="E44" s="11" t="n">
        <v>44769</v>
      </c>
      <c r="F44" s="5" t="s">
        <v>73</v>
      </c>
      <c r="G44" s="12" t="n">
        <v>38895.9761748829</v>
      </c>
      <c r="H44" s="13" t="n">
        <v>6.99</v>
      </c>
      <c r="I44" s="13" t="n">
        <v>8.993</v>
      </c>
      <c r="K44" s="8" t="n">
        <v>2.68778040951378</v>
      </c>
      <c r="L44" s="8" t="n">
        <v>14856.9442349833</v>
      </c>
      <c r="M44" s="8" t="n">
        <f aca="false">M43+L44</f>
        <v>109572.005395644</v>
      </c>
      <c r="N44" s="5" t="str">
        <f aca="false">IF(L44&gt;0,"прибыль",IF(L44&lt;0,"убыток","ноль"))</f>
        <v>прибыль</v>
      </c>
      <c r="O44" s="6" t="n">
        <f aca="false">IF(L44&lt;0,O43+1,0)</f>
        <v>0</v>
      </c>
      <c r="P44" s="6" t="n">
        <v>7</v>
      </c>
    </row>
    <row r="45" customFormat="false" ht="15" hidden="false" customHeight="false" outlineLevel="0" collapsed="false">
      <c r="A45" s="6" t="n">
        <v>40</v>
      </c>
      <c r="B45" s="5" t="s">
        <v>72</v>
      </c>
      <c r="C45" s="5" t="s">
        <v>30</v>
      </c>
      <c r="D45" s="11" t="n">
        <v>44769</v>
      </c>
      <c r="E45" s="11" t="n">
        <v>44826</v>
      </c>
      <c r="F45" s="5" t="s">
        <v>73</v>
      </c>
      <c r="G45" s="12" t="n">
        <v>246770.469585118</v>
      </c>
      <c r="H45" s="13" t="n">
        <v>8.993</v>
      </c>
      <c r="I45" s="13" t="n">
        <v>7.772</v>
      </c>
      <c r="J45" s="5" t="s">
        <v>74</v>
      </c>
      <c r="K45" s="8" t="n">
        <v>32.2817851987031</v>
      </c>
      <c r="L45" s="8" t="n">
        <v>25865.3424040354</v>
      </c>
      <c r="M45" s="8" t="n">
        <f aca="false">M44+L45</f>
        <v>135437.347799679</v>
      </c>
      <c r="N45" s="5" t="str">
        <f aca="false">IF(L45&gt;0,"прибыль",IF(L45&lt;0,"убыток","ноль"))</f>
        <v>прибыль</v>
      </c>
      <c r="O45" s="6" t="n">
        <f aca="false">IF(L45&lt;0,O44+1,0)</f>
        <v>0</v>
      </c>
      <c r="P45" s="6" t="n">
        <v>41</v>
      </c>
    </row>
    <row r="46" customFormat="false" ht="15" hidden="false" customHeight="false" outlineLevel="0" collapsed="false">
      <c r="A46" s="6" t="n">
        <v>41</v>
      </c>
      <c r="B46" s="5" t="s">
        <v>72</v>
      </c>
      <c r="C46" s="5" t="s">
        <v>30</v>
      </c>
      <c r="D46" s="11" t="n">
        <v>44826</v>
      </c>
      <c r="E46" s="11" t="n">
        <v>44860</v>
      </c>
      <c r="F46" s="5" t="s">
        <v>75</v>
      </c>
      <c r="G46" s="12" t="n">
        <v>148474.002626881</v>
      </c>
      <c r="H46" s="13" t="n">
        <v>7.772</v>
      </c>
      <c r="I46" s="13" t="n">
        <v>5.709</v>
      </c>
      <c r="J46" s="5" t="s">
        <v>74</v>
      </c>
      <c r="K46" s="8" t="n">
        <v>15.0065481319067</v>
      </c>
      <c r="L46" s="8" t="n">
        <v>31847.7077409168</v>
      </c>
      <c r="M46" s="8" t="n">
        <f aca="false">M45+L46</f>
        <v>167285.055540596</v>
      </c>
      <c r="N46" s="5" t="str">
        <f aca="false">IF(L46&gt;0,"прибыль",IF(L46&lt;0,"убыток","ноль"))</f>
        <v>прибыль</v>
      </c>
      <c r="O46" s="6" t="n">
        <f aca="false">IF(L46&lt;0,O45+1,0)</f>
        <v>0</v>
      </c>
      <c r="P46" s="6" t="n">
        <v>24</v>
      </c>
    </row>
    <row r="47" customFormat="false" ht="15" hidden="false" customHeight="false" outlineLevel="0" collapsed="false">
      <c r="A47" s="6" t="n">
        <v>42</v>
      </c>
      <c r="B47" s="5" t="s">
        <v>72</v>
      </c>
      <c r="C47" s="5" t="s">
        <v>30</v>
      </c>
      <c r="D47" s="11" t="n">
        <v>44860</v>
      </c>
      <c r="E47" s="11" t="n">
        <v>44873</v>
      </c>
      <c r="F47" s="5" t="s">
        <v>75</v>
      </c>
      <c r="G47" s="12" t="n">
        <v>303204.156987286</v>
      </c>
      <c r="H47" s="13" t="n">
        <v>5.709</v>
      </c>
      <c r="I47" s="13" t="n">
        <v>6.75</v>
      </c>
      <c r="J47" s="5" t="s">
        <v>74</v>
      </c>
      <c r="K47" s="8" t="n">
        <v>21.9135788989501</v>
      </c>
      <c r="L47" s="8" t="n">
        <v>39359.5523783932</v>
      </c>
      <c r="M47" s="8" t="n">
        <f aca="false">M46+L47</f>
        <v>206644.607918989</v>
      </c>
      <c r="N47" s="5" t="str">
        <f aca="false">IF(L47&gt;0,"прибыль",IF(L47&lt;0,"убыток","ноль"))</f>
        <v>прибыль</v>
      </c>
      <c r="O47" s="6" t="n">
        <f aca="false">IF(L47&lt;0,O46+1,0)</f>
        <v>0</v>
      </c>
      <c r="P47" s="6" t="n">
        <v>8</v>
      </c>
    </row>
    <row r="48" customFormat="false" ht="15" hidden="false" customHeight="false" outlineLevel="0" collapsed="false">
      <c r="A48" s="6" t="n">
        <v>43</v>
      </c>
      <c r="B48" s="5" t="s">
        <v>72</v>
      </c>
      <c r="C48" s="5" t="s">
        <v>30</v>
      </c>
      <c r="D48" s="11" t="n">
        <v>44873</v>
      </c>
      <c r="E48" s="11" t="n">
        <v>44874</v>
      </c>
      <c r="F48" s="5" t="s">
        <v>73</v>
      </c>
      <c r="G48" s="12" t="n">
        <v>174448.886949008</v>
      </c>
      <c r="H48" s="13" t="n">
        <v>6.75</v>
      </c>
      <c r="I48" s="13" t="n">
        <v>6.394</v>
      </c>
      <c r="K48" s="8" t="n">
        <v>16.6966991036387</v>
      </c>
      <c r="L48" s="8" t="n">
        <v>-10193.8998080275</v>
      </c>
      <c r="M48" s="8" t="n">
        <f aca="false">M47+L48</f>
        <v>196450.708110962</v>
      </c>
      <c r="N48" s="5" t="str">
        <f aca="false">IF(L48&gt;0,"прибыль",IF(L48&lt;0,"убыток","ноль"))</f>
        <v>убыток</v>
      </c>
      <c r="O48" s="6" t="n">
        <f aca="false">IF(L48&lt;0,O47+1,0)</f>
        <v>1</v>
      </c>
      <c r="P48" s="6" t="n">
        <v>1</v>
      </c>
    </row>
    <row r="49" customFormat="false" ht="15" hidden="false" customHeight="false" outlineLevel="0" collapsed="false">
      <c r="A49" s="6" t="n">
        <v>44</v>
      </c>
      <c r="B49" s="5" t="s">
        <v>72</v>
      </c>
      <c r="C49" s="5" t="s">
        <v>30</v>
      </c>
      <c r="D49" s="11" t="n">
        <v>44874</v>
      </c>
      <c r="E49" s="11" t="n">
        <v>44876</v>
      </c>
      <c r="F49" s="5" t="s">
        <v>75</v>
      </c>
      <c r="G49" s="12" t="n">
        <v>169662.298232689</v>
      </c>
      <c r="H49" s="13" t="n">
        <v>6.394</v>
      </c>
      <c r="I49" s="13" t="n">
        <v>6.22</v>
      </c>
      <c r="K49" s="8" t="n">
        <v>16.6373886180491</v>
      </c>
      <c r="L49" s="8" t="n">
        <v>3598.21181267834</v>
      </c>
      <c r="M49" s="8" t="n">
        <f aca="false">M48+L49</f>
        <v>200048.91992364</v>
      </c>
      <c r="N49" s="5" t="str">
        <f aca="false">IF(L49&gt;0,"прибыль",IF(L49&lt;0,"убыток","ноль"))</f>
        <v>прибыль</v>
      </c>
      <c r="O49" s="6" t="n">
        <f aca="false">IF(L49&lt;0,O48+1,0)</f>
        <v>0</v>
      </c>
      <c r="P49" s="6" t="n">
        <v>2</v>
      </c>
    </row>
    <row r="50" customFormat="false" ht="15" hidden="false" customHeight="false" outlineLevel="0" collapsed="false">
      <c r="A50" s="6" t="n">
        <v>45</v>
      </c>
      <c r="B50" s="5" t="s">
        <v>72</v>
      </c>
      <c r="C50" s="5" t="s">
        <v>30</v>
      </c>
      <c r="D50" s="11" t="n">
        <v>44876</v>
      </c>
      <c r="E50" s="11" t="n">
        <v>44879</v>
      </c>
      <c r="F50" s="5" t="s">
        <v>73</v>
      </c>
      <c r="G50" s="12" t="n">
        <v>166700.32332959</v>
      </c>
      <c r="H50" s="13" t="n">
        <v>6.22</v>
      </c>
      <c r="I50" s="13" t="n">
        <v>6.033</v>
      </c>
      <c r="K50" s="8" t="n">
        <v>16.4073402829458</v>
      </c>
      <c r="L50" s="8" t="n">
        <v>-6012.42232532775</v>
      </c>
      <c r="M50" s="8" t="n">
        <f aca="false">M49+L50</f>
        <v>194036.497598313</v>
      </c>
      <c r="N50" s="5" t="str">
        <f aca="false">IF(L50&gt;0,"прибыль",IF(L50&lt;0,"убыток","ноль"))</f>
        <v>убыток</v>
      </c>
      <c r="O50" s="6" t="n">
        <f aca="false">IF(L50&lt;0,O49+1,0)</f>
        <v>1</v>
      </c>
      <c r="P50" s="6" t="n">
        <v>1</v>
      </c>
    </row>
    <row r="51" customFormat="false" ht="15" hidden="false" customHeight="false" outlineLevel="0" collapsed="false">
      <c r="A51" s="6" t="n">
        <v>46</v>
      </c>
      <c r="B51" s="5" t="s">
        <v>72</v>
      </c>
      <c r="C51" s="5" t="s">
        <v>30</v>
      </c>
      <c r="D51" s="11" t="n">
        <v>44879</v>
      </c>
      <c r="E51" s="11" t="n">
        <v>44911</v>
      </c>
      <c r="F51" s="5" t="s">
        <v>75</v>
      </c>
      <c r="G51" s="12" t="n">
        <v>59898.5492784543</v>
      </c>
      <c r="H51" s="13" t="n">
        <v>6.033</v>
      </c>
      <c r="I51" s="13" t="n">
        <v>6.855</v>
      </c>
      <c r="J51" s="5" t="s">
        <v>74</v>
      </c>
      <c r="K51" s="8" t="n">
        <v>7.51570987838948</v>
      </c>
      <c r="L51" s="8" t="n">
        <v>-5408.20729245948</v>
      </c>
      <c r="M51" s="8" t="n">
        <f aca="false">M50+L51</f>
        <v>188628.290305853</v>
      </c>
      <c r="N51" s="5" t="str">
        <f aca="false">IF(L51&gt;0,"прибыль",IF(L51&lt;0,"убыток","ноль"))</f>
        <v>убыток</v>
      </c>
      <c r="O51" s="6" t="n">
        <f aca="false">IF(L51&lt;0,O50+1,0)</f>
        <v>2</v>
      </c>
      <c r="P51" s="6" t="n">
        <v>24</v>
      </c>
    </row>
    <row r="52" customFormat="false" ht="15" hidden="false" customHeight="false" outlineLevel="0" collapsed="false">
      <c r="A52" s="6" t="n">
        <v>47</v>
      </c>
      <c r="B52" s="5" t="s">
        <v>72</v>
      </c>
      <c r="C52" s="5" t="s">
        <v>30</v>
      </c>
      <c r="D52" s="11" t="n">
        <v>44911</v>
      </c>
      <c r="E52" s="11" t="n">
        <v>44985</v>
      </c>
      <c r="F52" s="5" t="s">
        <v>75</v>
      </c>
      <c r="G52" s="12" t="n">
        <v>93877.7331855119</v>
      </c>
      <c r="H52" s="13" t="n">
        <v>6.855</v>
      </c>
      <c r="I52" s="13" t="n">
        <v>2.797</v>
      </c>
      <c r="J52" s="5" t="s">
        <v>74</v>
      </c>
      <c r="K52" s="8" t="n">
        <v>13.8112609292191</v>
      </c>
      <c r="L52" s="8" t="n">
        <v>39360.8678363662</v>
      </c>
      <c r="M52" s="8" t="n">
        <f aca="false">M51+L52</f>
        <v>227989.158142219</v>
      </c>
      <c r="N52" s="5" t="str">
        <f aca="false">IF(L52&gt;0,"прибыль",IF(L52&lt;0,"убыток","ноль"))</f>
        <v>прибыль</v>
      </c>
      <c r="O52" s="6" t="n">
        <f aca="false">IF(L52&lt;0,O51+1,0)</f>
        <v>0</v>
      </c>
      <c r="P52" s="6" t="n">
        <v>50</v>
      </c>
    </row>
    <row r="53" customFormat="false" ht="15" hidden="false" customHeight="false" outlineLevel="0" collapsed="false">
      <c r="A53" s="6" t="n">
        <v>48</v>
      </c>
      <c r="B53" s="5" t="s">
        <v>72</v>
      </c>
      <c r="C53" s="5" t="s">
        <v>30</v>
      </c>
      <c r="D53" s="11" t="n">
        <v>44985</v>
      </c>
      <c r="E53" s="11" t="n">
        <v>45034</v>
      </c>
      <c r="F53" s="5" t="s">
        <v>75</v>
      </c>
      <c r="G53" s="12" t="n">
        <v>111288.065888023</v>
      </c>
      <c r="H53" s="13" t="n">
        <v>2.797</v>
      </c>
      <c r="I53" s="13" t="n">
        <v>2.327</v>
      </c>
      <c r="J53" s="5" t="s">
        <v>74</v>
      </c>
      <c r="K53" s="8" t="n">
        <v>13.5699816615189</v>
      </c>
      <c r="L53" s="8" t="n">
        <v>38083.8376674812</v>
      </c>
      <c r="M53" s="8" t="n">
        <f aca="false">M52+L53</f>
        <v>266072.995809701</v>
      </c>
      <c r="N53" s="5" t="str">
        <f aca="false">IF(L53&gt;0,"прибыль",IF(L53&lt;0,"убыток","ноль"))</f>
        <v>прибыль</v>
      </c>
      <c r="O53" s="6" t="n">
        <f aca="false">IF(L53&lt;0,O52+1,0)</f>
        <v>0</v>
      </c>
      <c r="P53" s="6" t="n">
        <v>34</v>
      </c>
    </row>
    <row r="54" customFormat="false" ht="15" hidden="false" customHeight="false" outlineLevel="0" collapsed="false">
      <c r="A54" s="6" t="n">
        <v>49</v>
      </c>
      <c r="B54" s="5" t="s">
        <v>72</v>
      </c>
      <c r="C54" s="5" t="s">
        <v>30</v>
      </c>
      <c r="D54" s="11" t="n">
        <v>45034</v>
      </c>
      <c r="E54" s="11" t="n">
        <v>45142</v>
      </c>
      <c r="F54" s="5" t="s">
        <v>75</v>
      </c>
      <c r="G54" s="12" t="n">
        <v>536100.956322325</v>
      </c>
      <c r="H54" s="13" t="n">
        <v>2.327</v>
      </c>
      <c r="I54" s="13" t="n">
        <v>2.587</v>
      </c>
      <c r="J54" s="5" t="s">
        <v>74</v>
      </c>
      <c r="K54" s="8" t="n">
        <v>46.2844633293753</v>
      </c>
      <c r="L54" s="8" t="n">
        <v>125500.767016314</v>
      </c>
      <c r="M54" s="8" t="n">
        <f aca="false">M53+L54</f>
        <v>391573.762826015</v>
      </c>
      <c r="N54" s="5" t="str">
        <f aca="false">IF(L54&gt;0,"прибыль",IF(L54&lt;0,"убыток","ноль"))</f>
        <v>прибыль</v>
      </c>
      <c r="O54" s="6" t="n">
        <f aca="false">IF(L54&lt;0,O53+1,0)</f>
        <v>0</v>
      </c>
      <c r="P54" s="6" t="n">
        <v>75</v>
      </c>
    </row>
    <row r="55" customFormat="false" ht="15" hidden="false" customHeight="false" outlineLevel="0" collapsed="false">
      <c r="A55" s="6" t="n">
        <v>50</v>
      </c>
      <c r="B55" s="5" t="s">
        <v>72</v>
      </c>
      <c r="C55" s="5" t="s">
        <v>30</v>
      </c>
      <c r="D55" s="11" t="n">
        <v>45142</v>
      </c>
      <c r="E55" s="11" t="n">
        <v>45148</v>
      </c>
      <c r="F55" s="5" t="s">
        <v>73</v>
      </c>
      <c r="G55" s="12" t="n">
        <v>91835.4444212057</v>
      </c>
      <c r="H55" s="13" t="n">
        <v>2.587</v>
      </c>
      <c r="I55" s="13" t="n">
        <v>2.98</v>
      </c>
      <c r="K55" s="8" t="n">
        <v>5.27267592872522</v>
      </c>
      <c r="L55" s="8" t="n">
        <v>13612.80147737</v>
      </c>
      <c r="M55" s="8" t="n">
        <f aca="false">M54+L55</f>
        <v>405186.564303385</v>
      </c>
      <c r="N55" s="5" t="str">
        <f aca="false">IF(L55&gt;0,"прибыль",IF(L55&lt;0,"убыток","ноль"))</f>
        <v>прибыль</v>
      </c>
      <c r="O55" s="6" t="n">
        <f aca="false">IF(L55&lt;0,O54+1,0)</f>
        <v>0</v>
      </c>
      <c r="P55" s="6" t="n">
        <v>4</v>
      </c>
    </row>
    <row r="56" customFormat="false" ht="15" hidden="false" customHeight="false" outlineLevel="0" collapsed="false">
      <c r="A56" s="6" t="n">
        <v>51</v>
      </c>
      <c r="B56" s="5" t="s">
        <v>72</v>
      </c>
      <c r="C56" s="5" t="s">
        <v>30</v>
      </c>
      <c r="D56" s="11" t="n">
        <v>45148</v>
      </c>
      <c r="E56" s="11" t="n">
        <v>45166</v>
      </c>
      <c r="F56" s="5" t="s">
        <v>73</v>
      </c>
      <c r="G56" s="12" t="n">
        <v>294523.206158097</v>
      </c>
      <c r="H56" s="13" t="n">
        <v>2.98</v>
      </c>
      <c r="I56" s="13" t="n">
        <v>2.621</v>
      </c>
      <c r="K56" s="8" t="n">
        <v>29.6335719225109</v>
      </c>
      <c r="L56" s="8" t="n">
        <v>2833.19930993001</v>
      </c>
      <c r="M56" s="8" t="n">
        <f aca="false">M55+L56</f>
        <v>408019.763613315</v>
      </c>
      <c r="N56" s="5" t="str">
        <f aca="false">IF(L56&gt;0,"прибыль",IF(L56&lt;0,"убыток","ноль"))</f>
        <v>прибыль</v>
      </c>
      <c r="O56" s="6" t="n">
        <f aca="false">IF(L56&lt;0,O55+1,0)</f>
        <v>0</v>
      </c>
      <c r="P56" s="6" t="n">
        <v>12</v>
      </c>
    </row>
    <row r="57" customFormat="false" ht="15" hidden="false" customHeight="false" outlineLevel="0" collapsed="false">
      <c r="A57" s="6" t="n">
        <v>52</v>
      </c>
      <c r="B57" s="5" t="s">
        <v>72</v>
      </c>
      <c r="C57" s="5" t="s">
        <v>30</v>
      </c>
      <c r="D57" s="11" t="n">
        <v>45166</v>
      </c>
      <c r="E57" s="11" t="n">
        <v>45167</v>
      </c>
      <c r="F57" s="5" t="s">
        <v>75</v>
      </c>
      <c r="G57" s="12" t="n">
        <v>295285.399410269</v>
      </c>
      <c r="H57" s="13" t="n">
        <v>2.621</v>
      </c>
      <c r="I57" s="13" t="n">
        <v>2.579</v>
      </c>
      <c r="K57" s="8" t="n">
        <v>29.005829859073</v>
      </c>
      <c r="L57" s="8" t="n">
        <v>3601.17255235403</v>
      </c>
      <c r="M57" s="8" t="n">
        <f aca="false">M56+L57</f>
        <v>411620.936165669</v>
      </c>
      <c r="N57" s="5" t="str">
        <f aca="false">IF(L57&gt;0,"прибыль",IF(L57&lt;0,"убыток","ноль"))</f>
        <v>прибыль</v>
      </c>
      <c r="O57" s="6" t="n">
        <f aca="false">IF(L57&lt;0,O56+1,0)</f>
        <v>0</v>
      </c>
      <c r="P57" s="6" t="n">
        <v>1</v>
      </c>
    </row>
    <row r="58" customFormat="false" ht="15" hidden="false" customHeight="false" outlineLevel="0" collapsed="false">
      <c r="A58" s="6" t="n">
        <v>53</v>
      </c>
      <c r="B58" s="5" t="s">
        <v>72</v>
      </c>
      <c r="C58" s="5" t="s">
        <v>30</v>
      </c>
      <c r="D58" s="11" t="n">
        <v>45167</v>
      </c>
      <c r="E58" s="11" t="n">
        <v>45176</v>
      </c>
      <c r="F58" s="5" t="s">
        <v>73</v>
      </c>
      <c r="G58" s="12" t="n">
        <v>288461.376153405</v>
      </c>
      <c r="H58" s="13" t="n">
        <v>2.579</v>
      </c>
      <c r="I58" s="13" t="n">
        <v>2.54</v>
      </c>
      <c r="J58" s="5" t="s">
        <v>74</v>
      </c>
      <c r="K58" s="8" t="n">
        <v>31.2901653819654</v>
      </c>
      <c r="L58" s="8" t="n">
        <v>-17671.9811638577</v>
      </c>
      <c r="M58" s="8" t="n">
        <f aca="false">M57+L58</f>
        <v>393948.955001811</v>
      </c>
      <c r="N58" s="5" t="str">
        <f aca="false">IF(L58&gt;0,"прибыль",IF(L58&lt;0,"убыток","ноль"))</f>
        <v>убыток</v>
      </c>
      <c r="O58" s="6" t="n">
        <f aca="false">IF(L58&lt;0,O57+1,0)</f>
        <v>1</v>
      </c>
      <c r="P58" s="6" t="n">
        <v>7</v>
      </c>
    </row>
    <row r="59" customFormat="false" ht="15" hidden="false" customHeight="false" outlineLevel="0" collapsed="false">
      <c r="A59" s="6" t="n">
        <v>54</v>
      </c>
      <c r="B59" s="5" t="s">
        <v>72</v>
      </c>
      <c r="C59" s="5" t="s">
        <v>30</v>
      </c>
      <c r="D59" s="11" t="n">
        <v>45176</v>
      </c>
      <c r="E59" s="11" t="n">
        <v>45177</v>
      </c>
      <c r="F59" s="5" t="s">
        <v>75</v>
      </c>
      <c r="G59" s="12" t="n">
        <v>354982.622484379</v>
      </c>
      <c r="H59" s="13" t="n">
        <v>2.54</v>
      </c>
      <c r="I59" s="13" t="n">
        <v>2.623</v>
      </c>
      <c r="K59" s="8" t="n">
        <v>37.717372386153</v>
      </c>
      <c r="L59" s="8" t="n">
        <v>-12770.2229215416</v>
      </c>
      <c r="M59" s="8" t="n">
        <f aca="false">M58+L59</f>
        <v>381178.73208027</v>
      </c>
      <c r="N59" s="5" t="str">
        <f aca="false">IF(L59&gt;0,"прибыль",IF(L59&lt;0,"убыток","ноль"))</f>
        <v>убыток</v>
      </c>
      <c r="O59" s="6" t="n">
        <f aca="false">IF(L59&lt;0,O58+1,0)</f>
        <v>2</v>
      </c>
      <c r="P59" s="6" t="n">
        <v>1</v>
      </c>
    </row>
    <row r="60" customFormat="false" ht="15" hidden="false" customHeight="false" outlineLevel="0" collapsed="false">
      <c r="A60" s="6" t="n">
        <v>55</v>
      </c>
      <c r="B60" s="5" t="s">
        <v>72</v>
      </c>
      <c r="C60" s="5" t="s">
        <v>30</v>
      </c>
      <c r="D60" s="11" t="n">
        <v>45177</v>
      </c>
      <c r="E60" s="11" t="n">
        <v>45194</v>
      </c>
      <c r="F60" s="5" t="s">
        <v>73</v>
      </c>
      <c r="G60" s="12" t="n">
        <v>386632.319689526</v>
      </c>
      <c r="H60" s="13" t="n">
        <v>2.623</v>
      </c>
      <c r="I60" s="13" t="n">
        <v>2.655</v>
      </c>
      <c r="K60" s="8" t="n">
        <v>36.4675455884335</v>
      </c>
      <c r="L60" s="8" t="n">
        <v>3450.90384332551</v>
      </c>
      <c r="M60" s="8" t="n">
        <f aca="false">M59+L60</f>
        <v>384629.635923595</v>
      </c>
      <c r="N60" s="5" t="str">
        <f aca="false">IF(L60&gt;0,"прибыль",IF(L60&lt;0,"убыток","ноль"))</f>
        <v>прибыль</v>
      </c>
      <c r="O60" s="6" t="n">
        <f aca="false">IF(L60&lt;0,O59+1,0)</f>
        <v>0</v>
      </c>
      <c r="P60" s="6" t="n">
        <v>11</v>
      </c>
    </row>
    <row r="61" customFormat="false" ht="15" hidden="false" customHeight="false" outlineLevel="0" collapsed="false">
      <c r="A61" s="6" t="n">
        <v>56</v>
      </c>
      <c r="B61" s="5" t="s">
        <v>72</v>
      </c>
      <c r="C61" s="5" t="s">
        <v>30</v>
      </c>
      <c r="D61" s="11" t="n">
        <v>45194</v>
      </c>
      <c r="E61" s="11" t="n">
        <v>45196</v>
      </c>
      <c r="F61" s="5" t="s">
        <v>75</v>
      </c>
      <c r="G61" s="12" t="n">
        <v>339231.22069023</v>
      </c>
      <c r="H61" s="13" t="n">
        <v>2.655</v>
      </c>
      <c r="I61" s="13" t="n">
        <v>2.656</v>
      </c>
      <c r="K61" s="8" t="n">
        <v>33.9750496100094</v>
      </c>
      <c r="L61" s="8" t="n">
        <v>-1285.40034799217</v>
      </c>
      <c r="M61" s="8" t="n">
        <f aca="false">M60+L61</f>
        <v>383344.235575603</v>
      </c>
      <c r="N61" s="5" t="str">
        <f aca="false">IF(L61&gt;0,"прибыль",IF(L61&lt;0,"убыток","ноль"))</f>
        <v>убыток</v>
      </c>
      <c r="O61" s="6" t="n">
        <f aca="false">IF(L61&lt;0,O60+1,0)</f>
        <v>1</v>
      </c>
      <c r="P61" s="6" t="n">
        <v>2</v>
      </c>
    </row>
    <row r="62" customFormat="false" ht="15" hidden="false" customHeight="false" outlineLevel="0" collapsed="false">
      <c r="A62" s="6" t="n">
        <v>57</v>
      </c>
      <c r="B62" s="5" t="s">
        <v>72</v>
      </c>
      <c r="C62" s="5" t="s">
        <v>30</v>
      </c>
      <c r="D62" s="11" t="n">
        <v>45196</v>
      </c>
      <c r="E62" s="11" t="n">
        <v>45231</v>
      </c>
      <c r="F62" s="5" t="s">
        <v>73</v>
      </c>
      <c r="G62" s="12" t="n">
        <v>84034.1650180677</v>
      </c>
      <c r="H62" s="13" t="n">
        <v>2.656</v>
      </c>
      <c r="I62" s="13" t="n">
        <v>3.575</v>
      </c>
      <c r="J62" s="5" t="s">
        <v>74</v>
      </c>
      <c r="K62" s="8" t="n">
        <v>4.87810701985934</v>
      </c>
      <c r="L62" s="8" t="n">
        <v>13523.0972720992</v>
      </c>
      <c r="M62" s="8" t="n">
        <f aca="false">M61+L62</f>
        <v>396867.332847702</v>
      </c>
      <c r="N62" s="5" t="str">
        <f aca="false">IF(L62&gt;0,"прибыль",IF(L62&lt;0,"убыток","ноль"))</f>
        <v>прибыль</v>
      </c>
      <c r="O62" s="6" t="n">
        <f aca="false">IF(L62&lt;0,O61+1,0)</f>
        <v>0</v>
      </c>
      <c r="P62" s="6" t="n">
        <v>25</v>
      </c>
    </row>
    <row r="63" customFormat="false" ht="15" hidden="false" customHeight="false" outlineLevel="0" collapsed="false">
      <c r="A63" s="6" t="n">
        <v>58</v>
      </c>
      <c r="B63" s="5" t="s">
        <v>72</v>
      </c>
      <c r="C63" s="5" t="s">
        <v>30</v>
      </c>
      <c r="D63" s="11" t="n">
        <v>45231</v>
      </c>
      <c r="E63" s="11" t="n">
        <v>45238</v>
      </c>
      <c r="F63" s="5" t="s">
        <v>73</v>
      </c>
      <c r="G63" s="12" t="n">
        <v>254984.181193508</v>
      </c>
      <c r="H63" s="13" t="n">
        <v>3.575</v>
      </c>
      <c r="I63" s="13" t="n">
        <v>3.25</v>
      </c>
      <c r="K63" s="8" t="n">
        <v>29.1716195417204</v>
      </c>
      <c r="L63" s="8" t="n">
        <v>14129.9669026143</v>
      </c>
      <c r="M63" s="8" t="n">
        <f aca="false">M62+L63</f>
        <v>410997.299750316</v>
      </c>
      <c r="N63" s="5" t="str">
        <f aca="false">IF(L63&gt;0,"прибыль",IF(L63&lt;0,"убыток","ноль"))</f>
        <v>прибыль</v>
      </c>
      <c r="O63" s="6" t="n">
        <f aca="false">IF(L63&lt;0,O62+1,0)</f>
        <v>0</v>
      </c>
      <c r="P63" s="6" t="n">
        <v>5</v>
      </c>
    </row>
    <row r="64" customFormat="false" ht="15" hidden="false" customHeight="false" outlineLevel="0" collapsed="false">
      <c r="A64" s="6" t="n">
        <v>59</v>
      </c>
      <c r="B64" s="5" t="s">
        <v>72</v>
      </c>
      <c r="C64" s="5" t="s">
        <v>30</v>
      </c>
      <c r="D64" s="11" t="n">
        <v>45238</v>
      </c>
      <c r="E64" s="11" t="n">
        <v>45239</v>
      </c>
      <c r="F64" s="5" t="s">
        <v>75</v>
      </c>
      <c r="G64" s="12" t="n">
        <v>314289.071118744</v>
      </c>
      <c r="H64" s="13" t="n">
        <v>3.25</v>
      </c>
      <c r="I64" s="13" t="n">
        <v>3.231</v>
      </c>
      <c r="K64" s="8" t="n">
        <v>31.4545141242384</v>
      </c>
      <c r="L64" s="8" t="n">
        <v>709.245147456153</v>
      </c>
      <c r="M64" s="8" t="n">
        <f aca="false">M63+L64</f>
        <v>411706.544897773</v>
      </c>
      <c r="N64" s="5" t="str">
        <f aca="false">IF(L64&gt;0,"прибыль",IF(L64&lt;0,"убыток","ноль"))</f>
        <v>прибыль</v>
      </c>
      <c r="O64" s="6" t="n">
        <f aca="false">IF(L64&lt;0,O63+1,0)</f>
        <v>0</v>
      </c>
      <c r="P64" s="6" t="n">
        <v>1</v>
      </c>
    </row>
    <row r="65" customFormat="false" ht="15" hidden="false" customHeight="false" outlineLevel="0" collapsed="false">
      <c r="A65" s="6" t="n">
        <v>60</v>
      </c>
      <c r="B65" s="5" t="s">
        <v>72</v>
      </c>
      <c r="C65" s="5" t="s">
        <v>30</v>
      </c>
      <c r="D65" s="11" t="n">
        <v>45239</v>
      </c>
      <c r="E65" s="11" t="n">
        <v>45240</v>
      </c>
      <c r="F65" s="5" t="s">
        <v>73</v>
      </c>
      <c r="G65" s="12" t="n">
        <v>315541.911027605</v>
      </c>
      <c r="H65" s="13" t="n">
        <v>3.231</v>
      </c>
      <c r="I65" s="13" t="n">
        <v>3.143</v>
      </c>
      <c r="K65" s="8" t="n">
        <v>30.8223578166306</v>
      </c>
      <c r="L65" s="8" t="n">
        <v>-9702.12079692277</v>
      </c>
      <c r="M65" s="8" t="n">
        <f aca="false">M64+L65</f>
        <v>402004.42410085</v>
      </c>
      <c r="N65" s="5" t="str">
        <f aca="false">IF(L65&gt;0,"прибыль",IF(L65&lt;0,"убыток","ноль"))</f>
        <v>убыток</v>
      </c>
      <c r="O65" s="6" t="n">
        <f aca="false">IF(L65&lt;0,O64+1,0)</f>
        <v>1</v>
      </c>
      <c r="P65" s="6" t="n">
        <v>1</v>
      </c>
    </row>
    <row r="66" customFormat="false" ht="15" hidden="false" customHeight="false" outlineLevel="0" collapsed="false">
      <c r="A66" s="6" t="n">
        <v>61</v>
      </c>
      <c r="B66" s="5" t="s">
        <v>72</v>
      </c>
      <c r="C66" s="5" t="s">
        <v>30</v>
      </c>
      <c r="D66" s="11" t="n">
        <v>45240</v>
      </c>
      <c r="E66" s="11" t="n">
        <v>45243</v>
      </c>
      <c r="F66" s="5" t="s">
        <v>75</v>
      </c>
      <c r="G66" s="12" t="n">
        <v>310576.543744113</v>
      </c>
      <c r="H66" s="13" t="n">
        <v>3.143</v>
      </c>
      <c r="I66" s="13" t="n">
        <v>3.194</v>
      </c>
      <c r="K66" s="8" t="n">
        <v>32.2828243604766</v>
      </c>
      <c r="L66" s="8" t="n">
        <v>-6175.16611367953</v>
      </c>
      <c r="M66" s="8" t="n">
        <f aca="false">M65+L66</f>
        <v>395829.25798717</v>
      </c>
      <c r="N66" s="5" t="str">
        <f aca="false">IF(L66&gt;0,"прибыль",IF(L66&lt;0,"убыток","ноль"))</f>
        <v>убыток</v>
      </c>
      <c r="O66" s="6" t="n">
        <f aca="false">IF(L66&lt;0,O65+1,0)</f>
        <v>2</v>
      </c>
      <c r="P66" s="6" t="n">
        <v>1</v>
      </c>
    </row>
    <row r="67" customFormat="false" ht="15" hidden="false" customHeight="false" outlineLevel="0" collapsed="false">
      <c r="A67" s="6" t="n">
        <v>62</v>
      </c>
      <c r="B67" s="5" t="s">
        <v>72</v>
      </c>
      <c r="C67" s="5" t="s">
        <v>30</v>
      </c>
      <c r="D67" s="11" t="n">
        <v>45243</v>
      </c>
      <c r="E67" s="11" t="n">
        <v>45245</v>
      </c>
      <c r="F67" s="5" t="s">
        <v>73</v>
      </c>
      <c r="G67" s="12" t="n">
        <v>328937.060176101</v>
      </c>
      <c r="H67" s="13" t="n">
        <v>3.194</v>
      </c>
      <c r="I67" s="13" t="n">
        <v>3.153</v>
      </c>
      <c r="K67" s="8" t="n">
        <v>31.129240293397</v>
      </c>
      <c r="L67" s="8" t="n">
        <v>-5405.51659445299</v>
      </c>
      <c r="M67" s="8" t="n">
        <f aca="false">M66+L67</f>
        <v>390423.741392717</v>
      </c>
      <c r="N67" s="5" t="str">
        <f aca="false">IF(L67&gt;0,"прибыль",IF(L67&lt;0,"убыток","ноль"))</f>
        <v>убыток</v>
      </c>
      <c r="O67" s="6" t="n">
        <f aca="false">IF(L67&lt;0,O66+1,0)</f>
        <v>3</v>
      </c>
      <c r="P67" s="6" t="n">
        <v>2</v>
      </c>
    </row>
    <row r="68" customFormat="false" ht="15" hidden="false" customHeight="false" outlineLevel="0" collapsed="false">
      <c r="A68" s="6" t="n">
        <v>63</v>
      </c>
      <c r="B68" s="5" t="s">
        <v>72</v>
      </c>
      <c r="C68" s="5" t="s">
        <v>30</v>
      </c>
      <c r="D68" s="11" t="n">
        <v>45245</v>
      </c>
      <c r="E68" s="11" t="n">
        <v>45246</v>
      </c>
      <c r="F68" s="5" t="s">
        <v>75</v>
      </c>
      <c r="G68" s="12" t="n">
        <v>299022.133045998</v>
      </c>
      <c r="H68" s="13" t="n">
        <v>3.153</v>
      </c>
      <c r="I68" s="13" t="n">
        <v>3.195</v>
      </c>
      <c r="K68" s="8" t="n">
        <v>30.1804283898535</v>
      </c>
      <c r="L68" s="8" t="n">
        <v>-5125.05419361215</v>
      </c>
      <c r="M68" s="8" t="n">
        <f aca="false">M67+L68</f>
        <v>385298.687199105</v>
      </c>
      <c r="N68" s="5" t="str">
        <f aca="false">IF(L68&gt;0,"прибыль",IF(L68&lt;0,"убыток","ноль"))</f>
        <v>убыток</v>
      </c>
      <c r="O68" s="6" t="n">
        <f aca="false">IF(L68&lt;0,O67+1,0)</f>
        <v>4</v>
      </c>
      <c r="P68" s="6" t="n">
        <v>1</v>
      </c>
    </row>
    <row r="69" customFormat="false" ht="15" hidden="false" customHeight="false" outlineLevel="0" collapsed="false">
      <c r="A69" s="6" t="n">
        <v>64</v>
      </c>
      <c r="B69" s="5" t="s">
        <v>72</v>
      </c>
      <c r="C69" s="5" t="s">
        <v>30</v>
      </c>
      <c r="D69" s="11" t="n">
        <v>45246</v>
      </c>
      <c r="E69" s="11" t="n">
        <v>45250</v>
      </c>
      <c r="F69" s="5" t="s">
        <v>73</v>
      </c>
      <c r="G69" s="12" t="n">
        <v>299491.56098585</v>
      </c>
      <c r="H69" s="13" t="n">
        <v>3.195</v>
      </c>
      <c r="I69" s="13" t="n">
        <v>3.02</v>
      </c>
      <c r="K69" s="8" t="n">
        <v>28.9980693010129</v>
      </c>
      <c r="L69" s="8" t="n">
        <v>-17466.7775429968</v>
      </c>
      <c r="M69" s="8" t="n">
        <f aca="false">M68+L69</f>
        <v>367831.909656108</v>
      </c>
      <c r="N69" s="5" t="str">
        <f aca="false">IF(L69&gt;0,"прибыль",IF(L69&lt;0,"убыток","ноль"))</f>
        <v>убыток</v>
      </c>
      <c r="O69" s="6" t="n">
        <f aca="false">IF(L69&lt;0,O68+1,0)</f>
        <v>5</v>
      </c>
      <c r="P69" s="6" t="n">
        <v>2</v>
      </c>
    </row>
    <row r="70" customFormat="false" ht="15" hidden="false" customHeight="false" outlineLevel="0" collapsed="false">
      <c r="A70" s="6" t="n">
        <v>65</v>
      </c>
      <c r="B70" s="5" t="s">
        <v>72</v>
      </c>
      <c r="C70" s="5" t="s">
        <v>30</v>
      </c>
      <c r="D70" s="11" t="n">
        <v>45250</v>
      </c>
      <c r="E70" s="11" t="n">
        <v>45278</v>
      </c>
      <c r="F70" s="5" t="s">
        <v>75</v>
      </c>
      <c r="G70" s="12" t="n">
        <v>132959.865867996</v>
      </c>
      <c r="H70" s="13" t="n">
        <v>3.02</v>
      </c>
      <c r="I70" s="13" t="n">
        <v>2.527</v>
      </c>
      <c r="J70" s="5" t="s">
        <v>74</v>
      </c>
      <c r="K70" s="8" t="n">
        <v>18.8505131707292</v>
      </c>
      <c r="L70" s="8" t="n">
        <v>15635.0301099331</v>
      </c>
      <c r="M70" s="8" t="n">
        <f aca="false">M69+L70</f>
        <v>383466.939766041</v>
      </c>
      <c r="N70" s="5" t="str">
        <f aca="false">IF(L70&gt;0,"прибыль",IF(L70&lt;0,"убыток","ноль"))</f>
        <v>прибыль</v>
      </c>
      <c r="O70" s="6" t="n">
        <f aca="false">IF(L70&lt;0,O69+1,0)</f>
        <v>0</v>
      </c>
      <c r="P70" s="6" t="n">
        <v>20</v>
      </c>
    </row>
    <row r="71" customFormat="false" ht="15" hidden="false" customHeight="false" outlineLevel="0" collapsed="false">
      <c r="A71" s="6" t="n">
        <v>66</v>
      </c>
      <c r="B71" s="5" t="s">
        <v>72</v>
      </c>
      <c r="C71" s="5" t="s">
        <v>30</v>
      </c>
      <c r="D71" s="11" t="n">
        <v>45278</v>
      </c>
      <c r="E71" s="11" t="n">
        <v>45282</v>
      </c>
      <c r="F71" s="5" t="s">
        <v>75</v>
      </c>
      <c r="G71" s="12" t="n">
        <v>99251.3318721012</v>
      </c>
      <c r="H71" s="13" t="n">
        <v>2.527</v>
      </c>
      <c r="I71" s="13" t="n">
        <v>2.579</v>
      </c>
      <c r="K71" s="8" t="n">
        <v>4.46980779448258</v>
      </c>
      <c r="L71" s="8" t="n">
        <v>9850.70617465504</v>
      </c>
      <c r="M71" s="8" t="n">
        <f aca="false">M70+L71</f>
        <v>393317.645940696</v>
      </c>
      <c r="N71" s="5" t="str">
        <f aca="false">IF(L71&gt;0,"прибыль",IF(L71&lt;0,"убыток","ноль"))</f>
        <v>прибыль</v>
      </c>
      <c r="O71" s="6" t="n">
        <f aca="false">IF(L71&lt;0,O70+1,0)</f>
        <v>0</v>
      </c>
      <c r="P71" s="6" t="n">
        <v>4</v>
      </c>
    </row>
    <row r="72" customFormat="false" ht="15" hidden="false" customHeight="false" outlineLevel="0" collapsed="false">
      <c r="A72" s="6" t="n">
        <v>67</v>
      </c>
      <c r="B72" s="5" t="s">
        <v>72</v>
      </c>
      <c r="C72" s="5" t="s">
        <v>30</v>
      </c>
      <c r="D72" s="11" t="n">
        <v>45282</v>
      </c>
      <c r="E72" s="11" t="n">
        <v>45296</v>
      </c>
      <c r="F72" s="5" t="s">
        <v>75</v>
      </c>
      <c r="G72" s="12" t="n">
        <v>82737.9737182976</v>
      </c>
      <c r="H72" s="13" t="n">
        <v>2.579</v>
      </c>
      <c r="I72" s="13" t="n">
        <v>2.805</v>
      </c>
      <c r="J72" s="5" t="s">
        <v>74</v>
      </c>
      <c r="K72" s="8" t="n">
        <v>4.1548985746637</v>
      </c>
      <c r="L72" s="8" t="n">
        <v>-364.152673551164</v>
      </c>
      <c r="M72" s="8" t="n">
        <f aca="false">M71+L72</f>
        <v>392953.493267145</v>
      </c>
      <c r="N72" s="5" t="str">
        <f aca="false">IF(L72&gt;0,"прибыль",IF(L72&lt;0,"убыток","ноль"))</f>
        <v>убыток</v>
      </c>
      <c r="O72" s="6" t="n">
        <f aca="false">IF(L72&lt;0,O71+1,0)</f>
        <v>1</v>
      </c>
      <c r="P72" s="6" t="n">
        <v>8</v>
      </c>
    </row>
    <row r="73" customFormat="false" ht="15" hidden="false" customHeight="false" outlineLevel="0" collapsed="false">
      <c r="A73" s="6" t="n">
        <v>68</v>
      </c>
      <c r="B73" s="5" t="s">
        <v>72</v>
      </c>
      <c r="C73" s="5" t="s">
        <v>30</v>
      </c>
      <c r="D73" s="11" t="n">
        <v>45296</v>
      </c>
      <c r="E73" s="11" t="n">
        <v>45303</v>
      </c>
      <c r="F73" s="5" t="s">
        <v>75</v>
      </c>
      <c r="G73" s="12" t="n">
        <v>242662.711219402</v>
      </c>
      <c r="H73" s="13" t="n">
        <v>2.805</v>
      </c>
      <c r="I73" s="13" t="n">
        <v>3.147</v>
      </c>
      <c r="K73" s="8" t="n">
        <v>27.3499586343556</v>
      </c>
      <c r="L73" s="8" t="n">
        <v>-30756.0731838303</v>
      </c>
      <c r="M73" s="8" t="n">
        <f aca="false">M72+L73</f>
        <v>362197.420083315</v>
      </c>
      <c r="N73" s="5" t="str">
        <f aca="false">IF(L73&gt;0,"прибыль",IF(L73&lt;0,"убыток","ноль"))</f>
        <v>убыток</v>
      </c>
      <c r="O73" s="6" t="n">
        <f aca="false">IF(L73&lt;0,O72+1,0)</f>
        <v>2</v>
      </c>
      <c r="P73" s="6" t="n">
        <v>5</v>
      </c>
    </row>
    <row r="74" customFormat="false" ht="15" hidden="false" customHeight="false" outlineLevel="0" collapsed="false">
      <c r="A74" s="6" t="n">
        <v>69</v>
      </c>
      <c r="B74" s="5" t="s">
        <v>72</v>
      </c>
      <c r="C74" s="5" t="s">
        <v>30</v>
      </c>
      <c r="D74" s="11" t="n">
        <v>45303</v>
      </c>
      <c r="E74" s="11" t="n">
        <v>45308</v>
      </c>
      <c r="F74" s="5" t="s">
        <v>73</v>
      </c>
      <c r="G74" s="12" t="n">
        <v>273607.738242515</v>
      </c>
      <c r="H74" s="13" t="n">
        <v>3.147</v>
      </c>
      <c r="I74" s="13" t="n">
        <v>2.829</v>
      </c>
      <c r="K74" s="8" t="n">
        <v>21.8225479648679</v>
      </c>
      <c r="L74" s="8" t="n">
        <v>-28815.8593764509</v>
      </c>
      <c r="M74" s="8" t="n">
        <f aca="false">M73+L74</f>
        <v>333381.560706864</v>
      </c>
      <c r="N74" s="5" t="str">
        <f aca="false">IF(L74&gt;0,"прибыль",IF(L74&lt;0,"убыток","ноль"))</f>
        <v>убыток</v>
      </c>
      <c r="O74" s="6" t="n">
        <f aca="false">IF(L74&lt;0,O73+1,0)</f>
        <v>3</v>
      </c>
      <c r="P74" s="6" t="n">
        <v>3</v>
      </c>
    </row>
    <row r="75" customFormat="false" ht="15" hidden="false" customHeight="false" outlineLevel="0" collapsed="false">
      <c r="A75" s="6" t="n">
        <v>70</v>
      </c>
      <c r="B75" s="5" t="s">
        <v>78</v>
      </c>
      <c r="C75" s="5" t="s">
        <v>30</v>
      </c>
      <c r="D75" s="11" t="n">
        <v>45308</v>
      </c>
      <c r="E75" s="11" t="n">
        <v>45415</v>
      </c>
      <c r="F75" s="5" t="s">
        <v>75</v>
      </c>
      <c r="G75" s="12" t="n">
        <v>88079.4069846805</v>
      </c>
      <c r="H75" s="13" t="n">
        <v>2.829</v>
      </c>
      <c r="I75" s="13" t="n">
        <v>2.029</v>
      </c>
      <c r="J75" s="5" t="s">
        <v>74</v>
      </c>
      <c r="K75" s="8" t="n">
        <v>14.6085411855524</v>
      </c>
      <c r="L75" s="8" t="n">
        <v>20510.4263727608</v>
      </c>
      <c r="M75" s="8" t="n">
        <f aca="false">M74+L75</f>
        <v>353891.987079625</v>
      </c>
      <c r="N75" s="5" t="str">
        <f aca="false">IF(L75&gt;0,"прибыль",IF(L75&lt;0,"убыток","ноль"))</f>
        <v>прибыль</v>
      </c>
      <c r="O75" s="6" t="n">
        <f aca="false">IF(L75&lt;0,O74+1,0)</f>
        <v>0</v>
      </c>
      <c r="P75" s="6" t="n">
        <v>75</v>
      </c>
    </row>
    <row r="76" customFormat="false" ht="15" hidden="false" customHeight="false" outlineLevel="0" collapsed="false">
      <c r="A76" s="6" t="n">
        <v>71</v>
      </c>
      <c r="B76" s="5" t="s">
        <v>76</v>
      </c>
      <c r="C76" s="5" t="s">
        <v>30</v>
      </c>
      <c r="D76" s="11" t="n">
        <v>45415</v>
      </c>
      <c r="E76" s="11" t="n">
        <v>45432</v>
      </c>
      <c r="F76" s="5" t="s">
        <v>75</v>
      </c>
      <c r="G76" s="12" t="n">
        <v>83954.153899556</v>
      </c>
      <c r="H76" s="13" t="n">
        <v>2.029</v>
      </c>
      <c r="I76" s="13" t="n">
        <v>2.665</v>
      </c>
      <c r="K76" s="8" t="n">
        <v>4.22901779750679</v>
      </c>
      <c r="L76" s="8" t="n">
        <v>-630.431068377291</v>
      </c>
      <c r="M76" s="8" t="n">
        <f aca="false">M75+L76</f>
        <v>353261.556011247</v>
      </c>
      <c r="N76" s="5" t="str">
        <f aca="false">IF(L76&gt;0,"прибыль",IF(L76&lt;0,"убыток","ноль"))</f>
        <v>убыток</v>
      </c>
      <c r="O76" s="6" t="n">
        <f aca="false">IF(L76&lt;0,O75+1,0)</f>
        <v>1</v>
      </c>
      <c r="P76" s="6" t="n">
        <v>10</v>
      </c>
    </row>
    <row r="77" customFormat="false" ht="15" hidden="false" customHeight="false" outlineLevel="0" collapsed="false">
      <c r="A77" s="6" t="n">
        <v>72</v>
      </c>
      <c r="B77" s="5" t="s">
        <v>76</v>
      </c>
      <c r="C77" s="5" t="s">
        <v>30</v>
      </c>
      <c r="D77" s="11" t="n">
        <v>45432</v>
      </c>
      <c r="E77" s="11" t="n">
        <v>45456</v>
      </c>
      <c r="F77" s="5" t="s">
        <v>75</v>
      </c>
      <c r="G77" s="12" t="n">
        <v>244220.148639407</v>
      </c>
      <c r="H77" s="13" t="n">
        <v>2.665</v>
      </c>
      <c r="I77" s="13" t="n">
        <v>3.035</v>
      </c>
      <c r="J77" s="5" t="s">
        <v>74</v>
      </c>
      <c r="K77" s="8" t="n">
        <v>25.1806717534121</v>
      </c>
      <c r="L77" s="8" t="n">
        <v>-28640.6877144302</v>
      </c>
      <c r="M77" s="8" t="n">
        <f aca="false">M76+L77</f>
        <v>324620.868296817</v>
      </c>
      <c r="N77" s="5" t="str">
        <f aca="false">IF(L77&gt;0,"прибыль",IF(L77&lt;0,"убыток","ноль"))</f>
        <v>убыток</v>
      </c>
      <c r="O77" s="6" t="n">
        <f aca="false">IF(L77&lt;0,O76+1,0)</f>
        <v>2</v>
      </c>
      <c r="P77" s="6" t="n">
        <v>17</v>
      </c>
    </row>
    <row r="78" customFormat="false" ht="15" hidden="false" customHeight="false" outlineLevel="0" collapsed="false">
      <c r="A78" s="6" t="n">
        <v>73</v>
      </c>
      <c r="B78" s="5" t="s">
        <v>76</v>
      </c>
      <c r="C78" s="5" t="s">
        <v>30</v>
      </c>
      <c r="D78" s="11" t="n">
        <v>45456</v>
      </c>
      <c r="E78" s="11" t="n">
        <v>45457</v>
      </c>
      <c r="F78" s="5" t="s">
        <v>73</v>
      </c>
      <c r="G78" s="12" t="n">
        <v>230777.779386157</v>
      </c>
      <c r="H78" s="13" t="n">
        <v>3.035</v>
      </c>
      <c r="I78" s="13" t="n">
        <v>2.925</v>
      </c>
      <c r="K78" s="8" t="n">
        <v>21.7398185605171</v>
      </c>
      <c r="L78" s="8" t="n">
        <v>-9423.57157495715</v>
      </c>
      <c r="M78" s="8" t="n">
        <f aca="false">M77+L78</f>
        <v>315197.29672186</v>
      </c>
      <c r="N78" s="5" t="str">
        <f aca="false">IF(L78&gt;0,"прибыль",IF(L78&lt;0,"убыток","ноль"))</f>
        <v>убыток</v>
      </c>
      <c r="O78" s="6" t="n">
        <f aca="false">IF(L78&lt;0,O77+1,0)</f>
        <v>3</v>
      </c>
      <c r="P78" s="6" t="n">
        <v>1</v>
      </c>
    </row>
    <row r="79" customFormat="false" ht="15" hidden="false" customHeight="false" outlineLevel="0" collapsed="false">
      <c r="A79" s="6" t="n">
        <v>74</v>
      </c>
      <c r="B79" s="5" t="s">
        <v>76</v>
      </c>
      <c r="C79" s="5" t="s">
        <v>30</v>
      </c>
      <c r="D79" s="11" t="n">
        <v>45457</v>
      </c>
      <c r="E79" s="11" t="n">
        <v>45463</v>
      </c>
      <c r="F79" s="5" t="s">
        <v>75</v>
      </c>
      <c r="G79" s="12" t="n">
        <v>213420.423580582</v>
      </c>
      <c r="H79" s="13" t="n">
        <v>2.925</v>
      </c>
      <c r="I79" s="13" t="n">
        <v>2.892</v>
      </c>
      <c r="K79" s="8" t="n">
        <v>21.6396430781869</v>
      </c>
      <c r="L79" s="8" t="n">
        <v>1365.42289957022</v>
      </c>
      <c r="M79" s="8" t="n">
        <f aca="false">M78+L79</f>
        <v>316562.71962143</v>
      </c>
      <c r="N79" s="5" t="str">
        <f aca="false">IF(L79&gt;0,"прибыль",IF(L79&lt;0,"убыток","ноль"))</f>
        <v>прибыль</v>
      </c>
      <c r="O79" s="6" t="n">
        <f aca="false">IF(L79&lt;0,O78+1,0)</f>
        <v>0</v>
      </c>
      <c r="P79" s="6" t="n">
        <v>4</v>
      </c>
    </row>
    <row r="80" customFormat="false" ht="15" hidden="false" customHeight="false" outlineLevel="0" collapsed="false">
      <c r="A80" s="6" t="n">
        <v>75</v>
      </c>
      <c r="B80" s="5" t="s">
        <v>76</v>
      </c>
      <c r="C80" s="5" t="s">
        <v>30</v>
      </c>
      <c r="D80" s="11" t="n">
        <v>45463</v>
      </c>
      <c r="E80" s="11" t="n">
        <v>45464</v>
      </c>
      <c r="F80" s="5" t="s">
        <v>73</v>
      </c>
      <c r="G80" s="12" t="n">
        <v>220759.500525805</v>
      </c>
      <c r="H80" s="13" t="n">
        <v>2.892</v>
      </c>
      <c r="I80" s="13" t="n">
        <v>2.735</v>
      </c>
      <c r="K80" s="8" t="n">
        <v>21.2619511689488</v>
      </c>
      <c r="L80" s="8" t="n">
        <v>-12998.5248488378</v>
      </c>
      <c r="M80" s="8" t="n">
        <f aca="false">M79+L80</f>
        <v>303564.194772593</v>
      </c>
      <c r="N80" s="5" t="str">
        <f aca="false">IF(L80&gt;0,"прибыль",IF(L80&lt;0,"убыток","ноль"))</f>
        <v>убыток</v>
      </c>
      <c r="O80" s="6" t="n">
        <f aca="false">IF(L80&lt;0,O79+1,0)</f>
        <v>1</v>
      </c>
      <c r="P80" s="6" t="n">
        <v>1</v>
      </c>
    </row>
    <row r="81" customFormat="false" ht="15" hidden="false" customHeight="false" outlineLevel="0" collapsed="false">
      <c r="A81" s="6" t="n">
        <v>76</v>
      </c>
      <c r="B81" s="5" t="s">
        <v>76</v>
      </c>
      <c r="C81" s="5" t="s">
        <v>30</v>
      </c>
      <c r="D81" s="11" t="n">
        <v>45464</v>
      </c>
      <c r="E81" s="11" t="n">
        <v>45467</v>
      </c>
      <c r="F81" s="5" t="s">
        <v>75</v>
      </c>
      <c r="G81" s="12" t="n">
        <v>217456.785750841</v>
      </c>
      <c r="H81" s="13" t="n">
        <v>2.735</v>
      </c>
      <c r="I81" s="13" t="n">
        <v>2.691</v>
      </c>
      <c r="K81" s="8" t="n">
        <v>21.8648666945271</v>
      </c>
      <c r="L81" s="8" t="n">
        <v>2461.47567748947</v>
      </c>
      <c r="M81" s="8" t="n">
        <f aca="false">M80+L81</f>
        <v>306025.670450082</v>
      </c>
      <c r="N81" s="5" t="str">
        <f aca="false">IF(L81&gt;0,"прибыль",IF(L81&lt;0,"убыток","ноль"))</f>
        <v>прибыль</v>
      </c>
      <c r="O81" s="6" t="n">
        <f aca="false">IF(L81&lt;0,O80+1,0)</f>
        <v>0</v>
      </c>
      <c r="P81" s="6" t="n">
        <v>1</v>
      </c>
    </row>
    <row r="82" customFormat="false" ht="15" hidden="false" customHeight="false" outlineLevel="0" collapsed="false">
      <c r="A82" s="6" t="n">
        <v>77</v>
      </c>
      <c r="B82" s="5" t="s">
        <v>76</v>
      </c>
      <c r="C82" s="5" t="s">
        <v>30</v>
      </c>
      <c r="D82" s="11" t="n">
        <v>45467</v>
      </c>
      <c r="E82" s="11" t="n">
        <v>45468</v>
      </c>
      <c r="F82" s="5" t="s">
        <v>73</v>
      </c>
      <c r="G82" s="12" t="n">
        <v>2.68129821418852E-011</v>
      </c>
      <c r="H82" s="13" t="n">
        <v>2.691</v>
      </c>
      <c r="I82" s="13" t="n">
        <v>2.822</v>
      </c>
      <c r="K82" s="8" t="n">
        <v>1.39948430302397E-015</v>
      </c>
      <c r="L82" s="8" t="n">
        <v>1.17530443429121E-012</v>
      </c>
      <c r="M82" s="8" t="n">
        <f aca="false">M81+L82</f>
        <v>306025.670450082</v>
      </c>
      <c r="N82" s="5" t="str">
        <f aca="false">IF(L82&gt;0,"прибыль",IF(L82&lt;0,"убыток","ноль"))</f>
        <v>прибыль</v>
      </c>
      <c r="O82" s="6" t="n">
        <f aca="false">IF(L82&lt;0,O81+1,0)</f>
        <v>0</v>
      </c>
      <c r="P82" s="6" t="n">
        <v>1</v>
      </c>
    </row>
    <row r="83" customFormat="false" ht="15" hidden="false" customHeight="false" outlineLevel="0" collapsed="false">
      <c r="A83" s="6" t="n">
        <v>78</v>
      </c>
      <c r="B83" s="5" t="s">
        <v>76</v>
      </c>
      <c r="C83" s="5" t="s">
        <v>30</v>
      </c>
      <c r="D83" s="11" t="n">
        <v>45468</v>
      </c>
      <c r="E83" s="11" t="n">
        <v>45476</v>
      </c>
      <c r="F83" s="5" t="s">
        <v>73</v>
      </c>
      <c r="G83" s="12" t="n">
        <v>222323.888683885</v>
      </c>
      <c r="H83" s="13" t="n">
        <v>2.822</v>
      </c>
      <c r="I83" s="13" t="n">
        <v>2.48</v>
      </c>
      <c r="J83" s="5" t="s">
        <v>74</v>
      </c>
      <c r="K83" s="8" t="n">
        <v>22.1986832688215</v>
      </c>
      <c r="L83" s="8" t="n">
        <v>-18822.1388150547</v>
      </c>
      <c r="M83" s="8" t="n">
        <f aca="false">M82+L83</f>
        <v>287203.531635027</v>
      </c>
      <c r="N83" s="5" t="str">
        <f aca="false">IF(L83&gt;0,"прибыль",IF(L83&lt;0,"убыток","ноль"))</f>
        <v>убыток</v>
      </c>
      <c r="O83" s="6" t="n">
        <f aca="false">IF(L83&lt;0,O82+1,0)</f>
        <v>1</v>
      </c>
      <c r="P83" s="6" t="n">
        <v>6</v>
      </c>
    </row>
    <row r="84" customFormat="false" ht="15" hidden="false" customHeight="false" outlineLevel="0" collapsed="false">
      <c r="A84" s="6" t="n">
        <v>79</v>
      </c>
      <c r="B84" s="5" t="s">
        <v>76</v>
      </c>
      <c r="C84" s="5" t="s">
        <v>30</v>
      </c>
      <c r="D84" s="11" t="n">
        <v>45476</v>
      </c>
      <c r="E84" s="11" t="n">
        <v>45524</v>
      </c>
      <c r="F84" s="5" t="s">
        <v>75</v>
      </c>
      <c r="G84" s="12" t="n">
        <v>349633.342567027</v>
      </c>
      <c r="H84" s="13" t="n">
        <v>2.48</v>
      </c>
      <c r="I84" s="13" t="n">
        <v>2.241</v>
      </c>
      <c r="J84" s="5" t="s">
        <v>74</v>
      </c>
      <c r="K84" s="8" t="n">
        <v>37.1573206462087</v>
      </c>
      <c r="L84" s="8" t="n">
        <v>38874.9631372897</v>
      </c>
      <c r="M84" s="8" t="n">
        <f aca="false">M83+L84</f>
        <v>326078.494772317</v>
      </c>
      <c r="N84" s="5" t="str">
        <f aca="false">IF(L84&gt;0,"прибыль",IF(L84&lt;0,"убыток","ноль"))</f>
        <v>прибыль</v>
      </c>
      <c r="O84" s="6" t="n">
        <f aca="false">IF(L84&lt;0,O83+1,0)</f>
        <v>0</v>
      </c>
      <c r="P84" s="6" t="n">
        <v>34</v>
      </c>
    </row>
    <row r="85" customFormat="false" ht="15" hidden="false" customHeight="false" outlineLevel="0" collapsed="false">
      <c r="A85" s="6" t="n">
        <v>80</v>
      </c>
      <c r="B85" s="5" t="s">
        <v>76</v>
      </c>
      <c r="C85" s="5" t="s">
        <v>30</v>
      </c>
      <c r="D85" s="11" t="n">
        <v>45524</v>
      </c>
      <c r="E85" s="11" t="n">
        <v>45525</v>
      </c>
      <c r="F85" s="5" t="s">
        <v>73</v>
      </c>
      <c r="G85" s="12" t="n">
        <v>323241.565072387</v>
      </c>
      <c r="H85" s="13" t="n">
        <v>2.241</v>
      </c>
      <c r="I85" s="13" t="n">
        <v>2.215</v>
      </c>
      <c r="K85" s="8" t="n">
        <v>32.5812953641394</v>
      </c>
      <c r="L85" s="8" t="n">
        <v>-4863.61185361452</v>
      </c>
      <c r="M85" s="8" t="n">
        <f aca="false">M84+L85</f>
        <v>321214.882918703</v>
      </c>
      <c r="N85" s="5" t="str">
        <f aca="false">IF(L85&gt;0,"прибыль",IF(L85&lt;0,"убыток","ноль"))</f>
        <v>убыток</v>
      </c>
      <c r="O85" s="6" t="n">
        <f aca="false">IF(L85&lt;0,O84+1,0)</f>
        <v>1</v>
      </c>
      <c r="P85" s="6" t="n">
        <v>1</v>
      </c>
    </row>
    <row r="86" customFormat="false" ht="15" hidden="false" customHeight="false" outlineLevel="0" collapsed="false">
      <c r="A86" s="6" t="n">
        <v>81</v>
      </c>
      <c r="B86" s="5" t="s">
        <v>76</v>
      </c>
      <c r="C86" s="5" t="s">
        <v>30</v>
      </c>
      <c r="D86" s="11" t="n">
        <v>45525</v>
      </c>
      <c r="E86" s="11" t="n">
        <v>45526</v>
      </c>
      <c r="F86" s="5" t="s">
        <v>75</v>
      </c>
      <c r="G86" s="12" t="n">
        <v>333215.37276865</v>
      </c>
      <c r="H86" s="13" t="n">
        <v>2.215</v>
      </c>
      <c r="I86" s="13" t="n">
        <v>2.185</v>
      </c>
      <c r="K86" s="8" t="n">
        <v>33.2342222353528</v>
      </c>
      <c r="L86" s="8" t="n">
        <v>3380.58741126035</v>
      </c>
      <c r="M86" s="8" t="n">
        <f aca="false">M85+L86</f>
        <v>324595.470329963</v>
      </c>
      <c r="N86" s="5" t="str">
        <f aca="false">IF(L86&gt;0,"прибыль",IF(L86&lt;0,"убыток","ноль"))</f>
        <v>прибыль</v>
      </c>
      <c r="O86" s="6" t="n">
        <f aca="false">IF(L86&lt;0,O85+1,0)</f>
        <v>0</v>
      </c>
      <c r="P86" s="6" t="n">
        <v>1</v>
      </c>
    </row>
    <row r="87" customFormat="false" ht="15" hidden="false" customHeight="false" outlineLevel="0" collapsed="false">
      <c r="A87" s="6" t="n">
        <v>82</v>
      </c>
      <c r="B87" s="5" t="s">
        <v>76</v>
      </c>
      <c r="C87" s="5" t="s">
        <v>30</v>
      </c>
      <c r="D87" s="11" t="n">
        <v>45526</v>
      </c>
      <c r="E87" s="11" t="n">
        <v>45527</v>
      </c>
      <c r="F87" s="5" t="s">
        <v>73</v>
      </c>
      <c r="G87" s="12" t="n">
        <v>334882.893571902</v>
      </c>
      <c r="H87" s="13" t="n">
        <v>2.185</v>
      </c>
      <c r="I87" s="13" t="n">
        <v>2.067</v>
      </c>
      <c r="K87" s="8" t="n">
        <v>31.4736716139998</v>
      </c>
      <c r="L87" s="8" t="n">
        <v>-19199.0664297043</v>
      </c>
      <c r="M87" s="8" t="n">
        <f aca="false">M86+L87</f>
        <v>305396.403900259</v>
      </c>
      <c r="N87" s="5" t="str">
        <f aca="false">IF(L87&gt;0,"прибыль",IF(L87&lt;0,"убыток","ноль"))</f>
        <v>убыток</v>
      </c>
      <c r="O87" s="6" t="n">
        <f aca="false">IF(L87&lt;0,O86+1,0)</f>
        <v>1</v>
      </c>
      <c r="P87" s="6" t="n">
        <v>1</v>
      </c>
    </row>
    <row r="88" customFormat="false" ht="15" hidden="false" customHeight="false" outlineLevel="0" collapsed="false">
      <c r="A88" s="6" t="n">
        <v>83</v>
      </c>
      <c r="B88" s="5" t="s">
        <v>76</v>
      </c>
      <c r="C88" s="5" t="s">
        <v>30</v>
      </c>
      <c r="D88" s="11" t="n">
        <v>45527</v>
      </c>
      <c r="E88" s="11" t="n">
        <v>45559</v>
      </c>
      <c r="F88" s="5" t="s">
        <v>75</v>
      </c>
      <c r="G88" s="12" t="n">
        <v>73011.1639220737</v>
      </c>
      <c r="H88" s="13" t="n">
        <v>2.067</v>
      </c>
      <c r="I88" s="13" t="n">
        <v>2.646</v>
      </c>
      <c r="J88" s="5" t="s">
        <v>74</v>
      </c>
      <c r="K88" s="8" t="n">
        <v>4.17504309288929</v>
      </c>
      <c r="L88" s="8" t="n">
        <v>-10493.8729788051</v>
      </c>
      <c r="M88" s="8" t="n">
        <f aca="false">M87+L88</f>
        <v>294902.530921454</v>
      </c>
      <c r="N88" s="5" t="str">
        <f aca="false">IF(L88&gt;0,"прибыль",IF(L88&lt;0,"убыток","ноль"))</f>
        <v>убыток</v>
      </c>
      <c r="O88" s="6" t="n">
        <f aca="false">IF(L88&lt;0,O87+1,0)</f>
        <v>2</v>
      </c>
      <c r="P88" s="6" t="n">
        <v>22</v>
      </c>
    </row>
    <row r="89" customFormat="false" ht="15" hidden="false" customHeight="false" outlineLevel="0" collapsed="false">
      <c r="A89" s="6" t="n">
        <v>84</v>
      </c>
      <c r="B89" s="5" t="s">
        <v>76</v>
      </c>
      <c r="C89" s="5" t="s">
        <v>30</v>
      </c>
      <c r="D89" s="11" t="n">
        <v>45559</v>
      </c>
      <c r="E89" s="11" t="n">
        <v>45608</v>
      </c>
      <c r="F89" s="5" t="s">
        <v>75</v>
      </c>
      <c r="G89" s="12" t="n">
        <v>60938.8791347466</v>
      </c>
      <c r="H89" s="13" t="n">
        <v>2.646</v>
      </c>
      <c r="I89" s="13" t="n">
        <v>2.955</v>
      </c>
      <c r="J89" s="5" t="s">
        <v>74</v>
      </c>
      <c r="K89" s="8" t="n">
        <v>5.52531609309865</v>
      </c>
      <c r="L89" s="8" t="n">
        <v>898.882316357438</v>
      </c>
      <c r="M89" s="8" t="n">
        <f aca="false">M88+L89</f>
        <v>295801.413237811</v>
      </c>
      <c r="N89" s="5" t="str">
        <f aca="false">IF(L89&gt;0,"прибыль",IF(L89&lt;0,"убыток","ноль"))</f>
        <v>прибыль</v>
      </c>
      <c r="O89" s="6" t="n">
        <f aca="false">IF(L89&lt;0,O88+1,0)</f>
        <v>0</v>
      </c>
      <c r="P89" s="6" t="n">
        <v>35</v>
      </c>
    </row>
    <row r="90" customFormat="false" ht="15" hidden="false" customHeight="false" outlineLevel="0" collapsed="false">
      <c r="A90" s="6" t="n">
        <v>85</v>
      </c>
      <c r="B90" s="5" t="s">
        <v>76</v>
      </c>
      <c r="C90" s="5" t="s">
        <v>30</v>
      </c>
      <c r="D90" s="11" t="n">
        <v>45608</v>
      </c>
      <c r="E90" s="11" t="n">
        <v>45617</v>
      </c>
      <c r="F90" s="5" t="s">
        <v>75</v>
      </c>
      <c r="G90" s="12" t="n">
        <v>230279.93876904</v>
      </c>
      <c r="H90" s="13" t="n">
        <v>2.955</v>
      </c>
      <c r="I90" s="13" t="n">
        <v>3.313</v>
      </c>
      <c r="K90" s="8" t="n">
        <v>23.1516715640346</v>
      </c>
      <c r="L90" s="8" t="n">
        <v>-24153.4547360402</v>
      </c>
      <c r="M90" s="8" t="n">
        <f aca="false">M89+L90</f>
        <v>271647.958501771</v>
      </c>
      <c r="N90" s="5" t="str">
        <f aca="false">IF(L90&gt;0,"прибыль",IF(L90&lt;0,"убыток","ноль"))</f>
        <v>убыток</v>
      </c>
      <c r="O90" s="6" t="n">
        <f aca="false">IF(L90&lt;0,O89+1,0)</f>
        <v>1</v>
      </c>
      <c r="P90" s="6" t="n">
        <v>7</v>
      </c>
    </row>
    <row r="91" customFormat="false" ht="15" hidden="false" customHeight="false" outlineLevel="0" collapsed="false">
      <c r="A91" s="6" t="n">
        <v>86</v>
      </c>
      <c r="B91" s="5" t="s">
        <v>76</v>
      </c>
      <c r="C91" s="5" t="s">
        <v>30</v>
      </c>
      <c r="D91" s="11" t="n">
        <v>45617</v>
      </c>
      <c r="E91" s="11" t="n">
        <v>45621</v>
      </c>
      <c r="F91" s="5" t="s">
        <v>73</v>
      </c>
      <c r="G91" s="12" t="n">
        <v>208623.189447175</v>
      </c>
      <c r="H91" s="13" t="n">
        <v>3.313</v>
      </c>
      <c r="I91" s="13" t="n">
        <v>3.37</v>
      </c>
      <c r="K91" s="8" t="n">
        <v>20.8304772532443</v>
      </c>
      <c r="L91" s="8" t="n">
        <v>2451.43742668588</v>
      </c>
      <c r="M91" s="8" t="n">
        <f aca="false">M90+L91</f>
        <v>274099.395928457</v>
      </c>
      <c r="N91" s="5" t="str">
        <f aca="false">IF(L91&gt;0,"прибыль",IF(L91&lt;0,"убыток","ноль"))</f>
        <v>прибыль</v>
      </c>
      <c r="O91" s="6" t="n">
        <f aca="false">IF(L91&lt;0,O90+1,0)</f>
        <v>0</v>
      </c>
      <c r="P91" s="6" t="n">
        <v>2</v>
      </c>
    </row>
    <row r="92" customFormat="false" ht="15" hidden="false" customHeight="false" outlineLevel="0" collapsed="false">
      <c r="A92" s="6" t="n">
        <v>87</v>
      </c>
      <c r="B92" s="5" t="s">
        <v>76</v>
      </c>
      <c r="C92" s="5" t="s">
        <v>30</v>
      </c>
      <c r="D92" s="11" t="n">
        <v>45621</v>
      </c>
      <c r="E92" s="11" t="n">
        <v>45623</v>
      </c>
      <c r="F92" s="5" t="s">
        <v>75</v>
      </c>
      <c r="G92" s="12" t="n">
        <v>205514.087713772</v>
      </c>
      <c r="H92" s="13" t="n">
        <v>3.37</v>
      </c>
      <c r="I92" s="13" t="n">
        <v>3.365</v>
      </c>
      <c r="J92" s="5" t="s">
        <v>74</v>
      </c>
      <c r="K92" s="8" t="n">
        <v>20.3091465762409</v>
      </c>
      <c r="L92" s="8" t="n">
        <v>-1113.1552674487</v>
      </c>
      <c r="M92" s="8" t="n">
        <f aca="false">M91+L92</f>
        <v>272986.240661008</v>
      </c>
      <c r="N92" s="5" t="str">
        <f aca="false">IF(L92&gt;0,"прибыль",IF(L92&lt;0,"убыток","ноль"))</f>
        <v>убыток</v>
      </c>
      <c r="O92" s="6" t="n">
        <f aca="false">IF(L92&lt;0,O91+1,0)</f>
        <v>1</v>
      </c>
      <c r="P92" s="6" t="n">
        <v>2</v>
      </c>
    </row>
    <row r="93" customFormat="false" ht="15" hidden="false" customHeight="false" outlineLevel="0" collapsed="false">
      <c r="A93" s="6" t="n">
        <v>88</v>
      </c>
      <c r="B93" s="5" t="s">
        <v>76</v>
      </c>
      <c r="C93" s="5" t="s">
        <v>30</v>
      </c>
      <c r="D93" s="11" t="n">
        <v>45623</v>
      </c>
      <c r="E93" s="11" t="n">
        <v>45624</v>
      </c>
      <c r="F93" s="5" t="s">
        <v>73</v>
      </c>
      <c r="G93" s="12" t="n">
        <v>199575.997690174</v>
      </c>
      <c r="H93" s="13" t="n">
        <v>3.365</v>
      </c>
      <c r="I93" s="13" t="n">
        <v>3.224</v>
      </c>
      <c r="K93" s="8" t="n">
        <v>19.210829393849</v>
      </c>
      <c r="L93" s="8" t="n">
        <v>-9388.5407751013</v>
      </c>
      <c r="M93" s="8" t="n">
        <f aca="false">M92+L93</f>
        <v>263597.699885907</v>
      </c>
      <c r="N93" s="5" t="str">
        <f aca="false">IF(L93&gt;0,"прибыль",IF(L93&lt;0,"убыток","ноль"))</f>
        <v>убыток</v>
      </c>
      <c r="O93" s="6" t="n">
        <f aca="false">IF(L93&lt;0,O92+1,0)</f>
        <v>2</v>
      </c>
      <c r="P93" s="6" t="n">
        <v>1</v>
      </c>
    </row>
    <row r="94" customFormat="false" ht="15" hidden="false" customHeight="false" outlineLevel="0" collapsed="false">
      <c r="A94" s="6" t="n">
        <v>89</v>
      </c>
      <c r="B94" s="5" t="s">
        <v>76</v>
      </c>
      <c r="C94" s="5" t="s">
        <v>30</v>
      </c>
      <c r="D94" s="11" t="n">
        <v>45624</v>
      </c>
      <c r="E94" s="11" t="n">
        <v>45625</v>
      </c>
      <c r="F94" s="5" t="s">
        <v>75</v>
      </c>
      <c r="G94" s="12" t="n">
        <v>194009.920132514</v>
      </c>
      <c r="H94" s="13" t="n">
        <v>3.224</v>
      </c>
      <c r="I94" s="13" t="n">
        <v>3.321</v>
      </c>
      <c r="K94" s="8" t="n">
        <v>20.0145698318662</v>
      </c>
      <c r="L94" s="8" t="n">
        <v>-6918.29190484705</v>
      </c>
      <c r="M94" s="8" t="n">
        <f aca="false">M93+L94</f>
        <v>256679.40798106</v>
      </c>
      <c r="N94" s="5" t="str">
        <f aca="false">IF(L94&gt;0,"прибыль",IF(L94&lt;0,"убыток","ноль"))</f>
        <v>убыток</v>
      </c>
      <c r="O94" s="6" t="n">
        <f aca="false">IF(L94&lt;0,O93+1,0)</f>
        <v>3</v>
      </c>
      <c r="P94" s="6" t="n">
        <v>1</v>
      </c>
    </row>
    <row r="95" customFormat="false" ht="15" hidden="false" customHeight="false" outlineLevel="0" collapsed="false">
      <c r="A95" s="6" t="n">
        <v>90</v>
      </c>
      <c r="B95" s="5" t="s">
        <v>76</v>
      </c>
      <c r="C95" s="5" t="s">
        <v>30</v>
      </c>
      <c r="D95" s="11" t="n">
        <v>45625</v>
      </c>
      <c r="E95" s="11" t="n">
        <v>45628</v>
      </c>
      <c r="F95" s="5" t="s">
        <v>73</v>
      </c>
      <c r="G95" s="12" t="n">
        <v>4.32787583739801E-011</v>
      </c>
      <c r="H95" s="13" t="n">
        <v>3.321</v>
      </c>
      <c r="I95" s="13" t="n">
        <v>3.185</v>
      </c>
      <c r="K95" s="8" t="n">
        <v>2.06451635450199E-015</v>
      </c>
      <c r="L95" s="8" t="n">
        <v>-1.99049580029486E-012</v>
      </c>
      <c r="M95" s="8" t="n">
        <f aca="false">M94+L95</f>
        <v>256679.40798106</v>
      </c>
      <c r="N95" s="5" t="str">
        <f aca="false">IF(L95&gt;0,"прибыль",IF(L95&lt;0,"убыток","ноль"))</f>
        <v>убыток</v>
      </c>
      <c r="O95" s="6" t="n">
        <f aca="false">IF(L95&lt;0,O94+1,0)</f>
        <v>4</v>
      </c>
      <c r="P95" s="6" t="n">
        <v>1</v>
      </c>
    </row>
    <row r="96" customFormat="false" ht="15" hidden="false" customHeight="false" outlineLevel="0" collapsed="false">
      <c r="A96" s="6" t="n">
        <v>91</v>
      </c>
      <c r="B96" s="5" t="s">
        <v>76</v>
      </c>
      <c r="C96" s="5" t="s">
        <v>30</v>
      </c>
      <c r="D96" s="11" t="n">
        <v>45628</v>
      </c>
      <c r="E96" s="11" t="n">
        <v>45630</v>
      </c>
      <c r="F96" s="5" t="s">
        <v>73</v>
      </c>
      <c r="G96" s="12" t="n">
        <v>199383.199169794</v>
      </c>
      <c r="H96" s="13" t="n">
        <v>3.185</v>
      </c>
      <c r="I96" s="13" t="n">
        <v>3.054</v>
      </c>
      <c r="K96" s="8" t="n">
        <v>18.2742461623419</v>
      </c>
      <c r="L96" s="8" t="n">
        <v>-17038.7519045819</v>
      </c>
      <c r="M96" s="8" t="n">
        <f aca="false">M95+L96</f>
        <v>239640.656076478</v>
      </c>
      <c r="N96" s="5" t="str">
        <f aca="false">IF(L96&gt;0,"прибыль",IF(L96&lt;0,"убыток","ноль"))</f>
        <v>убыток</v>
      </c>
      <c r="O96" s="6" t="n">
        <f aca="false">IF(L96&lt;0,O95+1,0)</f>
        <v>5</v>
      </c>
      <c r="P96" s="6" t="n">
        <v>2</v>
      </c>
    </row>
    <row r="97" customFormat="false" ht="15" hidden="false" customHeight="false" outlineLevel="0" collapsed="false">
      <c r="A97" s="6" t="n">
        <v>92</v>
      </c>
      <c r="B97" s="5" t="s">
        <v>76</v>
      </c>
      <c r="C97" s="5" t="s">
        <v>30</v>
      </c>
      <c r="D97" s="11" t="n">
        <v>45630</v>
      </c>
      <c r="E97" s="11" t="n">
        <v>45631</v>
      </c>
      <c r="F97" s="5" t="s">
        <v>75</v>
      </c>
      <c r="G97" s="12" t="n">
        <v>183122.201735463</v>
      </c>
      <c r="H97" s="13" t="n">
        <v>3.054</v>
      </c>
      <c r="I97" s="13" t="n">
        <v>3.086</v>
      </c>
      <c r="K97" s="8" t="n">
        <v>18.6216190837701</v>
      </c>
      <c r="L97" s="8" t="n">
        <v>-2972.46964681511</v>
      </c>
      <c r="M97" s="8" t="n">
        <f aca="false">M96+L97</f>
        <v>236668.186429663</v>
      </c>
      <c r="N97" s="5" t="str">
        <f aca="false">IF(L97&gt;0,"прибыль",IF(L97&lt;0,"убыток","ноль"))</f>
        <v>убыток</v>
      </c>
      <c r="O97" s="6" t="n">
        <f aca="false">IF(L97&lt;0,O96+1,0)</f>
        <v>6</v>
      </c>
      <c r="P97" s="6" t="n">
        <v>1</v>
      </c>
    </row>
    <row r="98" customFormat="false" ht="15" hidden="false" customHeight="false" outlineLevel="0" collapsed="false">
      <c r="A98" s="6" t="n">
        <v>93</v>
      </c>
      <c r="B98" s="5" t="s">
        <v>76</v>
      </c>
      <c r="C98" s="5" t="s">
        <v>30</v>
      </c>
      <c r="D98" s="11" t="n">
        <v>45631</v>
      </c>
      <c r="E98" s="11" t="n">
        <v>45660</v>
      </c>
      <c r="F98" s="5" t="s">
        <v>73</v>
      </c>
      <c r="G98" s="12" t="n">
        <v>40286.6093026817</v>
      </c>
      <c r="H98" s="13" t="n">
        <v>3.086</v>
      </c>
      <c r="I98" s="13" t="n">
        <v>3.666</v>
      </c>
      <c r="J98" s="5" t="s">
        <v>74</v>
      </c>
      <c r="K98" s="8" t="n">
        <v>2.60446598035865</v>
      </c>
      <c r="L98" s="8" t="n">
        <v>11800.105838511</v>
      </c>
      <c r="M98" s="8" t="n">
        <f aca="false">M97+L98</f>
        <v>248468.292268174</v>
      </c>
      <c r="N98" s="5" t="str">
        <f aca="false">IF(L98&gt;0,"прибыль",IF(L98&lt;0,"убыток","ноль"))</f>
        <v>прибыль</v>
      </c>
      <c r="O98" s="6" t="n">
        <f aca="false">IF(L98&lt;0,O97+1,0)</f>
        <v>0</v>
      </c>
      <c r="P98" s="6" t="n">
        <v>19</v>
      </c>
    </row>
    <row r="99" customFormat="false" ht="15" hidden="false" customHeight="false" outlineLevel="0" collapsed="false">
      <c r="A99" s="6" t="n">
        <v>94</v>
      </c>
      <c r="B99" s="5" t="s">
        <v>76</v>
      </c>
      <c r="C99" s="5" t="s">
        <v>30</v>
      </c>
      <c r="D99" s="11" t="n">
        <v>45660</v>
      </c>
      <c r="E99" s="11" t="n">
        <v>45665</v>
      </c>
      <c r="F99" s="5" t="s">
        <v>73</v>
      </c>
      <c r="G99" s="12" t="n">
        <v>30322.9177464067</v>
      </c>
      <c r="H99" s="13" t="n">
        <v>3.666</v>
      </c>
      <c r="I99" s="13" t="n">
        <v>3.61</v>
      </c>
      <c r="K99" s="8" t="n">
        <v>1.92892900092319</v>
      </c>
      <c r="L99" s="8" t="n">
        <v>8253.73334305625</v>
      </c>
      <c r="M99" s="8" t="n">
        <f aca="false">M98+L99</f>
        <v>256722.02561123</v>
      </c>
      <c r="N99" s="5" t="str">
        <f aca="false">IF(L99&gt;0,"прибыль",IF(L99&lt;0,"убыток","ноль"))</f>
        <v>прибыль</v>
      </c>
      <c r="O99" s="6" t="n">
        <f aca="false">IF(L99&lt;0,O98+1,0)</f>
        <v>0</v>
      </c>
      <c r="P99" s="6" t="n">
        <v>2</v>
      </c>
    </row>
    <row r="100" customFormat="false" ht="15" hidden="false" customHeight="false" outlineLevel="0" collapsed="false">
      <c r="A100" s="6" t="n">
        <v>95</v>
      </c>
      <c r="B100" s="5" t="s">
        <v>76</v>
      </c>
      <c r="C100" s="5" t="s">
        <v>30</v>
      </c>
      <c r="D100" s="11" t="n">
        <v>45665</v>
      </c>
      <c r="E100" s="11" t="n">
        <v>45708</v>
      </c>
      <c r="F100" s="5" t="s">
        <v>73</v>
      </c>
      <c r="G100" s="12" t="n">
        <v>29690.660568021</v>
      </c>
      <c r="H100" s="13" t="n">
        <v>3.61</v>
      </c>
      <c r="I100" s="13" t="n">
        <v>4.364</v>
      </c>
      <c r="J100" s="5" t="s">
        <v>74</v>
      </c>
      <c r="K100" s="8" t="n">
        <v>3.93271771870167</v>
      </c>
      <c r="L100" s="8" t="n">
        <v>17371.4732963569</v>
      </c>
      <c r="M100" s="8" t="n">
        <f aca="false">M99+L100</f>
        <v>274093.498907587</v>
      </c>
      <c r="N100" s="5" t="str">
        <f aca="false">IF(L100&gt;0,"прибыль",IF(L100&lt;0,"убыток","ноль"))</f>
        <v>прибыль</v>
      </c>
      <c r="O100" s="6" t="n">
        <f aca="false">IF(L100&lt;0,O99+1,0)</f>
        <v>0</v>
      </c>
      <c r="P100" s="6" t="n">
        <v>31</v>
      </c>
    </row>
    <row r="101" customFormat="false" ht="15" hidden="false" customHeight="false" outlineLevel="0" collapsed="false">
      <c r="A101" s="6" t="n">
        <v>96</v>
      </c>
      <c r="B101" s="5" t="s">
        <v>76</v>
      </c>
      <c r="C101" s="5" t="s">
        <v>30</v>
      </c>
      <c r="D101" s="11" t="n">
        <v>45708</v>
      </c>
      <c r="E101" s="11" t="n">
        <v>45777</v>
      </c>
      <c r="F101" s="5" t="s">
        <v>73</v>
      </c>
      <c r="G101" s="12" t="n">
        <v>254025.984961869</v>
      </c>
      <c r="H101" s="13" t="n">
        <v>4.364</v>
      </c>
      <c r="I101" s="13" t="n">
        <v>3.375</v>
      </c>
      <c r="J101" s="5" t="s">
        <v>74</v>
      </c>
      <c r="K101" s="8" t="n">
        <v>32.1702215683268</v>
      </c>
      <c r="L101" s="8" t="n">
        <v>-14110.4925069971</v>
      </c>
      <c r="M101" s="8" t="n">
        <f aca="false">M100+L101</f>
        <v>259983.00640059</v>
      </c>
      <c r="N101" s="5" t="str">
        <f aca="false">IF(L101&gt;0,"прибыль",IF(L101&lt;0,"убыток","ноль"))</f>
        <v>убыток</v>
      </c>
      <c r="O101" s="6" t="n">
        <f aca="false">IF(L101&lt;0,O100+1,0)</f>
        <v>1</v>
      </c>
      <c r="P101" s="6" t="n">
        <v>49</v>
      </c>
    </row>
    <row r="102" customFormat="false" ht="15" hidden="false" customHeight="false" outlineLevel="0" collapsed="false">
      <c r="A102" s="6" t="n">
        <v>97</v>
      </c>
      <c r="B102" s="5" t="s">
        <v>76</v>
      </c>
      <c r="C102" s="5" t="s">
        <v>30</v>
      </c>
      <c r="D102" s="11" t="n">
        <v>45777</v>
      </c>
      <c r="E102" s="11" t="n">
        <v>45779</v>
      </c>
      <c r="F102" s="5" t="s">
        <v>75</v>
      </c>
      <c r="G102" s="12" t="n">
        <v>4.68519782665271E-011</v>
      </c>
      <c r="H102" s="13" t="n">
        <v>3.375</v>
      </c>
      <c r="I102" s="13" t="n">
        <v>3.43</v>
      </c>
      <c r="K102" s="8" t="n">
        <v>2.39033568947739E-015</v>
      </c>
      <c r="L102" s="8" t="n">
        <v>-9.57125858710202E-013</v>
      </c>
      <c r="M102" s="8" t="n">
        <f aca="false">M101+L102</f>
        <v>259983.00640059</v>
      </c>
      <c r="N102" s="5" t="str">
        <f aca="false">IF(L102&gt;0,"прибыль",IF(L102&lt;0,"убыток","ноль"))</f>
        <v>убыток</v>
      </c>
      <c r="O102" s="6" t="n">
        <f aca="false">IF(L102&lt;0,O101+1,0)</f>
        <v>2</v>
      </c>
      <c r="P102" s="6" t="n">
        <v>1</v>
      </c>
    </row>
    <row r="103" customFormat="false" ht="15" hidden="false" customHeight="false" outlineLevel="0" collapsed="false">
      <c r="A103" s="6" t="n">
        <v>98</v>
      </c>
      <c r="B103" s="5" t="s">
        <v>76</v>
      </c>
      <c r="C103" s="5" t="s">
        <v>30</v>
      </c>
      <c r="D103" s="11" t="n">
        <v>45779</v>
      </c>
      <c r="E103" s="11" t="n">
        <v>45782</v>
      </c>
      <c r="F103" s="5" t="s">
        <v>75</v>
      </c>
      <c r="G103" s="12" t="n">
        <v>267075.215815262</v>
      </c>
      <c r="H103" s="13" t="n">
        <v>3.43</v>
      </c>
      <c r="I103" s="13" t="n">
        <v>3.662</v>
      </c>
      <c r="K103" s="8" t="n">
        <v>26.3394244627744</v>
      </c>
      <c r="L103" s="8" t="n">
        <v>-23980.2786924189</v>
      </c>
      <c r="M103" s="8" t="n">
        <f aca="false">M102+L103</f>
        <v>236002.727708171</v>
      </c>
      <c r="N103" s="5" t="str">
        <f aca="false">IF(L103&gt;0,"прибыль",IF(L103&lt;0,"убыток","ноль"))</f>
        <v>убыток</v>
      </c>
      <c r="O103" s="6" t="n">
        <f aca="false">IF(L103&lt;0,O102+1,0)</f>
        <v>3</v>
      </c>
      <c r="P103" s="6" t="n">
        <v>1</v>
      </c>
    </row>
    <row r="104" customFormat="false" ht="15" hidden="false" customHeight="false" outlineLevel="0" collapsed="false">
      <c r="A104" s="6" t="n">
        <v>99</v>
      </c>
      <c r="B104" s="5" t="s">
        <v>76</v>
      </c>
      <c r="C104" s="5" t="s">
        <v>30</v>
      </c>
      <c r="D104" s="11" t="n">
        <v>45782</v>
      </c>
      <c r="E104" s="11" t="n">
        <v>45783</v>
      </c>
      <c r="F104" s="5" t="s">
        <v>73</v>
      </c>
      <c r="G104" s="12" t="n">
        <v>235759.33417227</v>
      </c>
      <c r="H104" s="13" t="n">
        <v>3.662</v>
      </c>
      <c r="I104" s="13" t="n">
        <v>3.612</v>
      </c>
      <c r="K104" s="8" t="n">
        <v>24.1919099428791</v>
      </c>
      <c r="L104" s="8" t="n">
        <v>-4263.44064390192</v>
      </c>
      <c r="M104" s="8" t="n">
        <f aca="false">M103+L104</f>
        <v>231739.287064269</v>
      </c>
      <c r="N104" s="5" t="str">
        <f aca="false">IF(L104&gt;0,"прибыль",IF(L104&lt;0,"убыток","ноль"))</f>
        <v>убыток</v>
      </c>
      <c r="O104" s="6" t="n">
        <f aca="false">IF(L104&lt;0,O103+1,0)</f>
        <v>4</v>
      </c>
      <c r="P104" s="6" t="n">
        <v>1</v>
      </c>
    </row>
    <row r="105" customFormat="false" ht="15" hidden="false" customHeight="false" outlineLevel="0" collapsed="false">
      <c r="A105" s="6" t="n">
        <v>100</v>
      </c>
      <c r="B105" s="5" t="s">
        <v>76</v>
      </c>
      <c r="C105" s="5" t="s">
        <v>30</v>
      </c>
      <c r="D105" s="11" t="n">
        <v>45783</v>
      </c>
      <c r="E105" s="11" t="n">
        <v>45785</v>
      </c>
      <c r="F105" s="5" t="s">
        <v>75</v>
      </c>
      <c r="G105" s="12" t="n">
        <v>252318.113419272</v>
      </c>
      <c r="H105" s="13" t="n">
        <v>3.612</v>
      </c>
      <c r="I105" s="13" t="n">
        <v>3.633</v>
      </c>
      <c r="K105" s="8" t="n">
        <v>25.4074980813866</v>
      </c>
      <c r="L105" s="8" t="n">
        <v>-2573.72893804714</v>
      </c>
      <c r="M105" s="8" t="n">
        <f aca="false">M104+L105</f>
        <v>229165.558126222</v>
      </c>
      <c r="N105" s="5" t="str">
        <f aca="false">IF(L105&gt;0,"прибыль",IF(L105&lt;0,"убыток","ноль"))</f>
        <v>убыток</v>
      </c>
      <c r="O105" s="6" t="n">
        <f aca="false">IF(L105&lt;0,O104+1,0)</f>
        <v>5</v>
      </c>
      <c r="P105" s="6" t="n">
        <v>2</v>
      </c>
    </row>
    <row r="106" customFormat="false" ht="15" hidden="false" customHeight="false" outlineLevel="0" collapsed="false">
      <c r="A106" s="6" t="n">
        <v>101</v>
      </c>
      <c r="B106" s="5" t="s">
        <v>76</v>
      </c>
      <c r="C106" s="5" t="s">
        <v>30</v>
      </c>
      <c r="D106" s="11" t="n">
        <v>45785</v>
      </c>
      <c r="E106" s="11" t="n">
        <v>45791</v>
      </c>
      <c r="F106" s="5" t="s">
        <v>73</v>
      </c>
      <c r="G106" s="12" t="n">
        <v>312160.93454155</v>
      </c>
      <c r="H106" s="13" t="n">
        <v>3.633</v>
      </c>
      <c r="I106" s="13" t="n">
        <v>3.601</v>
      </c>
      <c r="K106" s="8" t="n">
        <v>33.9053786588833</v>
      </c>
      <c r="L106" s="8" t="n">
        <v>-4920.31996969586</v>
      </c>
      <c r="M106" s="8" t="n">
        <f aca="false">M105+L106</f>
        <v>224245.238156526</v>
      </c>
      <c r="N106" s="5" t="str">
        <f aca="false">IF(L106&gt;0,"прибыль",IF(L106&lt;0,"убыток","ноль"))</f>
        <v>убыток</v>
      </c>
      <c r="O106" s="6" t="n">
        <f aca="false">IF(L106&lt;0,O105+1,0)</f>
        <v>6</v>
      </c>
      <c r="P106" s="6" t="n">
        <v>3</v>
      </c>
    </row>
    <row r="107" customFormat="false" ht="15" hidden="false" customHeight="false" outlineLevel="0" collapsed="false">
      <c r="A107" s="6" t="n">
        <v>102</v>
      </c>
      <c r="B107" s="5" t="s">
        <v>76</v>
      </c>
      <c r="C107" s="5" t="s">
        <v>30</v>
      </c>
      <c r="D107" s="11" t="n">
        <v>45791</v>
      </c>
      <c r="E107" s="11" t="n">
        <v>45792</v>
      </c>
      <c r="F107" s="5" t="s">
        <v>75</v>
      </c>
      <c r="G107" s="12" t="n">
        <v>311955.645454097</v>
      </c>
      <c r="H107" s="13" t="n">
        <v>3.601</v>
      </c>
      <c r="I107" s="13" t="n">
        <v>3.465</v>
      </c>
      <c r="K107" s="8" t="n">
        <v>31.0425584044201</v>
      </c>
      <c r="L107" s="8" t="n">
        <v>10697.5039446396</v>
      </c>
      <c r="M107" s="8" t="n">
        <f aca="false">M106+L107</f>
        <v>234942.742101166</v>
      </c>
      <c r="N107" s="5" t="str">
        <f aca="false">IF(L107&gt;0,"прибыль",IF(L107&lt;0,"убыток","ноль"))</f>
        <v>прибыль</v>
      </c>
      <c r="O107" s="6" t="n">
        <f aca="false">IF(L107&lt;0,O106+1,0)</f>
        <v>0</v>
      </c>
      <c r="P107" s="6" t="n">
        <v>1</v>
      </c>
    </row>
    <row r="108" customFormat="false" ht="15" hidden="false" customHeight="false" outlineLevel="0" collapsed="false">
      <c r="A108" s="6" t="n">
        <v>103</v>
      </c>
      <c r="B108" s="5" t="s">
        <v>76</v>
      </c>
      <c r="C108" s="5" t="s">
        <v>30</v>
      </c>
      <c r="D108" s="11" t="n">
        <v>45792</v>
      </c>
      <c r="E108" s="11" t="n">
        <v>45793</v>
      </c>
      <c r="F108" s="5" t="s">
        <v>73</v>
      </c>
      <c r="G108" s="12" t="n">
        <v>319624.069137349</v>
      </c>
      <c r="H108" s="13" t="n">
        <v>3.465</v>
      </c>
      <c r="I108" s="13" t="n">
        <v>3.366</v>
      </c>
      <c r="K108" s="8" t="n">
        <v>31.1746586024316</v>
      </c>
      <c r="L108" s="8" t="n">
        <v>-10247.623181999</v>
      </c>
      <c r="M108" s="8" t="n">
        <f aca="false">M107+L108</f>
        <v>224695.118919167</v>
      </c>
      <c r="N108" s="5" t="str">
        <f aca="false">IF(L108&gt;0,"прибыль",IF(L108&lt;0,"убыток","ноль"))</f>
        <v>убыток</v>
      </c>
      <c r="O108" s="6" t="n">
        <f aca="false">IF(L108&lt;0,O107+1,0)</f>
        <v>1</v>
      </c>
      <c r="P108" s="6" t="n">
        <v>1</v>
      </c>
    </row>
    <row r="109" customFormat="false" ht="15" hidden="false" customHeight="false" outlineLevel="0" collapsed="false">
      <c r="A109" s="6" t="n">
        <v>104</v>
      </c>
      <c r="B109" s="5" t="s">
        <v>76</v>
      </c>
      <c r="C109" s="5" t="s">
        <v>30</v>
      </c>
      <c r="D109" s="11" t="n">
        <v>45793</v>
      </c>
      <c r="E109" s="11" t="n">
        <v>45798</v>
      </c>
      <c r="F109" s="5" t="s">
        <v>75</v>
      </c>
      <c r="G109" s="12" t="n">
        <v>85694.9952176401</v>
      </c>
      <c r="H109" s="13" t="n">
        <v>3.366</v>
      </c>
      <c r="I109" s="13" t="n">
        <v>3.363</v>
      </c>
      <c r="K109" s="8" t="n">
        <v>4.29821549511107</v>
      </c>
      <c r="L109" s="8" t="n">
        <v>-273.612900076309</v>
      </c>
      <c r="M109" s="8" t="n">
        <f aca="false">M108+L109</f>
        <v>224421.50601909</v>
      </c>
      <c r="N109" s="5" t="str">
        <f aca="false">IF(L109&gt;0,"прибыль",IF(L109&lt;0,"убыток","ноль"))</f>
        <v>убыток</v>
      </c>
      <c r="O109" s="6" t="n">
        <f aca="false">IF(L109&lt;0,O108+1,0)</f>
        <v>2</v>
      </c>
      <c r="P109" s="6" t="n">
        <v>3</v>
      </c>
    </row>
    <row r="110" customFormat="false" ht="15" hidden="false" customHeight="false" outlineLevel="0" collapsed="false">
      <c r="A110" s="6" t="n">
        <v>105</v>
      </c>
      <c r="B110" s="5" t="s">
        <v>76</v>
      </c>
      <c r="C110" s="5" t="s">
        <v>30</v>
      </c>
      <c r="D110" s="11" t="n">
        <v>45798</v>
      </c>
      <c r="E110" s="11" t="n">
        <v>45817</v>
      </c>
      <c r="F110" s="5" t="s">
        <v>75</v>
      </c>
      <c r="G110" s="12" t="n">
        <v>228390.556217038</v>
      </c>
      <c r="H110" s="13" t="n">
        <v>3.363</v>
      </c>
      <c r="I110" s="13" t="n">
        <v>3.752</v>
      </c>
      <c r="J110" s="5" t="s">
        <v>74</v>
      </c>
      <c r="K110" s="8" t="n">
        <v>24.5731599092968</v>
      </c>
      <c r="L110" s="8" t="n">
        <v>-15992.7256649523</v>
      </c>
      <c r="M110" s="8" t="n">
        <f aca="false">M109+L110</f>
        <v>208428.780354138</v>
      </c>
      <c r="N110" s="5" t="str">
        <f aca="false">IF(L110&gt;0,"прибыль",IF(L110&lt;0,"убыток","ноль"))</f>
        <v>убыток</v>
      </c>
      <c r="O110" s="6" t="n">
        <f aca="false">IF(L110&lt;0,O109+1,0)</f>
        <v>3</v>
      </c>
      <c r="P110" s="6" t="n">
        <v>13</v>
      </c>
    </row>
    <row r="111" customFormat="false" ht="15" hidden="false" customHeight="false" outlineLevel="0" collapsed="false">
      <c r="A111" s="6" t="n">
        <v>106</v>
      </c>
      <c r="B111" s="5" t="s">
        <v>76</v>
      </c>
      <c r="C111" s="5" t="s">
        <v>30</v>
      </c>
      <c r="D111" s="11" t="n">
        <v>45817</v>
      </c>
      <c r="E111" s="11" t="n">
        <v>45819</v>
      </c>
      <c r="F111" s="5" t="s">
        <v>73</v>
      </c>
      <c r="G111" s="12" t="n">
        <v>247104.489463856</v>
      </c>
      <c r="H111" s="13" t="n">
        <v>3.752</v>
      </c>
      <c r="I111" s="13" t="n">
        <v>3.536</v>
      </c>
      <c r="K111" s="8" t="n">
        <v>23.5989122785883</v>
      </c>
      <c r="L111" s="8" t="n">
        <v>-15263.4652885004</v>
      </c>
      <c r="M111" s="8" t="n">
        <f aca="false">M110+L111</f>
        <v>193165.315065638</v>
      </c>
      <c r="N111" s="5" t="str">
        <f aca="false">IF(L111&gt;0,"прибыль",IF(L111&lt;0,"убыток","ноль"))</f>
        <v>убыток</v>
      </c>
      <c r="O111" s="6" t="n">
        <f aca="false">IF(L111&lt;0,O110+1,0)</f>
        <v>4</v>
      </c>
      <c r="P111" s="6" t="n">
        <v>2</v>
      </c>
    </row>
    <row r="112" customFormat="false" ht="15" hidden="false" customHeight="false" outlineLevel="0" collapsed="false">
      <c r="A112" s="6" t="n">
        <v>107</v>
      </c>
      <c r="B112" s="5" t="s">
        <v>76</v>
      </c>
      <c r="C112" s="5" t="s">
        <v>30</v>
      </c>
      <c r="D112" s="11" t="n">
        <v>45819</v>
      </c>
      <c r="E112" s="11" t="n">
        <v>45827</v>
      </c>
      <c r="F112" s="5" t="s">
        <v>75</v>
      </c>
      <c r="G112" s="12" t="n">
        <v>240113.622484132</v>
      </c>
      <c r="H112" s="13" t="n">
        <v>3.536</v>
      </c>
      <c r="I112" s="13" t="n">
        <v>3.985</v>
      </c>
      <c r="K112" s="8" t="n">
        <v>29.8183537072587</v>
      </c>
      <c r="L112" s="8" t="n">
        <v>-31587.4533350561</v>
      </c>
      <c r="M112" s="8" t="n">
        <f aca="false">M111+L112</f>
        <v>161577.861730582</v>
      </c>
      <c r="N112" s="5" t="str">
        <f aca="false">IF(L112&gt;0,"прибыль",IF(L112&lt;0,"убыток","ноль"))</f>
        <v>убыток</v>
      </c>
      <c r="O112" s="6" t="n">
        <f aca="false">IF(L112&lt;0,O111+1,0)</f>
        <v>5</v>
      </c>
      <c r="P112" s="6" t="n">
        <v>5</v>
      </c>
    </row>
    <row r="113" customFormat="false" ht="15" hidden="false" customHeight="false" outlineLevel="0" collapsed="false">
      <c r="A113" s="6" t="n">
        <v>108</v>
      </c>
      <c r="B113" s="5" t="s">
        <v>76</v>
      </c>
      <c r="C113" s="5" t="s">
        <v>30</v>
      </c>
      <c r="D113" s="11" t="n">
        <v>45827</v>
      </c>
      <c r="E113" s="11" t="n">
        <v>45831</v>
      </c>
      <c r="F113" s="5" t="s">
        <v>73</v>
      </c>
      <c r="G113" s="12" t="n">
        <v>324695.816679694</v>
      </c>
      <c r="H113" s="13" t="n">
        <v>3.985</v>
      </c>
      <c r="I113" s="13" t="n">
        <v>3.9</v>
      </c>
      <c r="K113" s="8" t="n">
        <v>31.1556609803761</v>
      </c>
      <c r="L113" s="8" t="n">
        <v>-8072.69155971212</v>
      </c>
      <c r="M113" s="8" t="n">
        <f aca="false">M112+L113</f>
        <v>153505.170170869</v>
      </c>
      <c r="N113" s="5" t="str">
        <f aca="false">IF(L113&gt;0,"прибыль",IF(L113&lt;0,"убыток","ноль"))</f>
        <v>убыток</v>
      </c>
      <c r="O113" s="6" t="n">
        <f aca="false">IF(L113&lt;0,O112+1,0)</f>
        <v>6</v>
      </c>
      <c r="P113" s="6" t="n">
        <v>2</v>
      </c>
    </row>
    <row r="114" customFormat="false" ht="15" hidden="false" customHeight="false" outlineLevel="0" collapsed="false">
      <c r="A114" s="6" t="n">
        <v>109</v>
      </c>
      <c r="B114" s="5" t="s">
        <v>76</v>
      </c>
      <c r="C114" s="5" t="s">
        <v>30</v>
      </c>
      <c r="D114" s="11" t="n">
        <v>45831</v>
      </c>
      <c r="E114" s="11" t="n">
        <v>45932</v>
      </c>
      <c r="F114" s="5" t="s">
        <v>75</v>
      </c>
      <c r="G114" s="12" t="n">
        <v>145282.582520089</v>
      </c>
      <c r="H114" s="13" t="n">
        <v>3.9</v>
      </c>
      <c r="I114" s="13" t="n">
        <v>3.445</v>
      </c>
      <c r="J114" s="5" t="s">
        <v>74</v>
      </c>
      <c r="K114" s="8" t="n">
        <v>22.0580573206823</v>
      </c>
      <c r="L114" s="8" t="n">
        <v>21896.9059031123</v>
      </c>
      <c r="M114" s="8" t="n">
        <f aca="false">M113+L114</f>
        <v>175402.076073982</v>
      </c>
      <c r="N114" s="5" t="str">
        <f aca="false">IF(L114&gt;0,"прибыль",IF(L114&lt;0,"убыток","ноль"))</f>
        <v>прибыль</v>
      </c>
      <c r="O114" s="6" t="n">
        <f aca="false">IF(L114&lt;0,O113+1,0)</f>
        <v>0</v>
      </c>
      <c r="P114" s="6" t="n">
        <v>85</v>
      </c>
    </row>
    <row r="115" customFormat="false" ht="15" hidden="false" customHeight="false" outlineLevel="0" collapsed="false">
      <c r="A115" s="6" t="n">
        <v>110</v>
      </c>
      <c r="B115" s="5" t="s">
        <v>76</v>
      </c>
      <c r="C115" s="5" t="s">
        <v>30</v>
      </c>
      <c r="D115" s="11" t="n">
        <v>45932</v>
      </c>
      <c r="E115" s="11" t="n">
        <v>45951</v>
      </c>
      <c r="F115" s="5" t="s">
        <v>75</v>
      </c>
      <c r="G115" s="12" t="n">
        <v>155056.06150594</v>
      </c>
      <c r="H115" s="13" t="n">
        <v>3.445</v>
      </c>
      <c r="I115" s="13" t="n">
        <v>3.388</v>
      </c>
      <c r="K115" s="8" t="n">
        <v>6.47794335897868</v>
      </c>
      <c r="L115" s="8" t="n">
        <v>25490.7163830078</v>
      </c>
      <c r="M115" s="8" t="n">
        <f aca="false">M114+L115</f>
        <v>200892.79245699</v>
      </c>
      <c r="N115" s="5" t="str">
        <f aca="false">IF(L115&gt;0,"прибыль",IF(L115&lt;0,"убыток","ноль"))</f>
        <v>прибыль</v>
      </c>
      <c r="O115" s="6" t="n">
        <f aca="false">IF(L115&lt;0,O114+1,0)</f>
        <v>0</v>
      </c>
      <c r="P115" s="6" t="n">
        <v>19</v>
      </c>
    </row>
    <row r="116" customFormat="false" ht="15" hidden="false" customHeight="false" outlineLevel="0" collapsed="false">
      <c r="A116" s="6" t="n">
        <v>111</v>
      </c>
      <c r="B116" s="5" t="s">
        <v>76</v>
      </c>
      <c r="C116" s="5" t="s">
        <v>30</v>
      </c>
      <c r="D116" s="11" t="n">
        <v>45951</v>
      </c>
      <c r="E116" s="11" t="n">
        <v>45968</v>
      </c>
      <c r="F116" s="5" t="s">
        <v>75</v>
      </c>
      <c r="G116" s="12" t="n">
        <v>323917.822654522</v>
      </c>
      <c r="H116" s="13" t="n">
        <v>3.388</v>
      </c>
      <c r="I116" s="13" t="n">
        <v>4.4</v>
      </c>
      <c r="J116" s="5" t="s">
        <v>74</v>
      </c>
      <c r="K116" s="8" t="n">
        <v>29.188148420636</v>
      </c>
      <c r="L116" s="8" t="n">
        <v>17383.3307491659</v>
      </c>
      <c r="M116" s="8" t="n">
        <f aca="false">M115+L116</f>
        <v>218276.123206155</v>
      </c>
      <c r="N116" s="5" t="str">
        <f aca="false">IF(L116&gt;0,"прибыль",IF(L116&lt;0,"убыток","ноль"))</f>
        <v>прибыль</v>
      </c>
      <c r="O116" s="6" t="n">
        <f aca="false">IF(L116&lt;0,O115+1,0)</f>
        <v>0</v>
      </c>
      <c r="P116" s="6" t="n">
        <v>13</v>
      </c>
    </row>
    <row r="117" customFormat="false" ht="15" hidden="false" customHeight="false" outlineLevel="0" collapsed="false">
      <c r="A117" s="6" t="n">
        <v>112</v>
      </c>
      <c r="B117" s="5" t="s">
        <v>76</v>
      </c>
      <c r="C117" s="5" t="s">
        <v>30</v>
      </c>
      <c r="D117" s="11" t="n">
        <v>45968</v>
      </c>
      <c r="E117" s="11" t="n">
        <v>45969</v>
      </c>
      <c r="F117" s="5" t="s">
        <v>73</v>
      </c>
      <c r="G117" s="12" t="n">
        <v>3.86244597626931E-011</v>
      </c>
      <c r="H117" s="13" t="n">
        <v>4.4</v>
      </c>
      <c r="I117" s="13" t="n">
        <v>4.311</v>
      </c>
      <c r="K117" s="8" t="n">
        <v>1.88476217759006E-015</v>
      </c>
      <c r="L117" s="8" t="n">
        <v>-9.31100973069578E-013</v>
      </c>
      <c r="M117" s="8" t="n">
        <f aca="false">M116+L117</f>
        <v>218276.123206155</v>
      </c>
      <c r="N117" s="5" t="str">
        <f aca="false">IF(L117&gt;0,"прибыль",IF(L117&lt;0,"убыток","ноль"))</f>
        <v>убыток</v>
      </c>
      <c r="O117" s="6" t="n">
        <f aca="false">IF(L117&lt;0,O116+1,0)</f>
        <v>1</v>
      </c>
      <c r="P117" s="6" t="n">
        <v>1</v>
      </c>
    </row>
    <row r="118" customFormat="false" ht="15" hidden="false" customHeight="false" outlineLevel="0" collapsed="false">
      <c r="A118" s="6" t="n">
        <v>113</v>
      </c>
      <c r="B118" s="5" t="s">
        <v>76</v>
      </c>
      <c r="C118" s="5" t="s">
        <v>30</v>
      </c>
      <c r="D118" s="11" t="n">
        <v>45969</v>
      </c>
      <c r="E118" s="11" t="n">
        <v>46000</v>
      </c>
      <c r="F118" s="5" t="s">
        <v>73</v>
      </c>
      <c r="G118" s="12" t="n">
        <v>116916.268709219</v>
      </c>
      <c r="H118" s="13" t="n">
        <v>4.311</v>
      </c>
      <c r="I118" s="13" t="n">
        <v>4.846</v>
      </c>
      <c r="J118" s="5" t="s">
        <v>74</v>
      </c>
      <c r="K118" s="8" t="n">
        <v>12.5765255826247</v>
      </c>
      <c r="L118" s="8" t="n">
        <v>11431.2416906909</v>
      </c>
      <c r="M118" s="8" t="n">
        <f aca="false">M117+L118</f>
        <v>229707.364896846</v>
      </c>
      <c r="N118" s="5" t="str">
        <f aca="false">IF(L118&gt;0,"прибыль",IF(L118&lt;0,"убыток","ноль"))</f>
        <v>прибыль</v>
      </c>
      <c r="O118" s="6" t="n">
        <f aca="false">IF(L118&lt;0,O117+1,0)</f>
        <v>0</v>
      </c>
      <c r="P118" s="6" t="n">
        <v>27</v>
      </c>
    </row>
    <row r="119" customFormat="false" ht="15" hidden="false" customHeight="false" outlineLevel="0" collapsed="false">
      <c r="A119" s="6" t="n">
        <v>114</v>
      </c>
      <c r="B119" s="5" t="s">
        <v>76</v>
      </c>
      <c r="C119" s="5" t="s">
        <v>30</v>
      </c>
      <c r="D119" s="11" t="n">
        <v>46000</v>
      </c>
      <c r="E119" s="11" t="n">
        <v>46010</v>
      </c>
      <c r="F119" s="5" t="s">
        <v>73</v>
      </c>
      <c r="G119" s="12" t="n">
        <v>283511.820673567</v>
      </c>
      <c r="H119" s="13" t="n">
        <v>4.846</v>
      </c>
      <c r="I119" s="13" t="n">
        <v>3.9</v>
      </c>
      <c r="K119" s="8" t="n">
        <v>24.4167227927664</v>
      </c>
      <c r="L119" s="8" t="n">
        <v>-33152.1308642475</v>
      </c>
      <c r="M119" s="8" t="n">
        <f aca="false">M118+L119</f>
        <v>196555.234032599</v>
      </c>
      <c r="N119" s="5" t="str">
        <f aca="false">IF(L119&gt;0,"прибыль",IF(L119&lt;0,"убыток","ноль"))</f>
        <v>убыток</v>
      </c>
      <c r="O119" s="6" t="n">
        <f aca="false">IF(L119&lt;0,O118+1,0)</f>
        <v>1</v>
      </c>
      <c r="P119" s="6" t="n">
        <v>10</v>
      </c>
    </row>
    <row r="120" customFormat="false" ht="15" hidden="false" customHeight="false" outlineLevel="0" collapsed="false">
      <c r="A120" s="6" t="n">
        <v>115</v>
      </c>
      <c r="B120" s="5" t="s">
        <v>76</v>
      </c>
      <c r="C120" s="5" t="s">
        <v>30</v>
      </c>
      <c r="D120" s="11" t="n">
        <v>46010</v>
      </c>
      <c r="E120" s="11" t="n">
        <v>46011</v>
      </c>
      <c r="F120" s="5" t="s">
        <v>75</v>
      </c>
      <c r="G120" s="12" t="n">
        <v>237950.349323215</v>
      </c>
      <c r="H120" s="13" t="n">
        <v>3.9</v>
      </c>
      <c r="I120" s="13" t="n">
        <v>4.015</v>
      </c>
      <c r="K120" s="8" t="n">
        <v>23.9726884077758</v>
      </c>
      <c r="L120" s="8" t="n">
        <v>-8144.63198928108</v>
      </c>
      <c r="M120" s="8" t="n">
        <f aca="false">M119+L120</f>
        <v>188410.602043318</v>
      </c>
      <c r="N120" s="5" t="str">
        <f aca="false">IF(L120&gt;0,"прибыль",IF(L120&lt;0,"убыток","ноль"))</f>
        <v>убыток</v>
      </c>
      <c r="O120" s="6" t="n">
        <f aca="false">IF(L120&lt;0,O119+1,0)</f>
        <v>2</v>
      </c>
      <c r="P120" s="6" t="n">
        <v>1</v>
      </c>
    </row>
    <row r="121" customFormat="false" ht="15" hidden="false" customHeight="false" outlineLevel="0" collapsed="false">
      <c r="A121" s="6" t="n">
        <v>116</v>
      </c>
      <c r="B121" s="5" t="s">
        <v>76</v>
      </c>
      <c r="C121" s="5" t="s">
        <v>30</v>
      </c>
      <c r="D121" s="11" t="n">
        <v>46011</v>
      </c>
      <c r="E121" s="11" t="n">
        <v>46015</v>
      </c>
      <c r="F121" s="5" t="s">
        <v>73</v>
      </c>
      <c r="G121" s="12" t="n">
        <v>52905.6658294614</v>
      </c>
      <c r="H121" s="13" t="n">
        <v>4.015</v>
      </c>
      <c r="I121" s="13" t="n">
        <v>4.41</v>
      </c>
      <c r="K121" s="8" t="n">
        <v>2.8913978397821</v>
      </c>
      <c r="L121" s="8" t="n">
        <v>4919.3995683408</v>
      </c>
      <c r="M121" s="8" t="n">
        <f aca="false">M120+L121</f>
        <v>193330.001611659</v>
      </c>
      <c r="N121" s="5" t="str">
        <f aca="false">IF(L121&gt;0,"прибыль",IF(L121&lt;0,"убыток","ноль"))</f>
        <v>прибыль</v>
      </c>
      <c r="O121" s="6" t="n">
        <f aca="false">IF(L121&lt;0,O120+1,0)</f>
        <v>0</v>
      </c>
      <c r="P121" s="6" t="n">
        <v>4</v>
      </c>
    </row>
    <row r="122" customFormat="false" ht="15" hidden="false" customHeight="false" outlineLevel="0" collapsed="false">
      <c r="A122" s="6" t="n">
        <v>117</v>
      </c>
      <c r="B122" s="5" t="s">
        <v>76</v>
      </c>
      <c r="C122" s="5" t="s">
        <v>30</v>
      </c>
      <c r="D122" s="11" t="n">
        <v>46015</v>
      </c>
      <c r="E122" s="11" t="n">
        <v>46034</v>
      </c>
      <c r="F122" s="5" t="s">
        <v>73</v>
      </c>
      <c r="G122" s="12" t="n">
        <v>219025.201285144</v>
      </c>
      <c r="H122" s="13" t="n">
        <v>4.41</v>
      </c>
      <c r="I122" s="13" t="n">
        <v>3.222</v>
      </c>
      <c r="J122" s="5" t="s">
        <v>74</v>
      </c>
      <c r="K122" s="8" t="n">
        <v>21.7502161626759</v>
      </c>
      <c r="L122" s="8" t="n">
        <v>-24753.2143411642</v>
      </c>
      <c r="M122" s="8" t="n">
        <f aca="false">M121+L122</f>
        <v>168576.787270494</v>
      </c>
      <c r="N122" s="5" t="str">
        <f aca="false">IF(L122&gt;0,"прибыль",IF(L122&lt;0,"убыток","ноль"))</f>
        <v>убыток</v>
      </c>
      <c r="O122" s="6" t="n">
        <f aca="false">IF(L122&lt;0,O121+1,0)</f>
        <v>1</v>
      </c>
      <c r="P122" s="6" t="n">
        <v>11</v>
      </c>
    </row>
    <row r="123" customFormat="false" ht="15" hidden="false" customHeight="false" outlineLevel="0" collapsed="false">
      <c r="A123" s="6" t="n">
        <v>118</v>
      </c>
      <c r="B123" s="5" t="s">
        <v>76</v>
      </c>
      <c r="C123" s="5" t="s">
        <v>30</v>
      </c>
      <c r="D123" s="11" t="n">
        <v>46034</v>
      </c>
      <c r="E123" s="11" t="n">
        <v>46035</v>
      </c>
      <c r="F123" s="5" t="s">
        <v>75</v>
      </c>
      <c r="G123" s="12" t="n">
        <v>202162.478510197</v>
      </c>
      <c r="H123" s="13" t="n">
        <v>3.222</v>
      </c>
      <c r="I123" s="13" t="n">
        <v>3.367</v>
      </c>
      <c r="K123" s="8" t="n">
        <v>19.7763593264188</v>
      </c>
      <c r="L123" s="8" t="n">
        <v>-10260.7475138046</v>
      </c>
      <c r="M123" s="8" t="n">
        <f aca="false">M122+L123</f>
        <v>158316.03975669</v>
      </c>
      <c r="N123" s="5" t="str">
        <f aca="false">IF(L123&gt;0,"прибыль",IF(L123&lt;0,"убыток","ноль"))</f>
        <v>убыток</v>
      </c>
      <c r="O123" s="6" t="n">
        <f aca="false">IF(L123&lt;0,O122+1,0)</f>
        <v>2</v>
      </c>
      <c r="P123" s="6" t="n">
        <v>1</v>
      </c>
    </row>
    <row r="124" customFormat="false" ht="15" hidden="false" customHeight="false" outlineLevel="0" collapsed="false">
      <c r="A124" s="6" t="n">
        <v>119</v>
      </c>
      <c r="B124" s="5" t="s">
        <v>76</v>
      </c>
      <c r="C124" s="5" t="s">
        <v>30</v>
      </c>
      <c r="D124" s="11" t="n">
        <v>46035</v>
      </c>
      <c r="E124" s="11" t="n">
        <v>46037</v>
      </c>
      <c r="F124" s="5" t="s">
        <v>73</v>
      </c>
      <c r="G124" s="12" t="n">
        <v>183123.736863701</v>
      </c>
      <c r="H124" s="13" t="n">
        <v>3.367</v>
      </c>
      <c r="I124" s="13" t="n">
        <v>3.138</v>
      </c>
      <c r="K124" s="8" t="n">
        <v>17.4309058587424</v>
      </c>
      <c r="L124" s="8" t="n">
        <v>-13437.8560106855</v>
      </c>
      <c r="M124" s="8" t="n">
        <f aca="false">M123+L124</f>
        <v>144878.183746004</v>
      </c>
      <c r="N124" s="5" t="str">
        <f aca="false">IF(L124&gt;0,"прибыль",IF(L124&lt;0,"убыток","ноль"))</f>
        <v>убыток</v>
      </c>
      <c r="O124" s="6" t="n">
        <f aca="false">IF(L124&lt;0,O123+1,0)</f>
        <v>3</v>
      </c>
      <c r="P124" s="6" t="n">
        <v>2</v>
      </c>
    </row>
    <row r="125" customFormat="false" ht="15" hidden="false" customHeight="false" outlineLevel="0" collapsed="false">
      <c r="A125" s="6" t="n">
        <v>120</v>
      </c>
      <c r="B125" s="5" t="s">
        <v>76</v>
      </c>
      <c r="C125" s="5" t="s">
        <v>30</v>
      </c>
      <c r="D125" s="11" t="n">
        <v>46037</v>
      </c>
      <c r="E125" s="11" t="n">
        <v>46038</v>
      </c>
      <c r="F125" s="5" t="s">
        <v>75</v>
      </c>
      <c r="G125" s="12" t="n">
        <v>3.04969782734976E-011</v>
      </c>
      <c r="H125" s="13" t="n">
        <v>3.138</v>
      </c>
      <c r="I125" s="13" t="n">
        <v>3.171</v>
      </c>
      <c r="K125" s="8" t="n">
        <v>1.54974716251126E-015</v>
      </c>
      <c r="L125" s="8" t="n">
        <v>-4.99514723890062E-013</v>
      </c>
      <c r="M125" s="8" t="n">
        <f aca="false">M124+L125</f>
        <v>144878.183746004</v>
      </c>
      <c r="N125" s="5" t="str">
        <f aca="false">IF(L125&gt;0,"прибыль",IF(L125&lt;0,"убыток","ноль"))</f>
        <v>убыток</v>
      </c>
      <c r="O125" s="6" t="n">
        <f aca="false">IF(L125&lt;0,O124+1,0)</f>
        <v>4</v>
      </c>
      <c r="P125" s="6" t="n">
        <v>1</v>
      </c>
    </row>
    <row r="126" customFormat="false" ht="15" hidden="false" customHeight="false" outlineLevel="0" collapsed="false">
      <c r="A126" s="6" t="n">
        <v>121</v>
      </c>
      <c r="B126" s="5" t="s">
        <v>76</v>
      </c>
      <c r="C126" s="5" t="s">
        <v>30</v>
      </c>
      <c r="D126" s="11" t="n">
        <v>46038</v>
      </c>
      <c r="E126" s="11" t="n">
        <v>46042</v>
      </c>
      <c r="F126" s="5" t="s">
        <v>75</v>
      </c>
      <c r="G126" s="12" t="n">
        <v>178914.805415975</v>
      </c>
      <c r="H126" s="13" t="n">
        <v>3.171</v>
      </c>
      <c r="I126" s="13" t="n">
        <v>3.672</v>
      </c>
      <c r="K126" s="8" t="n">
        <v>18.7994718945699</v>
      </c>
      <c r="L126" s="8" t="n">
        <v>-31731.8672252636</v>
      </c>
      <c r="M126" s="8" t="n">
        <f aca="false">M125+L126</f>
        <v>113146.316520741</v>
      </c>
      <c r="N126" s="5" t="str">
        <f aca="false">IF(L126&gt;0,"прибыль",IF(L126&lt;0,"убыток","ноль"))</f>
        <v>убыток</v>
      </c>
      <c r="O126" s="6" t="n">
        <f aca="false">IF(L126&lt;0,O125+1,0)</f>
        <v>5</v>
      </c>
      <c r="P126" s="6" t="n">
        <v>4</v>
      </c>
    </row>
    <row r="127" customFormat="false" ht="15" hidden="false" customHeight="false" outlineLevel="0" collapsed="false">
      <c r="A127" s="6" t="n">
        <v>122</v>
      </c>
      <c r="B127" s="5" t="s">
        <v>76</v>
      </c>
      <c r="C127" s="5" t="s">
        <v>30</v>
      </c>
      <c r="D127" s="11" t="n">
        <v>46042</v>
      </c>
      <c r="E127" s="11" t="n">
        <v>46044</v>
      </c>
      <c r="F127" s="5" t="s">
        <v>73</v>
      </c>
      <c r="G127" s="12" t="n">
        <v>81089.9125350035</v>
      </c>
      <c r="H127" s="13" t="n">
        <v>3.672</v>
      </c>
      <c r="I127" s="13" t="n">
        <v>5.341</v>
      </c>
      <c r="K127" s="8" t="n">
        <v>5.85336504193147</v>
      </c>
      <c r="L127" s="8" t="n">
        <v>35971.5349385839</v>
      </c>
      <c r="M127" s="8" t="n">
        <f aca="false">M126+L127</f>
        <v>149117.851459325</v>
      </c>
      <c r="N127" s="5" t="str">
        <f aca="false">IF(L127&gt;0,"прибыль",IF(L127&lt;0,"убыток","ноль"))</f>
        <v>прибыль</v>
      </c>
      <c r="O127" s="6" t="n">
        <f aca="false">IF(L127&lt;0,O126+1,0)</f>
        <v>0</v>
      </c>
      <c r="P127" s="6" t="n">
        <v>2</v>
      </c>
    </row>
    <row r="128" customFormat="false" ht="15" hidden="false" customHeight="false" outlineLevel="0" collapsed="false">
      <c r="A128" s="6" t="n">
        <v>123</v>
      </c>
      <c r="B128" s="5" t="s">
        <v>76</v>
      </c>
      <c r="C128" s="5" t="s">
        <v>30</v>
      </c>
      <c r="D128" s="11" t="n">
        <v>46044</v>
      </c>
      <c r="E128" s="11" t="n">
        <v>46049</v>
      </c>
      <c r="F128" s="5" t="s">
        <v>73</v>
      </c>
      <c r="G128" s="12" t="n">
        <v>28868.3190978935</v>
      </c>
      <c r="H128" s="13" t="n">
        <v>5.341</v>
      </c>
      <c r="I128" s="13" t="n">
        <v>6.546</v>
      </c>
      <c r="K128" s="8" t="n">
        <v>2.55245281311287</v>
      </c>
      <c r="L128" s="8" t="n">
        <v>22178.1847115509</v>
      </c>
      <c r="M128" s="8" t="n">
        <f aca="false">M127+L128</f>
        <v>171296.036170876</v>
      </c>
      <c r="N128" s="5" t="str">
        <f aca="false">IF(L128&gt;0,"прибыль",IF(L128&lt;0,"убыток","ноль"))</f>
        <v>прибыль</v>
      </c>
      <c r="O128" s="6" t="n">
        <f aca="false">IF(L128&lt;0,O127+1,0)</f>
        <v>0</v>
      </c>
      <c r="P128" s="6" t="n">
        <v>5</v>
      </c>
    </row>
    <row r="129" customFormat="false" ht="15" hidden="false" customHeight="false" outlineLevel="0" collapsed="false">
      <c r="A129" s="6" t="n">
        <v>124</v>
      </c>
      <c r="B129" s="5" t="s">
        <v>76</v>
      </c>
      <c r="C129" s="5" t="s">
        <v>30</v>
      </c>
      <c r="D129" s="11" t="n">
        <v>46049</v>
      </c>
      <c r="E129" s="11" t="n">
        <v>46093</v>
      </c>
      <c r="F129" s="5" t="s">
        <v>73</v>
      </c>
      <c r="G129" s="12" t="n">
        <v>86079.6491026857</v>
      </c>
      <c r="H129" s="13" t="n">
        <v>6.546</v>
      </c>
      <c r="I129" s="13" t="n">
        <v>3.284</v>
      </c>
      <c r="J129" s="5" t="s">
        <v>74</v>
      </c>
      <c r="K129" s="8" t="n">
        <v>20.1249765557433</v>
      </c>
      <c r="L129" s="8" t="n">
        <v>17987.1170742774</v>
      </c>
      <c r="M129" s="8" t="n">
        <f aca="false">M128+L129</f>
        <v>189283.153245153</v>
      </c>
      <c r="N129" s="5" t="str">
        <f aca="false">IF(L129&gt;0,"прибыль",IF(L129&lt;0,"убыток","ноль"))</f>
        <v>прибыль</v>
      </c>
      <c r="O129" s="6" t="n">
        <f aca="false">IF(L129&lt;0,O128+1,0)</f>
        <v>0</v>
      </c>
      <c r="P129" s="6" t="n">
        <v>40</v>
      </c>
    </row>
    <row r="130" customFormat="false" ht="15" hidden="false" customHeight="false" outlineLevel="0" collapsed="false">
      <c r="A130" s="6" t="n">
        <v>125</v>
      </c>
      <c r="B130" s="5" t="s">
        <v>76</v>
      </c>
      <c r="C130" s="5" t="s">
        <v>30</v>
      </c>
      <c r="D130" s="11" t="n">
        <v>46093</v>
      </c>
      <c r="E130" s="11" t="n">
        <v>46140</v>
      </c>
      <c r="F130" s="5" t="s">
        <v>73</v>
      </c>
      <c r="G130" s="12" t="n">
        <v>558499.987964968</v>
      </c>
      <c r="H130" s="13" t="n">
        <v>3.284</v>
      </c>
      <c r="I130" s="13" t="n">
        <v>2.55</v>
      </c>
      <c r="J130" s="5" t="s">
        <v>74</v>
      </c>
      <c r="K130" s="8" t="n">
        <v>64.2569645330124</v>
      </c>
      <c r="L130" s="8" t="n">
        <v>-43753.9047867447</v>
      </c>
      <c r="M130" s="8" t="n">
        <f aca="false">M129+L130</f>
        <v>145529.248458408</v>
      </c>
      <c r="N130" s="5" t="str">
        <f aca="false">IF(L130&gt;0,"прибыль",IF(L130&lt;0,"убыток","ноль"))</f>
        <v>убыток</v>
      </c>
      <c r="O130" s="6" t="n">
        <f aca="false">IF(L130&lt;0,O129+1,0)</f>
        <v>1</v>
      </c>
      <c r="P130" s="6" t="n">
        <v>45</v>
      </c>
    </row>
    <row r="131" customFormat="false" ht="15" hidden="false" customHeight="false" outlineLevel="0" collapsed="false">
      <c r="A131" s="6" t="n">
        <v>126</v>
      </c>
      <c r="B131" s="5" t="s">
        <v>76</v>
      </c>
      <c r="C131" s="5" t="s">
        <v>30</v>
      </c>
      <c r="D131" s="11" t="n">
        <v>46140</v>
      </c>
      <c r="E131" s="11" t="n">
        <v>46154</v>
      </c>
      <c r="F131" s="5" t="s">
        <v>75</v>
      </c>
      <c r="G131" s="12" t="n">
        <v>136191.490122043</v>
      </c>
      <c r="H131" s="13" t="n">
        <v>2.55</v>
      </c>
      <c r="I131" s="13" t="n">
        <v>2.946</v>
      </c>
      <c r="J131" s="5" t="s">
        <v>74</v>
      </c>
      <c r="K131" s="8" t="n">
        <v>7.40665343334949</v>
      </c>
      <c r="L131" s="8" t="n">
        <v>-11948.9851983804</v>
      </c>
      <c r="M131" s="8" t="n">
        <f aca="false">M130+L131</f>
        <v>133580.263260028</v>
      </c>
      <c r="N131" s="5" t="str">
        <f aca="false">IF(L131&gt;0,"прибыль",IF(L131&lt;0,"убыток","ноль"))</f>
        <v>убыток</v>
      </c>
      <c r="O131" s="6" t="n">
        <f aca="false">IF(L131&lt;0,O130+1,0)</f>
        <v>2</v>
      </c>
      <c r="P131" s="6" t="n">
        <v>12</v>
      </c>
    </row>
    <row r="132" customFormat="false" ht="15" hidden="false" customHeight="false" outlineLevel="0" collapsed="false">
      <c r="A132" s="6" t="n">
        <v>127</v>
      </c>
      <c r="B132" s="5" t="s">
        <v>76</v>
      </c>
      <c r="C132" s="5" t="s">
        <v>30</v>
      </c>
      <c r="D132" s="11" t="n">
        <v>46154</v>
      </c>
      <c r="E132" s="11" t="n">
        <v>46208</v>
      </c>
      <c r="F132" s="5" t="s">
        <v>75</v>
      </c>
      <c r="G132" s="12" t="n">
        <v>343373.796378297</v>
      </c>
      <c r="H132" s="13" t="n">
        <v>2.946</v>
      </c>
      <c r="I132" s="13" t="n">
        <v>3.242</v>
      </c>
      <c r="J132" s="5" t="s">
        <v>74</v>
      </c>
      <c r="K132" s="8" t="n">
        <v>42.067042268031</v>
      </c>
      <c r="L132" s="8" t="n">
        <v>-44682.8240888564</v>
      </c>
      <c r="M132" s="8" t="n">
        <f aca="false">M131+L132</f>
        <v>88897.4391711714</v>
      </c>
      <c r="N132" s="5" t="str">
        <f aca="false">IF(L132&gt;0,"прибыль",IF(L132&lt;0,"убыток","ноль"))</f>
        <v>убыток</v>
      </c>
      <c r="O132" s="6" t="n">
        <f aca="false">IF(L132&lt;0,O131+1,0)</f>
        <v>3</v>
      </c>
      <c r="P132" s="6" t="n">
        <v>52</v>
      </c>
    </row>
    <row r="133" customFormat="false" ht="15" hidden="false" customHeight="false" outlineLevel="0" collapsed="false">
      <c r="A133" s="6" t="n">
        <v>128</v>
      </c>
      <c r="B133" s="5" t="s">
        <v>76</v>
      </c>
      <c r="C133" s="5" t="s">
        <v>30</v>
      </c>
      <c r="D133" s="11" t="n">
        <v>46208</v>
      </c>
      <c r="E133" s="11" t="n">
        <v>46212</v>
      </c>
      <c r="F133" s="5" t="s">
        <v>73</v>
      </c>
      <c r="G133" s="12" t="n">
        <v>453326.291935733</v>
      </c>
      <c r="H133" s="13" t="n">
        <v>3.242</v>
      </c>
      <c r="I133" s="13" t="n">
        <v>3.237</v>
      </c>
      <c r="K133" s="8" t="n">
        <v>46.7086008652632</v>
      </c>
      <c r="L133" s="8" t="n">
        <v>-1903.93928821469</v>
      </c>
      <c r="M133" s="8" t="n">
        <f aca="false">M132+L133</f>
        <v>86993.4998829567</v>
      </c>
      <c r="N133" s="5" t="str">
        <f aca="false">IF(L133&gt;0,"прибыль",IF(L133&lt;0,"убыток","ноль"))</f>
        <v>убыток</v>
      </c>
      <c r="O133" s="6" t="n">
        <f aca="false">IF(L133&lt;0,O132+1,0)</f>
        <v>4</v>
      </c>
      <c r="P133" s="6" t="n">
        <v>4</v>
      </c>
    </row>
    <row r="134" customFormat="false" ht="15" hidden="false" customHeight="false" outlineLevel="0" collapsed="false">
      <c r="A134" s="6" t="n">
        <v>129</v>
      </c>
      <c r="B134" s="5" t="s">
        <v>76</v>
      </c>
      <c r="C134" s="5" t="s">
        <v>30</v>
      </c>
      <c r="D134" s="11" t="n">
        <v>46212</v>
      </c>
      <c r="E134" s="11" t="n">
        <v>46213</v>
      </c>
      <c r="F134" s="5" t="s">
        <v>75</v>
      </c>
      <c r="G134" s="12" t="n">
        <v>9.8532766464286E-011</v>
      </c>
      <c r="H134" s="13" t="n">
        <v>3.237</v>
      </c>
      <c r="I134" s="13" t="n">
        <v>3.02</v>
      </c>
      <c r="K134" s="8" t="n">
        <v>4.608879360543E-015</v>
      </c>
      <c r="L134" s="8" t="n">
        <v>6.35057037406544E-012</v>
      </c>
      <c r="M134" s="8" t="n">
        <f aca="false">M133+L134</f>
        <v>86993.4998829567</v>
      </c>
      <c r="N134" s="5" t="str">
        <f aca="false">IF(L134&gt;0,"прибыль",IF(L134&lt;0,"убыток","ноль"))</f>
        <v>прибыль</v>
      </c>
      <c r="O134" s="6" t="n">
        <f aca="false">IF(L134&lt;0,O133+1,0)</f>
        <v>0</v>
      </c>
      <c r="P134" s="6" t="n">
        <v>1</v>
      </c>
    </row>
    <row r="135" customFormat="false" ht="15" hidden="false" customHeight="false" outlineLevel="0" collapsed="false">
      <c r="A135" s="6" t="n">
        <v>130</v>
      </c>
      <c r="B135" s="5" t="s">
        <v>76</v>
      </c>
      <c r="C135" s="5" t="s">
        <v>30</v>
      </c>
      <c r="D135" s="11" t="n">
        <v>46213</v>
      </c>
      <c r="E135" s="11" t="n">
        <v>46288</v>
      </c>
      <c r="F135" s="5" t="s">
        <v>75</v>
      </c>
      <c r="G135" s="12" t="n">
        <v>312247.306441289</v>
      </c>
      <c r="H135" s="13" t="n">
        <v>3.02</v>
      </c>
      <c r="I135" s="13" t="n">
        <v>3.023</v>
      </c>
      <c r="J135" s="5" t="s">
        <v>74</v>
      </c>
      <c r="K135" s="8" t="n">
        <v>27.7832042427248</v>
      </c>
      <c r="L135" s="8" t="n">
        <v>18790.78462841</v>
      </c>
      <c r="M135" s="8" t="n">
        <f aca="false">M134+L135</f>
        <v>105784.284511367</v>
      </c>
      <c r="N135" s="5" t="str">
        <f aca="false">IF(L135&gt;0,"прибыль",IF(L135&lt;0,"убыток","ноль"))</f>
        <v>прибыль</v>
      </c>
      <c r="O135" s="6" t="n">
        <f aca="false">IF(L135&lt;0,O134+1,0)</f>
        <v>0</v>
      </c>
      <c r="P135" s="6" t="n">
        <v>69</v>
      </c>
    </row>
    <row r="136" customFormat="false" ht="15" hidden="false" customHeight="false" outlineLevel="0" collapsed="false">
      <c r="A136" s="6" t="n">
        <v>131</v>
      </c>
      <c r="B136" s="5" t="s">
        <v>76</v>
      </c>
      <c r="C136" s="5" t="s">
        <v>30</v>
      </c>
      <c r="D136" s="11" t="n">
        <v>46288</v>
      </c>
      <c r="E136" s="11" t="n">
        <v>46290</v>
      </c>
      <c r="F136" s="5" t="s">
        <v>75</v>
      </c>
      <c r="G136" s="12" t="n">
        <v>90540.4982942571</v>
      </c>
      <c r="H136" s="13" t="n">
        <v>3.023</v>
      </c>
      <c r="I136" s="13" t="n">
        <v>3.183</v>
      </c>
      <c r="K136" s="8" t="n">
        <v>4.48026283923021</v>
      </c>
      <c r="L136" s="8" t="n">
        <v>930.761246813635</v>
      </c>
      <c r="M136" s="8" t="n">
        <f aca="false">M135+L136</f>
        <v>106715.04575818</v>
      </c>
      <c r="N136" s="5" t="str">
        <f aca="false">IF(L136&gt;0,"прибыль",IF(L136&lt;0,"убыток","ноль"))</f>
        <v>прибыль</v>
      </c>
      <c r="O136" s="6" t="n">
        <f aca="false">IF(L136&lt;0,O135+1,0)</f>
        <v>0</v>
      </c>
      <c r="P136" s="6" t="n">
        <v>2</v>
      </c>
    </row>
    <row r="137" customFormat="false" ht="15" hidden="false" customHeight="false" outlineLevel="0" collapsed="false">
      <c r="A137" s="6" t="n">
        <v>132</v>
      </c>
      <c r="B137" s="5" t="s">
        <v>76</v>
      </c>
      <c r="C137" s="5" t="s">
        <v>30</v>
      </c>
      <c r="E137" s="11" t="n">
        <v>46298</v>
      </c>
      <c r="F137" s="5" t="s">
        <v>75</v>
      </c>
      <c r="I137" s="13" t="n">
        <v>3.043</v>
      </c>
      <c r="L137" s="8" t="n">
        <v>13819.2131556858</v>
      </c>
      <c r="M137" s="8" t="n">
        <f aca="false">M136+L137</f>
        <v>120534.258913866</v>
      </c>
      <c r="N137" s="5" t="str">
        <f aca="false">IF(L137&gt;0,"прибыль",IF(L137&lt;0,"убыток","ноль"))</f>
        <v>прибыль</v>
      </c>
      <c r="O137" s="6" t="n">
        <f aca="false">IF(L137&lt;0,O136+1,0)</f>
        <v>0</v>
      </c>
      <c r="Q137" s="5" t="s">
        <v>77</v>
      </c>
    </row>
  </sheetData>
  <autoFilter ref="A5:Q1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5" min="4" style="0" width="17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9" min="8" style="0" width="12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7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60"/>
  </cols>
  <sheetData>
    <row r="1" customFormat="false" ht="15" hidden="false" customHeight="false" outlineLevel="0" collapsed="false">
      <c r="A1" s="10" t="s">
        <v>33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A3" s="2" t="s">
        <v>54</v>
      </c>
    </row>
    <row r="5" customFormat="false" ht="30" hidden="false" customHeight="true" outlineLevel="0" collapsed="false">
      <c r="A5" s="3" t="s">
        <v>55</v>
      </c>
      <c r="B5" s="3" t="s">
        <v>56</v>
      </c>
      <c r="C5" s="3" t="s">
        <v>57</v>
      </c>
      <c r="D5" s="3" t="s">
        <v>58</v>
      </c>
      <c r="E5" s="3" t="s">
        <v>59</v>
      </c>
      <c r="F5" s="3" t="s">
        <v>60</v>
      </c>
      <c r="G5" s="3" t="s">
        <v>61</v>
      </c>
      <c r="H5" s="3" t="s">
        <v>62</v>
      </c>
      <c r="I5" s="3" t="s">
        <v>63</v>
      </c>
      <c r="J5" s="3" t="s">
        <v>64</v>
      </c>
      <c r="K5" s="3" t="s">
        <v>65</v>
      </c>
      <c r="L5" s="3" t="s">
        <v>66</v>
      </c>
      <c r="M5" s="3" t="s">
        <v>67</v>
      </c>
      <c r="N5" s="3" t="s">
        <v>68</v>
      </c>
      <c r="O5" s="3" t="s">
        <v>69</v>
      </c>
      <c r="P5" s="3" t="s">
        <v>70</v>
      </c>
      <c r="Q5" s="3" t="s">
        <v>71</v>
      </c>
    </row>
    <row r="6" customFormat="false" ht="15" hidden="false" customHeight="false" outlineLevel="0" collapsed="false">
      <c r="A6" s="6" t="n">
        <v>1</v>
      </c>
      <c r="B6" s="5" t="s">
        <v>72</v>
      </c>
      <c r="C6" s="5" t="s">
        <v>25</v>
      </c>
      <c r="D6" s="11" t="n">
        <v>40983</v>
      </c>
      <c r="E6" s="11" t="n">
        <v>41023</v>
      </c>
      <c r="F6" s="5" t="s">
        <v>73</v>
      </c>
      <c r="G6" s="12" t="n">
        <v>961652.051823807</v>
      </c>
      <c r="H6" s="13" t="n">
        <v>124.78</v>
      </c>
      <c r="I6" s="13" t="n">
        <v>118.69</v>
      </c>
      <c r="J6" s="5" t="s">
        <v>74</v>
      </c>
      <c r="K6" s="8" t="n">
        <v>139.690622462868</v>
      </c>
      <c r="L6" s="8" t="n">
        <v>-31791.0169565808</v>
      </c>
      <c r="M6" s="8" t="n">
        <f aca="false">L6</f>
        <v>-31791.0169565808</v>
      </c>
      <c r="N6" s="5" t="str">
        <f aca="false">IF(L6&gt;0,"прибыль",IF(L6&lt;0,"убыток","ноль"))</f>
        <v>убыток</v>
      </c>
      <c r="O6" s="6" t="n">
        <f aca="false">IF(L6&lt;0,1,0)</f>
        <v>1</v>
      </c>
      <c r="P6" s="6" t="n">
        <v>28</v>
      </c>
    </row>
    <row r="7" customFormat="false" ht="15" hidden="false" customHeight="false" outlineLevel="0" collapsed="false">
      <c r="A7" s="6" t="n">
        <v>2</v>
      </c>
      <c r="B7" s="5" t="s">
        <v>72</v>
      </c>
      <c r="C7" s="5" t="s">
        <v>25</v>
      </c>
      <c r="D7" s="11" t="n">
        <v>41023</v>
      </c>
      <c r="E7" s="11" t="n">
        <v>41064</v>
      </c>
      <c r="F7" s="5" t="s">
        <v>75</v>
      </c>
      <c r="G7" s="12" t="n">
        <v>275209.074563804</v>
      </c>
      <c r="H7" s="13" t="n">
        <v>118.69</v>
      </c>
      <c r="I7" s="13" t="n">
        <v>96.88</v>
      </c>
      <c r="J7" s="5" t="s">
        <v>74</v>
      </c>
      <c r="K7" s="8" t="n">
        <v>21.902164879511</v>
      </c>
      <c r="L7" s="8" t="n">
        <v>37671.9068057852</v>
      </c>
      <c r="M7" s="8" t="n">
        <f aca="false">M6+L7</f>
        <v>5880.88984920442</v>
      </c>
      <c r="N7" s="5" t="str">
        <f aca="false">IF(L7&gt;0,"прибыль",IF(L7&lt;0,"убыток","ноль"))</f>
        <v>прибыль</v>
      </c>
      <c r="O7" s="6" t="n">
        <f aca="false">IF(L7&lt;0,O6+1,0)</f>
        <v>0</v>
      </c>
      <c r="P7" s="6" t="n">
        <v>29</v>
      </c>
    </row>
    <row r="8" customFormat="false" ht="15" hidden="false" customHeight="false" outlineLevel="0" collapsed="false">
      <c r="A8" s="6" t="n">
        <v>3</v>
      </c>
      <c r="B8" s="5" t="s">
        <v>72</v>
      </c>
      <c r="C8" s="5" t="s">
        <v>25</v>
      </c>
      <c r="D8" s="11" t="n">
        <v>41064</v>
      </c>
      <c r="E8" s="11" t="n">
        <v>41085</v>
      </c>
      <c r="F8" s="5" t="s">
        <v>75</v>
      </c>
      <c r="G8" s="12" t="n">
        <v>191762.455585307</v>
      </c>
      <c r="H8" s="13" t="n">
        <v>96.88</v>
      </c>
      <c r="I8" s="13" t="n">
        <v>90.81</v>
      </c>
      <c r="J8" s="5" t="s">
        <v>74</v>
      </c>
      <c r="K8" s="8" t="n">
        <v>7.69338844501477</v>
      </c>
      <c r="L8" s="8" t="n">
        <v>37886.9932965661</v>
      </c>
      <c r="M8" s="8" t="n">
        <f aca="false">M7+L8</f>
        <v>43767.8831457705</v>
      </c>
      <c r="N8" s="5" t="str">
        <f aca="false">IF(L8&gt;0,"прибыль",IF(L8&lt;0,"убыток","ноль"))</f>
        <v>прибыль</v>
      </c>
      <c r="O8" s="6" t="n">
        <f aca="false">IF(L8&lt;0,O7+1,0)</f>
        <v>0</v>
      </c>
      <c r="P8" s="6" t="n">
        <v>14</v>
      </c>
    </row>
    <row r="9" customFormat="false" ht="15" hidden="false" customHeight="false" outlineLevel="0" collapsed="false">
      <c r="A9" s="6" t="n">
        <v>4</v>
      </c>
      <c r="B9" s="5" t="s">
        <v>72</v>
      </c>
      <c r="C9" s="5" t="s">
        <v>25</v>
      </c>
      <c r="D9" s="11" t="n">
        <v>41085</v>
      </c>
      <c r="E9" s="11" t="n">
        <v>41092</v>
      </c>
      <c r="F9" s="5" t="s">
        <v>75</v>
      </c>
      <c r="G9" s="12" t="n">
        <v>166012.105343939</v>
      </c>
      <c r="H9" s="13" t="n">
        <v>90.81</v>
      </c>
      <c r="I9" s="13" t="n">
        <v>97.03</v>
      </c>
      <c r="K9" s="8" t="n">
        <v>7.11824102037409</v>
      </c>
      <c r="L9" s="8" t="n">
        <v>23640.1666954373</v>
      </c>
      <c r="M9" s="8" t="n">
        <f aca="false">M8+L9</f>
        <v>67408.0498412078</v>
      </c>
      <c r="N9" s="5" t="str">
        <f aca="false">IF(L9&gt;0,"прибыль",IF(L9&lt;0,"убыток","ноль"))</f>
        <v>прибыль</v>
      </c>
      <c r="O9" s="6" t="n">
        <f aca="false">IF(L9&lt;0,O8+1,0)</f>
        <v>0</v>
      </c>
      <c r="P9" s="6" t="n">
        <v>5</v>
      </c>
    </row>
    <row r="10" customFormat="false" ht="15" hidden="false" customHeight="false" outlineLevel="0" collapsed="false">
      <c r="A10" s="6" t="n">
        <v>5</v>
      </c>
      <c r="B10" s="5" t="s">
        <v>72</v>
      </c>
      <c r="C10" s="5" t="s">
        <v>25</v>
      </c>
      <c r="D10" s="11" t="n">
        <v>41092</v>
      </c>
      <c r="E10" s="11" t="n">
        <v>41120</v>
      </c>
      <c r="F10" s="5" t="s">
        <v>75</v>
      </c>
      <c r="G10" s="12" t="n">
        <v>469704.06844789</v>
      </c>
      <c r="H10" s="13" t="n">
        <v>97.03</v>
      </c>
      <c r="I10" s="13" t="n">
        <v>106.55</v>
      </c>
      <c r="J10" s="5" t="s">
        <v>74</v>
      </c>
      <c r="K10" s="8" t="n">
        <v>49.2356662820889</v>
      </c>
      <c r="L10" s="8" t="n">
        <v>27551.4737175466</v>
      </c>
      <c r="M10" s="8" t="n">
        <f aca="false">M9+L10</f>
        <v>94959.5235587544</v>
      </c>
      <c r="N10" s="5" t="str">
        <f aca="false">IF(L10&gt;0,"прибыль",IF(L10&lt;0,"убыток","ноль"))</f>
        <v>прибыль</v>
      </c>
      <c r="O10" s="6" t="n">
        <f aca="false">IF(L10&lt;0,O9+1,0)</f>
        <v>0</v>
      </c>
      <c r="P10" s="6" t="n">
        <v>20</v>
      </c>
    </row>
    <row r="11" customFormat="false" ht="15" hidden="false" customHeight="false" outlineLevel="0" collapsed="false">
      <c r="A11" s="6" t="n">
        <v>6</v>
      </c>
      <c r="B11" s="5" t="s">
        <v>72</v>
      </c>
      <c r="C11" s="5" t="s">
        <v>25</v>
      </c>
      <c r="D11" s="11" t="n">
        <v>41120</v>
      </c>
      <c r="E11" s="11" t="n">
        <v>41172</v>
      </c>
      <c r="F11" s="5" t="s">
        <v>73</v>
      </c>
      <c r="G11" s="12" t="n">
        <v>374739.749344773</v>
      </c>
      <c r="H11" s="13" t="n">
        <v>106.55</v>
      </c>
      <c r="I11" s="13" t="n">
        <v>107.9</v>
      </c>
      <c r="J11" s="5" t="s">
        <v>74</v>
      </c>
      <c r="K11" s="8" t="n">
        <v>45.1671262427496</v>
      </c>
      <c r="L11" s="8" t="n">
        <v>-1205.26034394419</v>
      </c>
      <c r="M11" s="8" t="n">
        <f aca="false">M10+L11</f>
        <v>93754.2632148102</v>
      </c>
      <c r="N11" s="5" t="str">
        <f aca="false">IF(L11&gt;0,"прибыль",IF(L11&lt;0,"убыток","ноль"))</f>
        <v>убыток</v>
      </c>
      <c r="O11" s="6" t="n">
        <f aca="false">IF(L11&lt;0,O10+1,0)</f>
        <v>1</v>
      </c>
      <c r="P11" s="6" t="n">
        <v>38</v>
      </c>
    </row>
    <row r="12" customFormat="false" ht="15" hidden="false" customHeight="false" outlineLevel="0" collapsed="false">
      <c r="A12" s="6" t="n">
        <v>7</v>
      </c>
      <c r="B12" s="5" t="s">
        <v>72</v>
      </c>
      <c r="C12" s="5" t="s">
        <v>25</v>
      </c>
      <c r="D12" s="11" t="n">
        <v>41172</v>
      </c>
      <c r="E12" s="11" t="n">
        <v>41180</v>
      </c>
      <c r="F12" s="5" t="s">
        <v>73</v>
      </c>
      <c r="G12" s="12" t="n">
        <v>163805.589548525</v>
      </c>
      <c r="H12" s="13" t="n">
        <v>107.9</v>
      </c>
      <c r="I12" s="13" t="n">
        <v>112.42</v>
      </c>
      <c r="K12" s="8" t="n">
        <v>8.50543509701086</v>
      </c>
      <c r="L12" s="8" t="n">
        <v>6294.60695659544</v>
      </c>
      <c r="M12" s="8" t="n">
        <f aca="false">M11+L12</f>
        <v>100048.870171406</v>
      </c>
      <c r="N12" s="5" t="str">
        <f aca="false">IF(L12&gt;0,"прибыль",IF(L12&lt;0,"убыток","ноль"))</f>
        <v>прибыль</v>
      </c>
      <c r="O12" s="6" t="n">
        <f aca="false">IF(L12&lt;0,O11+1,0)</f>
        <v>0</v>
      </c>
      <c r="P12" s="6" t="n">
        <v>6</v>
      </c>
    </row>
    <row r="13" customFormat="false" ht="15" hidden="false" customHeight="false" outlineLevel="0" collapsed="false">
      <c r="A13" s="6" t="n">
        <v>8</v>
      </c>
      <c r="B13" s="5" t="s">
        <v>72</v>
      </c>
      <c r="C13" s="5" t="s">
        <v>25</v>
      </c>
      <c r="D13" s="11" t="n">
        <v>41180</v>
      </c>
      <c r="E13" s="11" t="n">
        <v>41211</v>
      </c>
      <c r="F13" s="5" t="s">
        <v>73</v>
      </c>
      <c r="G13" s="12" t="n">
        <v>533827.496412339</v>
      </c>
      <c r="H13" s="13" t="n">
        <v>112.42</v>
      </c>
      <c r="I13" s="13" t="n">
        <v>109.36</v>
      </c>
      <c r="J13" s="5" t="s">
        <v>74</v>
      </c>
      <c r="K13" s="8" t="n">
        <v>57.6754670377385</v>
      </c>
      <c r="L13" s="8" t="n">
        <v>12701.9040005317</v>
      </c>
      <c r="M13" s="8" t="n">
        <f aca="false">M12+L13</f>
        <v>112750.774171937</v>
      </c>
      <c r="N13" s="5" t="str">
        <f aca="false">IF(L13&gt;0,"прибыль",IF(L13&lt;0,"убыток","ноль"))</f>
        <v>прибыль</v>
      </c>
      <c r="O13" s="6" t="n">
        <f aca="false">IF(L13&lt;0,O12+1,0)</f>
        <v>0</v>
      </c>
      <c r="P13" s="6" t="n">
        <v>21</v>
      </c>
    </row>
    <row r="14" customFormat="false" ht="15" hidden="false" customHeight="false" outlineLevel="0" collapsed="false">
      <c r="A14" s="6" t="n">
        <v>9</v>
      </c>
      <c r="B14" s="5" t="s">
        <v>72</v>
      </c>
      <c r="C14" s="5" t="s">
        <v>25</v>
      </c>
      <c r="D14" s="11" t="n">
        <v>41211</v>
      </c>
      <c r="E14" s="11" t="n">
        <v>41220</v>
      </c>
      <c r="F14" s="5" t="s">
        <v>75</v>
      </c>
      <c r="G14" s="12" t="n">
        <v>329306.571077289</v>
      </c>
      <c r="H14" s="13" t="n">
        <v>109.36</v>
      </c>
      <c r="I14" s="13" t="n">
        <v>110.7</v>
      </c>
      <c r="K14" s="8" t="n">
        <v>32.3358770845513</v>
      </c>
      <c r="L14" s="8" t="n">
        <v>-6021.89844538525</v>
      </c>
      <c r="M14" s="8" t="n">
        <f aca="false">M13+L14</f>
        <v>106728.875726552</v>
      </c>
      <c r="N14" s="5" t="str">
        <f aca="false">IF(L14&gt;0,"прибыль",IF(L14&lt;0,"убыток","ноль"))</f>
        <v>убыток</v>
      </c>
      <c r="O14" s="6" t="n">
        <f aca="false">IF(L14&lt;0,O13+1,0)</f>
        <v>1</v>
      </c>
      <c r="P14" s="6" t="n">
        <v>6</v>
      </c>
    </row>
    <row r="15" customFormat="false" ht="15" hidden="false" customHeight="false" outlineLevel="0" collapsed="false">
      <c r="A15" s="6" t="n">
        <v>10</v>
      </c>
      <c r="B15" s="5" t="s">
        <v>72</v>
      </c>
      <c r="C15" s="5" t="s">
        <v>25</v>
      </c>
      <c r="D15" s="11" t="n">
        <v>41220</v>
      </c>
      <c r="E15" s="11" t="n">
        <v>41247</v>
      </c>
      <c r="F15" s="5" t="s">
        <v>75</v>
      </c>
      <c r="G15" s="12" t="n">
        <v>589037.101843008</v>
      </c>
      <c r="H15" s="13" t="n">
        <v>110.7</v>
      </c>
      <c r="I15" s="13" t="n">
        <v>110.75</v>
      </c>
      <c r="J15" s="5" t="s">
        <v>74</v>
      </c>
      <c r="K15" s="8" t="n">
        <v>59.1901781375792</v>
      </c>
      <c r="L15" s="8" t="n">
        <v>-20746.4976208761</v>
      </c>
      <c r="M15" s="8" t="n">
        <f aca="false">M14+L15</f>
        <v>85982.378105676</v>
      </c>
      <c r="N15" s="5" t="str">
        <f aca="false">IF(L15&gt;0,"прибыль",IF(L15&lt;0,"убыток","ноль"))</f>
        <v>убыток</v>
      </c>
      <c r="O15" s="6" t="n">
        <f aca="false">IF(L15&lt;0,O14+1,0)</f>
        <v>2</v>
      </c>
      <c r="P15" s="6" t="n">
        <v>19</v>
      </c>
    </row>
    <row r="16" customFormat="false" ht="15" hidden="false" customHeight="false" outlineLevel="0" collapsed="false">
      <c r="A16" s="6" t="n">
        <v>11</v>
      </c>
      <c r="B16" s="5" t="s">
        <v>72</v>
      </c>
      <c r="C16" s="5" t="s">
        <v>25</v>
      </c>
      <c r="D16" s="11" t="n">
        <v>41247</v>
      </c>
      <c r="E16" s="11" t="n">
        <v>41290</v>
      </c>
      <c r="F16" s="5" t="s">
        <v>73</v>
      </c>
      <c r="G16" s="12" t="n">
        <v>232457.682922193</v>
      </c>
      <c r="H16" s="13" t="n">
        <v>110.75</v>
      </c>
      <c r="I16" s="13" t="n">
        <v>110.5</v>
      </c>
      <c r="J16" s="5" t="s">
        <v>74</v>
      </c>
      <c r="K16" s="8" t="n">
        <v>38.1275222034474</v>
      </c>
      <c r="L16" s="8" t="n">
        <v>3264.76066385455</v>
      </c>
      <c r="M16" s="8" t="n">
        <f aca="false">M15+L16</f>
        <v>89247.1387695305</v>
      </c>
      <c r="N16" s="5" t="str">
        <f aca="false">IF(L16&gt;0,"прибыль",IF(L16&lt;0,"убыток","ноль"))</f>
        <v>прибыль</v>
      </c>
      <c r="O16" s="6" t="n">
        <f aca="false">IF(L16&lt;0,O15+1,0)</f>
        <v>0</v>
      </c>
      <c r="P16" s="6" t="n">
        <v>25</v>
      </c>
    </row>
    <row r="17" customFormat="false" ht="15" hidden="false" customHeight="false" outlineLevel="0" collapsed="false">
      <c r="A17" s="6" t="n">
        <v>12</v>
      </c>
      <c r="B17" s="5" t="s">
        <v>72</v>
      </c>
      <c r="C17" s="5" t="s">
        <v>25</v>
      </c>
      <c r="D17" s="11" t="n">
        <v>41290</v>
      </c>
      <c r="E17" s="11" t="n">
        <v>41326</v>
      </c>
      <c r="F17" s="5" t="s">
        <v>73</v>
      </c>
      <c r="G17" s="12" t="n">
        <v>387186.52550433</v>
      </c>
      <c r="H17" s="13" t="n">
        <v>110.5</v>
      </c>
      <c r="I17" s="13" t="n">
        <v>115.2</v>
      </c>
      <c r="J17" s="5" t="s">
        <v>74</v>
      </c>
      <c r="K17" s="8" t="n">
        <v>61.3093987923312</v>
      </c>
      <c r="L17" s="8" t="n">
        <v>8415.7886537118</v>
      </c>
      <c r="M17" s="8" t="n">
        <f aca="false">M16+L17</f>
        <v>97662.9274232423</v>
      </c>
      <c r="N17" s="5" t="str">
        <f aca="false">IF(L17&gt;0,"прибыль",IF(L17&lt;0,"убыток","ноль"))</f>
        <v>прибыль</v>
      </c>
      <c r="O17" s="6" t="n">
        <f aca="false">IF(L17&lt;0,O16+1,0)</f>
        <v>0</v>
      </c>
      <c r="P17" s="6" t="n">
        <v>26</v>
      </c>
    </row>
    <row r="18" customFormat="false" ht="15" hidden="false" customHeight="false" outlineLevel="0" collapsed="false">
      <c r="A18" s="6" t="n">
        <v>13</v>
      </c>
      <c r="B18" s="5" t="s">
        <v>72</v>
      </c>
      <c r="C18" s="5" t="s">
        <v>25</v>
      </c>
      <c r="D18" s="11" t="n">
        <v>41326</v>
      </c>
      <c r="E18" s="11" t="n">
        <v>41352</v>
      </c>
      <c r="F18" s="5" t="s">
        <v>73</v>
      </c>
      <c r="G18" s="12" t="n">
        <v>1311749.1702898</v>
      </c>
      <c r="H18" s="13" t="n">
        <v>115.2</v>
      </c>
      <c r="I18" s="13" t="n">
        <v>109.3</v>
      </c>
      <c r="J18" s="5" t="s">
        <v>74</v>
      </c>
      <c r="K18" s="8" t="n">
        <v>125.548759597673</v>
      </c>
      <c r="L18" s="8" t="n">
        <v>-45534.3996205008</v>
      </c>
      <c r="M18" s="8" t="n">
        <f aca="false">M17+L18</f>
        <v>52128.5278027415</v>
      </c>
      <c r="N18" s="5" t="str">
        <f aca="false">IF(L18&gt;0,"прибыль",IF(L18&lt;0,"убыток","ноль"))</f>
        <v>убыток</v>
      </c>
      <c r="O18" s="6" t="n">
        <f aca="false">IF(L18&lt;0,O17+1,0)</f>
        <v>1</v>
      </c>
      <c r="P18" s="6" t="n">
        <v>17</v>
      </c>
    </row>
    <row r="19" customFormat="false" ht="15" hidden="false" customHeight="false" outlineLevel="0" collapsed="false">
      <c r="A19" s="6" t="n">
        <v>14</v>
      </c>
      <c r="B19" s="5" t="s">
        <v>72</v>
      </c>
      <c r="C19" s="5" t="s">
        <v>25</v>
      </c>
      <c r="D19" s="11" t="n">
        <v>41352</v>
      </c>
      <c r="E19" s="11" t="n">
        <v>41368</v>
      </c>
      <c r="F19" s="5" t="s">
        <v>75</v>
      </c>
      <c r="G19" s="12" t="n">
        <v>386577.8561255</v>
      </c>
      <c r="H19" s="13" t="n">
        <v>109.3</v>
      </c>
      <c r="I19" s="13" t="n">
        <v>107.3</v>
      </c>
      <c r="K19" s="8" t="n">
        <v>31.5528302856621</v>
      </c>
      <c r="L19" s="8" t="n">
        <v>5514.92810720447</v>
      </c>
      <c r="M19" s="8" t="n">
        <f aca="false">M18+L19</f>
        <v>57643.455909946</v>
      </c>
      <c r="N19" s="5" t="str">
        <f aca="false">IF(L19&gt;0,"прибыль",IF(L19&lt;0,"убыток","ноль"))</f>
        <v>прибыль</v>
      </c>
      <c r="O19" s="6" t="n">
        <f aca="false">IF(L19&lt;0,O18+1,0)</f>
        <v>0</v>
      </c>
      <c r="P19" s="6" t="n">
        <v>12</v>
      </c>
    </row>
    <row r="20" customFormat="false" ht="15" hidden="false" customHeight="false" outlineLevel="0" collapsed="false">
      <c r="A20" s="6" t="n">
        <v>15</v>
      </c>
      <c r="B20" s="5" t="s">
        <v>72</v>
      </c>
      <c r="C20" s="5" t="s">
        <v>25</v>
      </c>
      <c r="D20" s="11" t="n">
        <v>41368</v>
      </c>
      <c r="E20" s="11" t="n">
        <v>41380</v>
      </c>
      <c r="F20" s="5" t="s">
        <v>75</v>
      </c>
      <c r="G20" s="12" t="n">
        <v>238436.227778826</v>
      </c>
      <c r="H20" s="13" t="n">
        <v>107.3</v>
      </c>
      <c r="I20" s="13" t="n">
        <v>100.27</v>
      </c>
      <c r="K20" s="8" t="n">
        <v>10.9825532642174</v>
      </c>
      <c r="L20" s="8" t="n">
        <v>18774.1799412148</v>
      </c>
      <c r="M20" s="8" t="n">
        <f aca="false">M19+L20</f>
        <v>76417.6358511608</v>
      </c>
      <c r="N20" s="5" t="str">
        <f aca="false">IF(L20&gt;0,"прибыль",IF(L20&lt;0,"убыток","ноль"))</f>
        <v>прибыль</v>
      </c>
      <c r="O20" s="6" t="n">
        <f aca="false">IF(L20&lt;0,O19+1,0)</f>
        <v>0</v>
      </c>
      <c r="P20" s="6" t="n">
        <v>8</v>
      </c>
    </row>
    <row r="21" customFormat="false" ht="15" hidden="false" customHeight="false" outlineLevel="0" collapsed="false">
      <c r="A21" s="6" t="n">
        <v>16</v>
      </c>
      <c r="B21" s="5" t="s">
        <v>72</v>
      </c>
      <c r="C21" s="5" t="s">
        <v>25</v>
      </c>
      <c r="D21" s="11" t="n">
        <v>41380</v>
      </c>
      <c r="E21" s="11" t="n">
        <v>41438</v>
      </c>
      <c r="F21" s="5" t="s">
        <v>75</v>
      </c>
      <c r="G21" s="12" t="n">
        <v>228099.708263478</v>
      </c>
      <c r="H21" s="13" t="n">
        <v>100.27</v>
      </c>
      <c r="I21" s="13" t="n">
        <v>103.14</v>
      </c>
      <c r="J21" s="5" t="s">
        <v>74</v>
      </c>
      <c r="K21" s="8" t="n">
        <v>24.0231137988431</v>
      </c>
      <c r="L21" s="8" t="n">
        <v>10676.1581849099</v>
      </c>
      <c r="M21" s="8" t="n">
        <f aca="false">M20+L21</f>
        <v>87093.7940360707</v>
      </c>
      <c r="N21" s="5" t="str">
        <f aca="false">IF(L21&gt;0,"прибыль",IF(L21&lt;0,"убыток","ноль"))</f>
        <v>прибыль</v>
      </c>
      <c r="O21" s="6" t="n">
        <f aca="false">IF(L21&lt;0,O20+1,0)</f>
        <v>0</v>
      </c>
      <c r="P21" s="6" t="n">
        <v>39</v>
      </c>
    </row>
    <row r="22" customFormat="false" ht="15" hidden="false" customHeight="false" outlineLevel="0" collapsed="false">
      <c r="A22" s="6" t="n">
        <v>17</v>
      </c>
      <c r="B22" s="5" t="s">
        <v>72</v>
      </c>
      <c r="C22" s="5" t="s">
        <v>25</v>
      </c>
      <c r="D22" s="11" t="n">
        <v>41438</v>
      </c>
      <c r="E22" s="11" t="n">
        <v>41472</v>
      </c>
      <c r="F22" s="5" t="s">
        <v>75</v>
      </c>
      <c r="G22" s="12" t="n">
        <v>904609.059894087</v>
      </c>
      <c r="H22" s="13" t="n">
        <v>103.14</v>
      </c>
      <c r="I22" s="13" t="n">
        <v>109.4</v>
      </c>
      <c r="J22" s="5" t="s">
        <v>74</v>
      </c>
      <c r="K22" s="8" t="n">
        <v>88.1708862964972</v>
      </c>
      <c r="L22" s="8" t="n">
        <v>1874.21112885471</v>
      </c>
      <c r="M22" s="8" t="n">
        <f aca="false">M21+L22</f>
        <v>88968.0051649255</v>
      </c>
      <c r="N22" s="5" t="str">
        <f aca="false">IF(L22&gt;0,"прибыль",IF(L22&lt;0,"убыток","ноль"))</f>
        <v>прибыль</v>
      </c>
      <c r="O22" s="6" t="n">
        <f aca="false">IF(L22&lt;0,O21+1,0)</f>
        <v>0</v>
      </c>
      <c r="P22" s="6" t="n">
        <v>24</v>
      </c>
    </row>
    <row r="23" customFormat="false" ht="15" hidden="false" customHeight="false" outlineLevel="0" collapsed="false">
      <c r="A23" s="6" t="n">
        <v>18</v>
      </c>
      <c r="B23" s="5" t="s">
        <v>72</v>
      </c>
      <c r="C23" s="5" t="s">
        <v>25</v>
      </c>
      <c r="D23" s="11" t="n">
        <v>41472</v>
      </c>
      <c r="E23" s="11" t="n">
        <v>41514</v>
      </c>
      <c r="F23" s="5" t="s">
        <v>73</v>
      </c>
      <c r="G23" s="12" t="n">
        <v>539149.079438534</v>
      </c>
      <c r="H23" s="13" t="n">
        <v>109.4</v>
      </c>
      <c r="I23" s="13" t="n">
        <v>114.35</v>
      </c>
      <c r="J23" s="5" t="s">
        <v>74</v>
      </c>
      <c r="K23" s="8" t="n">
        <v>58.4562722805389</v>
      </c>
      <c r="L23" s="8" t="n">
        <v>31924.9251924724</v>
      </c>
      <c r="M23" s="8" t="n">
        <f aca="false">M22+L23</f>
        <v>120892.930357398</v>
      </c>
      <c r="N23" s="5" t="str">
        <f aca="false">IF(L23&gt;0,"прибыль",IF(L23&lt;0,"убыток","ноль"))</f>
        <v>прибыль</v>
      </c>
      <c r="O23" s="6" t="n">
        <f aca="false">IF(L23&lt;0,O22+1,0)</f>
        <v>0</v>
      </c>
      <c r="P23" s="6" t="n">
        <v>30</v>
      </c>
    </row>
    <row r="24" customFormat="false" ht="15" hidden="false" customHeight="false" outlineLevel="0" collapsed="false">
      <c r="A24" s="6" t="n">
        <v>19</v>
      </c>
      <c r="B24" s="5" t="s">
        <v>72</v>
      </c>
      <c r="C24" s="5" t="s">
        <v>25</v>
      </c>
      <c r="D24" s="11" t="n">
        <v>41514</v>
      </c>
      <c r="E24" s="11" t="n">
        <v>41535</v>
      </c>
      <c r="F24" s="5" t="s">
        <v>73</v>
      </c>
      <c r="G24" s="12" t="n">
        <v>186102.2551934</v>
      </c>
      <c r="H24" s="13" t="n">
        <v>114.35</v>
      </c>
      <c r="I24" s="13" t="n">
        <v>107.81</v>
      </c>
      <c r="J24" s="5" t="s">
        <v>74</v>
      </c>
      <c r="K24" s="8" t="n">
        <v>9.49859821695534</v>
      </c>
      <c r="L24" s="8" t="n">
        <v>3860.21054748954</v>
      </c>
      <c r="M24" s="8" t="n">
        <f aca="false">M23+L24</f>
        <v>124753.140904887</v>
      </c>
      <c r="N24" s="5" t="str">
        <f aca="false">IF(L24&gt;0,"прибыль",IF(L24&lt;0,"убыток","ноль"))</f>
        <v>прибыль</v>
      </c>
      <c r="O24" s="6" t="n">
        <f aca="false">IF(L24&lt;0,O23+1,0)</f>
        <v>0</v>
      </c>
      <c r="P24" s="6" t="n">
        <v>15</v>
      </c>
    </row>
    <row r="25" customFormat="false" ht="15" hidden="false" customHeight="false" outlineLevel="0" collapsed="false">
      <c r="A25" s="6" t="n">
        <v>20</v>
      </c>
      <c r="B25" s="5" t="s">
        <v>72</v>
      </c>
      <c r="C25" s="5" t="s">
        <v>25</v>
      </c>
      <c r="D25" s="11" t="n">
        <v>41535</v>
      </c>
      <c r="E25" s="11" t="n">
        <v>41590</v>
      </c>
      <c r="F25" s="5" t="s">
        <v>73</v>
      </c>
      <c r="G25" s="12" t="n">
        <v>978587.20447848</v>
      </c>
      <c r="H25" s="13" t="n">
        <v>107.81</v>
      </c>
      <c r="I25" s="13" t="n">
        <v>106.35</v>
      </c>
      <c r="J25" s="5" t="s">
        <v>74</v>
      </c>
      <c r="K25" s="8" t="n">
        <v>101.686512256261</v>
      </c>
      <c r="L25" s="8" t="n">
        <v>10231.9247940511</v>
      </c>
      <c r="M25" s="8" t="n">
        <f aca="false">M24+L25</f>
        <v>134985.065698938</v>
      </c>
      <c r="N25" s="5" t="str">
        <f aca="false">IF(L25&gt;0,"прибыль",IF(L25&lt;0,"убыток","ноль"))</f>
        <v>прибыль</v>
      </c>
      <c r="O25" s="6" t="n">
        <f aca="false">IF(L25&lt;0,O24+1,0)</f>
        <v>0</v>
      </c>
      <c r="P25" s="6" t="n">
        <v>36</v>
      </c>
    </row>
    <row r="26" customFormat="false" ht="15" hidden="false" customHeight="false" outlineLevel="0" collapsed="false">
      <c r="A26" s="6" t="n">
        <v>21</v>
      </c>
      <c r="B26" s="5" t="s">
        <v>72</v>
      </c>
      <c r="C26" s="5" t="s">
        <v>25</v>
      </c>
      <c r="D26" s="11" t="n">
        <v>41590</v>
      </c>
      <c r="E26" s="11" t="n">
        <v>41591</v>
      </c>
      <c r="F26" s="5" t="s">
        <v>75</v>
      </c>
      <c r="G26" s="12" t="n">
        <v>1.98146151610454E-010</v>
      </c>
      <c r="H26" s="13" t="n">
        <v>106.35</v>
      </c>
      <c r="I26" s="13" t="n">
        <v>105.95</v>
      </c>
      <c r="K26" s="8" t="n">
        <v>9.88748348035693E-015</v>
      </c>
      <c r="L26" s="8" t="n">
        <v>3.86594519835104E-013</v>
      </c>
      <c r="M26" s="8" t="n">
        <f aca="false">M25+L26</f>
        <v>134985.065698938</v>
      </c>
      <c r="N26" s="5" t="str">
        <f aca="false">IF(L26&gt;0,"прибыль",IF(L26&lt;0,"убыток","ноль"))</f>
        <v>прибыль</v>
      </c>
      <c r="O26" s="6" t="n">
        <f aca="false">IF(L26&lt;0,O25+1,0)</f>
        <v>0</v>
      </c>
      <c r="P26" s="6" t="n">
        <v>1</v>
      </c>
    </row>
    <row r="27" customFormat="false" ht="15" hidden="false" customHeight="false" outlineLevel="0" collapsed="false">
      <c r="A27" s="6" t="n">
        <v>22</v>
      </c>
      <c r="B27" s="5" t="s">
        <v>72</v>
      </c>
      <c r="C27" s="5" t="s">
        <v>25</v>
      </c>
      <c r="D27" s="11" t="n">
        <v>41591</v>
      </c>
      <c r="E27" s="11" t="n">
        <v>41610</v>
      </c>
      <c r="F27" s="5" t="s">
        <v>75</v>
      </c>
      <c r="G27" s="12" t="n">
        <v>799734.922988512</v>
      </c>
      <c r="H27" s="13" t="n">
        <v>105.95</v>
      </c>
      <c r="I27" s="13" t="n">
        <v>110.05</v>
      </c>
      <c r="J27" s="5" t="s">
        <v>74</v>
      </c>
      <c r="K27" s="8" t="n">
        <v>83.3149126308964</v>
      </c>
      <c r="L27" s="8" t="n">
        <v>-31492.6959900422</v>
      </c>
      <c r="M27" s="8" t="n">
        <f aca="false">M26+L27</f>
        <v>103492.369708896</v>
      </c>
      <c r="N27" s="5" t="str">
        <f aca="false">IF(L27&gt;0,"прибыль",IF(L27&lt;0,"убыток","ноль"))</f>
        <v>убыток</v>
      </c>
      <c r="O27" s="6" t="n">
        <f aca="false">IF(L27&lt;0,O26+1,0)</f>
        <v>1</v>
      </c>
      <c r="P27" s="6" t="n">
        <v>13</v>
      </c>
    </row>
    <row r="28" customFormat="false" ht="15" hidden="false" customHeight="false" outlineLevel="0" collapsed="false">
      <c r="A28" s="6" t="n">
        <v>23</v>
      </c>
      <c r="B28" s="5" t="s">
        <v>72</v>
      </c>
      <c r="C28" s="5" t="s">
        <v>25</v>
      </c>
      <c r="D28" s="11" t="n">
        <v>41610</v>
      </c>
      <c r="E28" s="11" t="n">
        <v>41673</v>
      </c>
      <c r="F28" s="5" t="s">
        <v>73</v>
      </c>
      <c r="G28" s="12" t="n">
        <v>1021508.03697749</v>
      </c>
      <c r="H28" s="13" t="n">
        <v>110.05</v>
      </c>
      <c r="I28" s="13" t="n">
        <v>106.36</v>
      </c>
      <c r="J28" s="5" t="s">
        <v>74</v>
      </c>
      <c r="K28" s="8" t="n">
        <v>104.538069063572</v>
      </c>
      <c r="L28" s="8" t="n">
        <v>-16436.6967366656</v>
      </c>
      <c r="M28" s="8" t="n">
        <f aca="false">M27+L28</f>
        <v>87055.6729722307</v>
      </c>
      <c r="N28" s="5" t="str">
        <f aca="false">IF(L28&gt;0,"прибыль",IF(L28&lt;0,"убыток","ноль"))</f>
        <v>убыток</v>
      </c>
      <c r="O28" s="6" t="n">
        <f aca="false">IF(L28&lt;0,O27+1,0)</f>
        <v>2</v>
      </c>
      <c r="P28" s="6" t="n">
        <v>40</v>
      </c>
    </row>
    <row r="29" customFormat="false" ht="15" hidden="false" customHeight="false" outlineLevel="0" collapsed="false">
      <c r="A29" s="6" t="n">
        <v>24</v>
      </c>
      <c r="B29" s="5" t="s">
        <v>72</v>
      </c>
      <c r="C29" s="5" t="s">
        <v>25</v>
      </c>
      <c r="D29" s="11" t="n">
        <v>41673</v>
      </c>
      <c r="E29" s="11" t="n">
        <v>41680</v>
      </c>
      <c r="F29" s="5" t="s">
        <v>75</v>
      </c>
      <c r="G29" s="12" t="n">
        <v>292624.121657335</v>
      </c>
      <c r="H29" s="13" t="n">
        <v>106.36</v>
      </c>
      <c r="I29" s="13" t="n">
        <v>109.38</v>
      </c>
      <c r="K29" s="8" t="n">
        <v>41.0300787823928</v>
      </c>
      <c r="L29" s="8" t="n">
        <v>-9161.1051406332</v>
      </c>
      <c r="M29" s="8" t="n">
        <f aca="false">M28+L29</f>
        <v>77894.5678315975</v>
      </c>
      <c r="N29" s="5" t="str">
        <f aca="false">IF(L29&gt;0,"прибыль",IF(L29&lt;0,"убыток","ноль"))</f>
        <v>убыток</v>
      </c>
      <c r="O29" s="6" t="n">
        <f aca="false">IF(L29&lt;0,O28+1,0)</f>
        <v>3</v>
      </c>
      <c r="P29" s="6" t="n">
        <v>5</v>
      </c>
    </row>
    <row r="30" customFormat="false" ht="15" hidden="false" customHeight="false" outlineLevel="0" collapsed="false">
      <c r="A30" s="6" t="n">
        <v>25</v>
      </c>
      <c r="B30" s="5" t="s">
        <v>72</v>
      </c>
      <c r="C30" s="5" t="s">
        <v>25</v>
      </c>
      <c r="D30" s="11" t="n">
        <v>41680</v>
      </c>
      <c r="E30" s="11" t="n">
        <v>41695</v>
      </c>
      <c r="F30" s="5" t="s">
        <v>75</v>
      </c>
      <c r="G30" s="12" t="n">
        <v>1125464.6718074</v>
      </c>
      <c r="H30" s="13" t="n">
        <v>109.38</v>
      </c>
      <c r="I30" s="13" t="n">
        <v>110.55</v>
      </c>
      <c r="J30" s="5" t="s">
        <v>74</v>
      </c>
      <c r="K30" s="8" t="n">
        <v>120.937192046771</v>
      </c>
      <c r="L30" s="8" t="n">
        <v>-44028.6747482081</v>
      </c>
      <c r="M30" s="8" t="n">
        <f aca="false">M29+L30</f>
        <v>33865.8930833894</v>
      </c>
      <c r="N30" s="5" t="str">
        <f aca="false">IF(L30&gt;0,"прибыль",IF(L30&lt;0,"убыток","ноль"))</f>
        <v>убыток</v>
      </c>
      <c r="O30" s="6" t="n">
        <f aca="false">IF(L30&lt;0,O29+1,0)</f>
        <v>4</v>
      </c>
      <c r="P30" s="6" t="n">
        <v>11</v>
      </c>
    </row>
    <row r="31" customFormat="false" ht="15" hidden="false" customHeight="false" outlineLevel="0" collapsed="false">
      <c r="A31" s="6" t="n">
        <v>26</v>
      </c>
      <c r="B31" s="5" t="s">
        <v>72</v>
      </c>
      <c r="C31" s="5" t="s">
        <v>25</v>
      </c>
      <c r="D31" s="11" t="n">
        <v>41695</v>
      </c>
      <c r="E31" s="11" t="n">
        <v>41758</v>
      </c>
      <c r="F31" s="5" t="s">
        <v>73</v>
      </c>
      <c r="G31" s="12" t="n">
        <v>257979.153200206</v>
      </c>
      <c r="H31" s="13" t="n">
        <v>110.55</v>
      </c>
      <c r="I31" s="13" t="n">
        <v>108.49</v>
      </c>
      <c r="J31" s="5" t="s">
        <v>74</v>
      </c>
      <c r="K31" s="8" t="n">
        <v>12.81233291508</v>
      </c>
      <c r="L31" s="8" t="n">
        <v>-1745.30723152091</v>
      </c>
      <c r="M31" s="8" t="n">
        <f aca="false">M30+L31</f>
        <v>32120.5858518684</v>
      </c>
      <c r="N31" s="5" t="str">
        <f aca="false">IF(L31&gt;0,"прибыль",IF(L31&lt;0,"убыток","ноль"))</f>
        <v>убыток</v>
      </c>
      <c r="O31" s="6" t="n">
        <f aca="false">IF(L31&lt;0,O30+1,0)</f>
        <v>5</v>
      </c>
      <c r="P31" s="6" t="n">
        <v>44</v>
      </c>
    </row>
    <row r="32" customFormat="false" ht="15" hidden="false" customHeight="false" outlineLevel="0" collapsed="false">
      <c r="A32" s="6" t="n">
        <v>27</v>
      </c>
      <c r="B32" s="5" t="s">
        <v>72</v>
      </c>
      <c r="C32" s="5" t="s">
        <v>25</v>
      </c>
      <c r="D32" s="11" t="n">
        <v>41758</v>
      </c>
      <c r="E32" s="11" t="n">
        <v>41806</v>
      </c>
      <c r="F32" s="5" t="s">
        <v>73</v>
      </c>
      <c r="G32" s="12" t="n">
        <v>820448.215775115</v>
      </c>
      <c r="H32" s="13" t="n">
        <v>108.49</v>
      </c>
      <c r="I32" s="13" t="n">
        <v>113.37</v>
      </c>
      <c r="J32" s="5" t="s">
        <v>74</v>
      </c>
      <c r="K32" s="8" t="n">
        <v>91.4215202770895</v>
      </c>
      <c r="L32" s="8" t="n">
        <v>32830.4819349005</v>
      </c>
      <c r="M32" s="8" t="n">
        <f aca="false">M31+L32</f>
        <v>64951.0677867689</v>
      </c>
      <c r="N32" s="5" t="str">
        <f aca="false">IF(L32&gt;0,"прибыль",IF(L32&lt;0,"убыток","ноль"))</f>
        <v>прибыль</v>
      </c>
      <c r="O32" s="6" t="n">
        <f aca="false">IF(L32&lt;0,O31+1,0)</f>
        <v>0</v>
      </c>
      <c r="P32" s="6" t="n">
        <v>31</v>
      </c>
    </row>
    <row r="33" customFormat="false" ht="15" hidden="false" customHeight="false" outlineLevel="0" collapsed="false">
      <c r="A33" s="6" t="n">
        <v>28</v>
      </c>
      <c r="B33" s="5" t="s">
        <v>72</v>
      </c>
      <c r="C33" s="5" t="s">
        <v>25</v>
      </c>
      <c r="D33" s="11" t="n">
        <v>41806</v>
      </c>
      <c r="E33" s="11" t="n">
        <v>41842</v>
      </c>
      <c r="F33" s="5" t="s">
        <v>73</v>
      </c>
      <c r="G33" s="12" t="n">
        <v>1430162.52957076</v>
      </c>
      <c r="H33" s="13" t="n">
        <v>113.37</v>
      </c>
      <c r="I33" s="13" t="n">
        <v>107.85</v>
      </c>
      <c r="J33" s="5" t="s">
        <v>74</v>
      </c>
      <c r="K33" s="8" t="n">
        <v>157.756527628429</v>
      </c>
      <c r="L33" s="8" t="n">
        <v>-34022.9178787191</v>
      </c>
      <c r="M33" s="8" t="n">
        <f aca="false">M32+L33</f>
        <v>30928.1499080499</v>
      </c>
      <c r="N33" s="5" t="str">
        <f aca="false">IF(L33&gt;0,"прибыль",IF(L33&lt;0,"убыток","ноль"))</f>
        <v>убыток</v>
      </c>
      <c r="O33" s="6" t="n">
        <f aca="false">IF(L33&lt;0,O32+1,0)</f>
        <v>1</v>
      </c>
      <c r="P33" s="6" t="n">
        <v>26</v>
      </c>
    </row>
    <row r="34" customFormat="false" ht="15" hidden="false" customHeight="false" outlineLevel="0" collapsed="false">
      <c r="A34" s="6" t="n">
        <v>29</v>
      </c>
      <c r="B34" s="5" t="s">
        <v>72</v>
      </c>
      <c r="C34" s="5" t="s">
        <v>25</v>
      </c>
      <c r="D34" s="11" t="n">
        <v>41842</v>
      </c>
      <c r="E34" s="11" t="n">
        <v>41866</v>
      </c>
      <c r="F34" s="5" t="s">
        <v>75</v>
      </c>
      <c r="G34" s="12" t="n">
        <v>309678.576162189</v>
      </c>
      <c r="H34" s="13" t="n">
        <v>107.85</v>
      </c>
      <c r="I34" s="13" t="n">
        <v>102.24</v>
      </c>
      <c r="K34" s="8" t="n">
        <v>14.6981603281057</v>
      </c>
      <c r="L34" s="8" t="n">
        <v>15700.6714397459</v>
      </c>
      <c r="M34" s="8" t="n">
        <f aca="false">M33+L34</f>
        <v>46628.8213477958</v>
      </c>
      <c r="N34" s="5" t="str">
        <f aca="false">IF(L34&gt;0,"прибыль",IF(L34&lt;0,"убыток","ноль"))</f>
        <v>прибыль</v>
      </c>
      <c r="O34" s="6" t="n">
        <f aca="false">IF(L34&lt;0,O33+1,0)</f>
        <v>0</v>
      </c>
      <c r="P34" s="6" t="n">
        <v>18</v>
      </c>
    </row>
    <row r="35" customFormat="false" ht="15" hidden="false" customHeight="false" outlineLevel="0" collapsed="false">
      <c r="A35" s="6" t="n">
        <v>30</v>
      </c>
      <c r="B35" s="5" t="s">
        <v>72</v>
      </c>
      <c r="C35" s="5" t="s">
        <v>25</v>
      </c>
      <c r="D35" s="11" t="n">
        <v>41866</v>
      </c>
      <c r="E35" s="11" t="n">
        <v>41927</v>
      </c>
      <c r="F35" s="5" t="s">
        <v>75</v>
      </c>
      <c r="G35" s="12" t="n">
        <v>392017.734479259</v>
      </c>
      <c r="H35" s="13" t="n">
        <v>102.24</v>
      </c>
      <c r="I35" s="13" t="n">
        <v>85.21</v>
      </c>
      <c r="J35" s="5" t="s">
        <v>74</v>
      </c>
      <c r="K35" s="8" t="n">
        <v>31.0834028134876</v>
      </c>
      <c r="L35" s="8" t="n">
        <v>81311.2943137557</v>
      </c>
      <c r="M35" s="8" t="n">
        <f aca="false">M34+L35</f>
        <v>127940.115661552</v>
      </c>
      <c r="N35" s="5" t="str">
        <f aca="false">IF(L35&gt;0,"прибыль",IF(L35&lt;0,"убыток","ноль"))</f>
        <v>прибыль</v>
      </c>
      <c r="O35" s="6" t="n">
        <f aca="false">IF(L35&lt;0,O34+1,0)</f>
        <v>0</v>
      </c>
      <c r="P35" s="6" t="n">
        <v>43</v>
      </c>
    </row>
    <row r="36" customFormat="false" ht="15" hidden="false" customHeight="false" outlineLevel="0" collapsed="false">
      <c r="A36" s="6" t="n">
        <v>31</v>
      </c>
      <c r="B36" s="5" t="s">
        <v>72</v>
      </c>
      <c r="C36" s="5" t="s">
        <v>25</v>
      </c>
      <c r="D36" s="11" t="n">
        <v>41927</v>
      </c>
      <c r="E36" s="11" t="n">
        <v>41942</v>
      </c>
      <c r="F36" s="5" t="s">
        <v>75</v>
      </c>
      <c r="G36" s="12" t="n">
        <v>222903.284933451</v>
      </c>
      <c r="H36" s="13" t="n">
        <v>85.21</v>
      </c>
      <c r="I36" s="13" t="n">
        <v>87.03</v>
      </c>
      <c r="J36" s="5" t="s">
        <v>74</v>
      </c>
      <c r="K36" s="8" t="n">
        <v>8.84051111073768</v>
      </c>
      <c r="L36" s="8" t="n">
        <v>46084.2222075867</v>
      </c>
      <c r="M36" s="8" t="n">
        <f aca="false">M35+L36</f>
        <v>174024.337869138</v>
      </c>
      <c r="N36" s="5" t="str">
        <f aca="false">IF(L36&gt;0,"прибыль",IF(L36&lt;0,"убыток","ноль"))</f>
        <v>прибыль</v>
      </c>
      <c r="O36" s="6" t="n">
        <f aca="false">IF(L36&lt;0,O35+1,0)</f>
        <v>0</v>
      </c>
      <c r="P36" s="6" t="n">
        <v>11</v>
      </c>
    </row>
    <row r="37" customFormat="false" ht="15" hidden="false" customHeight="false" outlineLevel="0" collapsed="false">
      <c r="A37" s="6" t="n">
        <v>32</v>
      </c>
      <c r="B37" s="5" t="s">
        <v>72</v>
      </c>
      <c r="C37" s="5" t="s">
        <v>25</v>
      </c>
      <c r="D37" s="11" t="n">
        <v>41942</v>
      </c>
      <c r="E37" s="11" t="n">
        <v>41971</v>
      </c>
      <c r="F37" s="5" t="s">
        <v>75</v>
      </c>
      <c r="G37" s="12" t="n">
        <v>231800.03704539</v>
      </c>
      <c r="H37" s="13" t="n">
        <v>87.03</v>
      </c>
      <c r="I37" s="13" t="n">
        <v>72.51</v>
      </c>
      <c r="J37" s="5" t="s">
        <v>74</v>
      </c>
      <c r="K37" s="8" t="n">
        <v>17.7059426225197</v>
      </c>
      <c r="L37" s="8" t="n">
        <v>71785.9048513452</v>
      </c>
      <c r="M37" s="8" t="n">
        <f aca="false">M36+L37</f>
        <v>245810.242720483</v>
      </c>
      <c r="N37" s="5" t="str">
        <f aca="false">IF(L37&gt;0,"прибыль",IF(L37&lt;0,"убыток","ноль"))</f>
        <v>прибыль</v>
      </c>
      <c r="O37" s="6" t="n">
        <f aca="false">IF(L37&lt;0,O36+1,0)</f>
        <v>0</v>
      </c>
      <c r="P37" s="6" t="n">
        <v>20</v>
      </c>
    </row>
    <row r="38" customFormat="false" ht="15" hidden="false" customHeight="false" outlineLevel="0" collapsed="false">
      <c r="A38" s="6" t="n">
        <v>33</v>
      </c>
      <c r="B38" s="5" t="s">
        <v>72</v>
      </c>
      <c r="C38" s="5" t="s">
        <v>25</v>
      </c>
      <c r="D38" s="11" t="n">
        <v>41971</v>
      </c>
      <c r="E38" s="11" t="n">
        <v>41997</v>
      </c>
      <c r="F38" s="5" t="s">
        <v>75</v>
      </c>
      <c r="G38" s="12" t="n">
        <v>187129.099155816</v>
      </c>
      <c r="H38" s="13" t="n">
        <v>72.51</v>
      </c>
      <c r="I38" s="13" t="n">
        <v>61.56</v>
      </c>
      <c r="J38" s="5" t="s">
        <v>74</v>
      </c>
      <c r="K38" s="8" t="n">
        <v>5.37746773022919</v>
      </c>
      <c r="L38" s="8" t="n">
        <v>79574.3670835019</v>
      </c>
      <c r="M38" s="8" t="n">
        <f aca="false">M37+L38</f>
        <v>325384.609803985</v>
      </c>
      <c r="N38" s="5" t="str">
        <f aca="false">IF(L38&gt;0,"прибыль",IF(L38&lt;0,"убыток","ноль"))</f>
        <v>прибыль</v>
      </c>
      <c r="O38" s="6" t="n">
        <f aca="false">IF(L38&lt;0,O37+1,0)</f>
        <v>0</v>
      </c>
      <c r="P38" s="6" t="n">
        <v>18</v>
      </c>
    </row>
    <row r="39" customFormat="false" ht="15" hidden="false" customHeight="false" outlineLevel="0" collapsed="false">
      <c r="A39" s="6" t="n">
        <v>34</v>
      </c>
      <c r="B39" s="5" t="s">
        <v>72</v>
      </c>
      <c r="C39" s="5" t="s">
        <v>25</v>
      </c>
      <c r="D39" s="11" t="n">
        <v>41997</v>
      </c>
      <c r="E39" s="11" t="n">
        <v>42038</v>
      </c>
      <c r="F39" s="5" t="s">
        <v>75</v>
      </c>
      <c r="G39" s="12" t="n">
        <v>212588.951751156</v>
      </c>
      <c r="H39" s="13" t="n">
        <v>61.56</v>
      </c>
      <c r="I39" s="13" t="n">
        <v>54.9</v>
      </c>
      <c r="J39" s="5" t="s">
        <v>74</v>
      </c>
      <c r="K39" s="8" t="n">
        <v>10.9272173746181</v>
      </c>
      <c r="L39" s="8" t="n">
        <v>96257.2519156048</v>
      </c>
      <c r="M39" s="8" t="n">
        <f aca="false">M38+L39</f>
        <v>421641.86171959</v>
      </c>
      <c r="N39" s="5" t="str">
        <f aca="false">IF(L39&gt;0,"прибыль",IF(L39&lt;0,"убыток","ноль"))</f>
        <v>прибыль</v>
      </c>
      <c r="O39" s="6" t="n">
        <f aca="false">IF(L39&lt;0,O38+1,0)</f>
        <v>0</v>
      </c>
      <c r="P39" s="6" t="n">
        <v>25</v>
      </c>
    </row>
    <row r="40" customFormat="false" ht="15" hidden="false" customHeight="false" outlineLevel="0" collapsed="false">
      <c r="A40" s="6" t="n">
        <v>35</v>
      </c>
      <c r="B40" s="5" t="s">
        <v>72</v>
      </c>
      <c r="C40" s="5" t="s">
        <v>25</v>
      </c>
      <c r="D40" s="11" t="n">
        <v>42038</v>
      </c>
      <c r="E40" s="11" t="n">
        <v>42079</v>
      </c>
      <c r="F40" s="5" t="s">
        <v>75</v>
      </c>
      <c r="G40" s="12" t="n">
        <v>593270.614993676</v>
      </c>
      <c r="H40" s="13" t="n">
        <v>54.9</v>
      </c>
      <c r="I40" s="13" t="n">
        <v>54.45</v>
      </c>
      <c r="J40" s="5" t="s">
        <v>74</v>
      </c>
      <c r="K40" s="8" t="n">
        <v>36.3597185397757</v>
      </c>
      <c r="L40" s="8" t="n">
        <v>266688.18274415</v>
      </c>
      <c r="M40" s="8" t="n">
        <f aca="false">M39+L40</f>
        <v>688330.04446374</v>
      </c>
      <c r="N40" s="5" t="str">
        <f aca="false">IF(L40&gt;0,"прибыль",IF(L40&lt;0,"убыток","ноль"))</f>
        <v>прибыль</v>
      </c>
      <c r="O40" s="6" t="n">
        <f aca="false">IF(L40&lt;0,O39+1,0)</f>
        <v>0</v>
      </c>
      <c r="P40" s="6" t="n">
        <v>27</v>
      </c>
    </row>
    <row r="41" customFormat="false" ht="15" hidden="false" customHeight="false" outlineLevel="0" collapsed="false">
      <c r="A41" s="6" t="n">
        <v>36</v>
      </c>
      <c r="B41" s="5" t="s">
        <v>72</v>
      </c>
      <c r="C41" s="5" t="s">
        <v>25</v>
      </c>
      <c r="D41" s="11" t="n">
        <v>42079</v>
      </c>
      <c r="E41" s="11" t="n">
        <v>42080</v>
      </c>
      <c r="F41" s="5" t="s">
        <v>73</v>
      </c>
      <c r="G41" s="12" t="n">
        <v>333273.704010007</v>
      </c>
      <c r="H41" s="13" t="n">
        <v>54.45</v>
      </c>
      <c r="I41" s="13" t="n">
        <v>53.29</v>
      </c>
      <c r="K41" s="8" t="n">
        <v>33.8968748498765</v>
      </c>
      <c r="L41" s="8" t="n">
        <v>-8215.58674457772</v>
      </c>
      <c r="M41" s="8" t="n">
        <f aca="false">M40+L41</f>
        <v>680114.457719162</v>
      </c>
      <c r="N41" s="5" t="str">
        <f aca="false">IF(L41&gt;0,"прибыль",IF(L41&lt;0,"убыток","ноль"))</f>
        <v>убыток</v>
      </c>
      <c r="O41" s="6" t="n">
        <f aca="false">IF(L41&lt;0,O40+1,0)</f>
        <v>1</v>
      </c>
      <c r="P41" s="6" t="n">
        <v>1</v>
      </c>
    </row>
    <row r="42" customFormat="false" ht="15" hidden="false" customHeight="false" outlineLevel="0" collapsed="false">
      <c r="A42" s="6" t="n">
        <v>37</v>
      </c>
      <c r="B42" s="5" t="s">
        <v>72</v>
      </c>
      <c r="C42" s="5" t="s">
        <v>25</v>
      </c>
      <c r="D42" s="11" t="n">
        <v>42080</v>
      </c>
      <c r="E42" s="11" t="n">
        <v>42101</v>
      </c>
      <c r="F42" s="5" t="s">
        <v>75</v>
      </c>
      <c r="G42" s="12" t="n">
        <v>89149.7373822242</v>
      </c>
      <c r="H42" s="13" t="n">
        <v>53.29</v>
      </c>
      <c r="I42" s="13" t="n">
        <v>57.83</v>
      </c>
      <c r="J42" s="5" t="s">
        <v>74</v>
      </c>
      <c r="K42" s="8" t="n">
        <v>4.87722426438109</v>
      </c>
      <c r="L42" s="8" t="n">
        <v>-8399.62512966202</v>
      </c>
      <c r="M42" s="8" t="n">
        <f aca="false">M41+L42</f>
        <v>671714.8325895</v>
      </c>
      <c r="N42" s="5" t="str">
        <f aca="false">IF(L42&gt;0,"прибыль",IF(L42&lt;0,"убыток","ноль"))</f>
        <v>убыток</v>
      </c>
      <c r="O42" s="6" t="n">
        <f aca="false">IF(L42&lt;0,O41+1,0)</f>
        <v>2</v>
      </c>
      <c r="P42" s="6" t="n">
        <v>15</v>
      </c>
    </row>
    <row r="43" customFormat="false" ht="15" hidden="false" customHeight="false" outlineLevel="0" collapsed="false">
      <c r="A43" s="6" t="n">
        <v>38</v>
      </c>
      <c r="B43" s="5" t="s">
        <v>72</v>
      </c>
      <c r="C43" s="5" t="s">
        <v>25</v>
      </c>
      <c r="D43" s="11" t="n">
        <v>42101</v>
      </c>
      <c r="E43" s="11" t="n">
        <v>42122</v>
      </c>
      <c r="F43" s="5" t="s">
        <v>75</v>
      </c>
      <c r="G43" s="12" t="n">
        <v>323547.984457799</v>
      </c>
      <c r="H43" s="13" t="n">
        <v>57.83</v>
      </c>
      <c r="I43" s="13" t="n">
        <v>64.52</v>
      </c>
      <c r="J43" s="5" t="s">
        <v>74</v>
      </c>
      <c r="K43" s="8" t="n">
        <v>42.3274710677811</v>
      </c>
      <c r="L43" s="8" t="n">
        <v>-42870.4601710098</v>
      </c>
      <c r="M43" s="8" t="n">
        <f aca="false">M42+L43</f>
        <v>628844.37241849</v>
      </c>
      <c r="N43" s="5" t="str">
        <f aca="false">IF(L43&gt;0,"прибыль",IF(L43&lt;0,"убыток","ноль"))</f>
        <v>убыток</v>
      </c>
      <c r="O43" s="6" t="n">
        <f aca="false">IF(L43&lt;0,O42+1,0)</f>
        <v>3</v>
      </c>
      <c r="P43" s="6" t="n">
        <v>15</v>
      </c>
    </row>
    <row r="44" customFormat="false" ht="15" hidden="false" customHeight="false" outlineLevel="0" collapsed="false">
      <c r="A44" s="6" t="n">
        <v>39</v>
      </c>
      <c r="B44" s="5" t="s">
        <v>72</v>
      </c>
      <c r="C44" s="5" t="s">
        <v>25</v>
      </c>
      <c r="D44" s="11" t="n">
        <v>42122</v>
      </c>
      <c r="E44" s="11" t="n">
        <v>42178</v>
      </c>
      <c r="F44" s="5" t="s">
        <v>73</v>
      </c>
      <c r="G44" s="12" t="n">
        <v>521888.88607182</v>
      </c>
      <c r="H44" s="13" t="n">
        <v>64.52</v>
      </c>
      <c r="I44" s="13" t="n">
        <v>63.32</v>
      </c>
      <c r="J44" s="5" t="s">
        <v>74</v>
      </c>
      <c r="K44" s="8" t="n">
        <v>52.2175775527286</v>
      </c>
      <c r="L44" s="8" t="n">
        <v>-27556.0067864098</v>
      </c>
      <c r="M44" s="8" t="n">
        <f aca="false">M43+L44</f>
        <v>601288.36563208</v>
      </c>
      <c r="N44" s="5" t="str">
        <f aca="false">IF(L44&gt;0,"прибыль",IF(L44&lt;0,"убыток","ноль"))</f>
        <v>убыток</v>
      </c>
      <c r="O44" s="6" t="n">
        <f aca="false">IF(L44&lt;0,O43+1,0)</f>
        <v>4</v>
      </c>
      <c r="P44" s="6" t="n">
        <v>36</v>
      </c>
    </row>
    <row r="45" customFormat="false" ht="15" hidden="false" customHeight="false" outlineLevel="0" collapsed="false">
      <c r="A45" s="6" t="n">
        <v>40</v>
      </c>
      <c r="B45" s="5" t="s">
        <v>72</v>
      </c>
      <c r="C45" s="5" t="s">
        <v>25</v>
      </c>
      <c r="D45" s="11" t="n">
        <v>42178</v>
      </c>
      <c r="E45" s="11" t="n">
        <v>42179</v>
      </c>
      <c r="F45" s="5" t="s">
        <v>75</v>
      </c>
      <c r="G45" s="12" t="n">
        <v>9.04265314235216E-011</v>
      </c>
      <c r="H45" s="13" t="n">
        <v>63.32</v>
      </c>
      <c r="I45" s="13" t="n">
        <v>64.5</v>
      </c>
      <c r="K45" s="8" t="n">
        <v>4.61803436562613E-015</v>
      </c>
      <c r="L45" s="8" t="n">
        <v>-1.93877392336654E-012</v>
      </c>
      <c r="M45" s="8" t="n">
        <f aca="false">M44+L45</f>
        <v>601288.36563208</v>
      </c>
      <c r="N45" s="5" t="str">
        <f aca="false">IF(L45&gt;0,"прибыль",IF(L45&lt;0,"убыток","ноль"))</f>
        <v>убыток</v>
      </c>
      <c r="O45" s="6" t="n">
        <f aca="false">IF(L45&lt;0,O44+1,0)</f>
        <v>5</v>
      </c>
      <c r="P45" s="6" t="n">
        <v>1</v>
      </c>
    </row>
    <row r="46" customFormat="false" ht="15" hidden="false" customHeight="false" outlineLevel="0" collapsed="false">
      <c r="A46" s="6" t="n">
        <v>41</v>
      </c>
      <c r="B46" s="5" t="s">
        <v>72</v>
      </c>
      <c r="C46" s="5" t="s">
        <v>25</v>
      </c>
      <c r="D46" s="11" t="n">
        <v>42179</v>
      </c>
      <c r="E46" s="11" t="n">
        <v>42244</v>
      </c>
      <c r="F46" s="5" t="s">
        <v>75</v>
      </c>
      <c r="G46" s="12" t="n">
        <v>300307.809956431</v>
      </c>
      <c r="H46" s="13" t="n">
        <v>64.5</v>
      </c>
      <c r="I46" s="13" t="n">
        <v>47.5</v>
      </c>
      <c r="J46" s="5" t="s">
        <v>74</v>
      </c>
      <c r="K46" s="8" t="n">
        <v>23.1791526454862</v>
      </c>
      <c r="L46" s="8" t="n">
        <v>58116.9200032409</v>
      </c>
      <c r="M46" s="8" t="n">
        <f aca="false">M45+L46</f>
        <v>659405.285635321</v>
      </c>
      <c r="N46" s="5" t="str">
        <f aca="false">IF(L46&gt;0,"прибыль",IF(L46&lt;0,"убыток","ноль"))</f>
        <v>прибыль</v>
      </c>
      <c r="O46" s="6" t="n">
        <f aca="false">IF(L46&lt;0,O45+1,0)</f>
        <v>0</v>
      </c>
      <c r="P46" s="6" t="n">
        <v>47</v>
      </c>
    </row>
    <row r="47" customFormat="false" ht="15" hidden="false" customHeight="false" outlineLevel="0" collapsed="false">
      <c r="A47" s="6" t="n">
        <v>42</v>
      </c>
      <c r="B47" s="5" t="s">
        <v>72</v>
      </c>
      <c r="C47" s="5" t="s">
        <v>25</v>
      </c>
      <c r="D47" s="11" t="n">
        <v>42244</v>
      </c>
      <c r="E47" s="11" t="n">
        <v>42249</v>
      </c>
      <c r="F47" s="5" t="s">
        <v>75</v>
      </c>
      <c r="G47" s="12" t="n">
        <v>82395.5121564094</v>
      </c>
      <c r="H47" s="13" t="n">
        <v>47.5</v>
      </c>
      <c r="I47" s="13" t="n">
        <v>48.66</v>
      </c>
      <c r="K47" s="8" t="n">
        <v>3.40467826442671</v>
      </c>
      <c r="L47" s="8" t="n">
        <v>14298.5421896109</v>
      </c>
      <c r="M47" s="8" t="n">
        <f aca="false">M46+L47</f>
        <v>673703.827824932</v>
      </c>
      <c r="N47" s="5" t="str">
        <f aca="false">IF(L47&gt;0,"прибыль",IF(L47&lt;0,"убыток","ноль"))</f>
        <v>прибыль</v>
      </c>
      <c r="O47" s="6" t="n">
        <f aca="false">IF(L47&lt;0,O46+1,0)</f>
        <v>0</v>
      </c>
      <c r="P47" s="6" t="n">
        <v>3</v>
      </c>
    </row>
    <row r="48" customFormat="false" ht="15" hidden="false" customHeight="false" outlineLevel="0" collapsed="false">
      <c r="A48" s="6" t="n">
        <v>43</v>
      </c>
      <c r="B48" s="5" t="s">
        <v>72</v>
      </c>
      <c r="C48" s="5" t="s">
        <v>25</v>
      </c>
      <c r="D48" s="11" t="n">
        <v>42249</v>
      </c>
      <c r="E48" s="11" t="n">
        <v>42391</v>
      </c>
      <c r="F48" s="5" t="s">
        <v>75</v>
      </c>
      <c r="G48" s="12" t="n">
        <v>151455.544469188</v>
      </c>
      <c r="H48" s="13" t="n">
        <v>48.66</v>
      </c>
      <c r="I48" s="13" t="n">
        <v>29.55</v>
      </c>
      <c r="J48" s="5" t="s">
        <v>74</v>
      </c>
      <c r="K48" s="8" t="n">
        <v>22.3567161033925</v>
      </c>
      <c r="L48" s="8" t="n">
        <v>63834.5211985552</v>
      </c>
      <c r="M48" s="8" t="n">
        <f aca="false">M47+L48</f>
        <v>737538.349023487</v>
      </c>
      <c r="N48" s="5" t="str">
        <f aca="false">IF(L48&gt;0,"прибыль",IF(L48&lt;0,"убыток","ноль"))</f>
        <v>прибыль</v>
      </c>
      <c r="O48" s="6" t="n">
        <f aca="false">IF(L48&lt;0,O47+1,0)</f>
        <v>0</v>
      </c>
      <c r="P48" s="6" t="n">
        <v>97</v>
      </c>
    </row>
    <row r="49" customFormat="false" ht="15" hidden="false" customHeight="false" outlineLevel="0" collapsed="false">
      <c r="A49" s="6" t="n">
        <v>44</v>
      </c>
      <c r="B49" s="5" t="s">
        <v>72</v>
      </c>
      <c r="C49" s="5" t="s">
        <v>25</v>
      </c>
      <c r="D49" s="11" t="n">
        <v>42391</v>
      </c>
      <c r="E49" s="11" t="n">
        <v>42394</v>
      </c>
      <c r="F49" s="5" t="s">
        <v>75</v>
      </c>
      <c r="G49" s="12" t="n">
        <v>108053.262823096</v>
      </c>
      <c r="H49" s="13" t="n">
        <v>29.55</v>
      </c>
      <c r="I49" s="13" t="n">
        <v>32.15</v>
      </c>
      <c r="K49" s="8" t="n">
        <v>3.40071781206259</v>
      </c>
      <c r="L49" s="8" t="n">
        <v>40035.505864032</v>
      </c>
      <c r="M49" s="8" t="n">
        <f aca="false">M48+L49</f>
        <v>777573.85488752</v>
      </c>
      <c r="N49" s="5" t="str">
        <f aca="false">IF(L49&gt;0,"прибыль",IF(L49&lt;0,"убыток","ноль"))</f>
        <v>прибыль</v>
      </c>
      <c r="O49" s="6" t="n">
        <f aca="false">IF(L49&lt;0,O48+1,0)</f>
        <v>0</v>
      </c>
      <c r="P49" s="6" t="n">
        <v>1</v>
      </c>
    </row>
    <row r="50" customFormat="false" ht="15" hidden="false" customHeight="false" outlineLevel="0" collapsed="false">
      <c r="A50" s="6" t="n">
        <v>45</v>
      </c>
      <c r="B50" s="5" t="s">
        <v>72</v>
      </c>
      <c r="C50" s="5" t="s">
        <v>25</v>
      </c>
      <c r="D50" s="11" t="n">
        <v>42394</v>
      </c>
      <c r="E50" s="11" t="n">
        <v>42404</v>
      </c>
      <c r="F50" s="5" t="s">
        <v>75</v>
      </c>
      <c r="G50" s="12" t="n">
        <v>103896.541990264</v>
      </c>
      <c r="H50" s="13" t="n">
        <v>32.15</v>
      </c>
      <c r="I50" s="13" t="n">
        <v>35.48</v>
      </c>
      <c r="J50" s="5" t="s">
        <v>74</v>
      </c>
      <c r="K50" s="8" t="n">
        <v>3.67683392643543</v>
      </c>
      <c r="L50" s="8" t="n">
        <v>30356.1866276285</v>
      </c>
      <c r="M50" s="8" t="n">
        <f aca="false">M49+L50</f>
        <v>807930.041515148</v>
      </c>
      <c r="N50" s="5" t="str">
        <f aca="false">IF(L50&gt;0,"прибыль",IF(L50&lt;0,"убыток","ноль"))</f>
        <v>прибыль</v>
      </c>
      <c r="O50" s="6" t="n">
        <f aca="false">IF(L50&lt;0,O49+1,0)</f>
        <v>0</v>
      </c>
      <c r="P50" s="6" t="n">
        <v>8</v>
      </c>
    </row>
    <row r="51" customFormat="false" ht="15" hidden="false" customHeight="false" outlineLevel="0" collapsed="false">
      <c r="A51" s="6" t="n">
        <v>46</v>
      </c>
      <c r="B51" s="5" t="s">
        <v>72</v>
      </c>
      <c r="C51" s="5" t="s">
        <v>25</v>
      </c>
      <c r="D51" s="11" t="n">
        <v>42404</v>
      </c>
      <c r="E51" s="11" t="n">
        <v>42429</v>
      </c>
      <c r="F51" s="5" t="s">
        <v>75</v>
      </c>
      <c r="G51" s="12" t="n">
        <v>328078.142638459</v>
      </c>
      <c r="H51" s="13" t="n">
        <v>35.48</v>
      </c>
      <c r="I51" s="13" t="n">
        <v>35.24</v>
      </c>
      <c r="K51" s="8" t="n">
        <v>26.6133333962491</v>
      </c>
      <c r="L51" s="8" t="n">
        <v>81026.8304390382</v>
      </c>
      <c r="M51" s="8" t="n">
        <f aca="false">M50+L51</f>
        <v>888956.871954186</v>
      </c>
      <c r="N51" s="5" t="str">
        <f aca="false">IF(L51&gt;0,"прибыль",IF(L51&lt;0,"убыток","ноль"))</f>
        <v>прибыль</v>
      </c>
      <c r="O51" s="6" t="n">
        <f aca="false">IF(L51&lt;0,O50+1,0)</f>
        <v>0</v>
      </c>
      <c r="P51" s="6" t="n">
        <v>17</v>
      </c>
    </row>
    <row r="52" customFormat="false" ht="15" hidden="false" customHeight="false" outlineLevel="0" collapsed="false">
      <c r="A52" s="6" t="n">
        <v>47</v>
      </c>
      <c r="B52" s="5" t="s">
        <v>72</v>
      </c>
      <c r="C52" s="5" t="s">
        <v>25</v>
      </c>
      <c r="D52" s="11" t="n">
        <v>42429</v>
      </c>
      <c r="E52" s="11" t="n">
        <v>42472</v>
      </c>
      <c r="F52" s="5" t="s">
        <v>73</v>
      </c>
      <c r="G52" s="12" t="n">
        <v>94508.8529856753</v>
      </c>
      <c r="H52" s="13" t="n">
        <v>35.24</v>
      </c>
      <c r="I52" s="13" t="n">
        <v>42.78</v>
      </c>
      <c r="J52" s="5" t="s">
        <v>74</v>
      </c>
      <c r="K52" s="8" t="n">
        <v>16.302884784305</v>
      </c>
      <c r="L52" s="8" t="n">
        <v>14500.3580328548</v>
      </c>
      <c r="M52" s="8" t="n">
        <f aca="false">M51+L52</f>
        <v>903457.229987041</v>
      </c>
      <c r="N52" s="5" t="str">
        <f aca="false">IF(L52&gt;0,"прибыль",IF(L52&lt;0,"убыток","ноль"))</f>
        <v>прибыль</v>
      </c>
      <c r="O52" s="6" t="n">
        <f aca="false">IF(L52&lt;0,O51+1,0)</f>
        <v>0</v>
      </c>
      <c r="P52" s="6" t="n">
        <v>30</v>
      </c>
    </row>
    <row r="53" customFormat="false" ht="15" hidden="false" customHeight="false" outlineLevel="0" collapsed="false">
      <c r="A53" s="6" t="n">
        <v>48</v>
      </c>
      <c r="B53" s="5" t="s">
        <v>72</v>
      </c>
      <c r="C53" s="5" t="s">
        <v>25</v>
      </c>
      <c r="D53" s="11" t="n">
        <v>42472</v>
      </c>
      <c r="E53" s="11" t="n">
        <v>42541</v>
      </c>
      <c r="F53" s="5" t="s">
        <v>73</v>
      </c>
      <c r="G53" s="12" t="n">
        <v>192289.437680181</v>
      </c>
      <c r="H53" s="13" t="n">
        <v>42.78</v>
      </c>
      <c r="I53" s="13" t="n">
        <v>49.29</v>
      </c>
      <c r="J53" s="5" t="s">
        <v>74</v>
      </c>
      <c r="K53" s="8" t="n">
        <v>23.3510409856669</v>
      </c>
      <c r="L53" s="8" t="n">
        <v>38729.2194090646</v>
      </c>
      <c r="M53" s="8" t="n">
        <f aca="false">M52+L53</f>
        <v>942186.449396106</v>
      </c>
      <c r="N53" s="5" t="str">
        <f aca="false">IF(L53&gt;0,"прибыль",IF(L53&lt;0,"убыток","ноль"))</f>
        <v>прибыль</v>
      </c>
      <c r="O53" s="6" t="n">
        <f aca="false">IF(L53&lt;0,O52+1,0)</f>
        <v>0</v>
      </c>
      <c r="P53" s="6" t="n">
        <v>45</v>
      </c>
    </row>
    <row r="54" customFormat="false" ht="15" hidden="false" customHeight="false" outlineLevel="0" collapsed="false">
      <c r="A54" s="6" t="n">
        <v>49</v>
      </c>
      <c r="B54" s="5" t="s">
        <v>72</v>
      </c>
      <c r="C54" s="5" t="s">
        <v>25</v>
      </c>
      <c r="D54" s="11" t="n">
        <v>42541</v>
      </c>
      <c r="E54" s="11" t="n">
        <v>42550</v>
      </c>
      <c r="F54" s="5" t="s">
        <v>73</v>
      </c>
      <c r="G54" s="12" t="n">
        <v>88869.6653018936</v>
      </c>
      <c r="H54" s="13" t="n">
        <v>49.29</v>
      </c>
      <c r="I54" s="13" t="n">
        <v>48.75</v>
      </c>
      <c r="K54" s="8" t="n">
        <v>5.27901874334859</v>
      </c>
      <c r="L54" s="8" t="n">
        <v>16705.4305463348</v>
      </c>
      <c r="M54" s="8" t="n">
        <f aca="false">M53+L54</f>
        <v>958891.879942441</v>
      </c>
      <c r="N54" s="5" t="str">
        <f aca="false">IF(L54&gt;0,"прибыль",IF(L54&lt;0,"убыток","ноль"))</f>
        <v>прибыль</v>
      </c>
      <c r="O54" s="6" t="n">
        <f aca="false">IF(L54&lt;0,O53+1,0)</f>
        <v>0</v>
      </c>
      <c r="P54" s="6" t="n">
        <v>7</v>
      </c>
    </row>
    <row r="55" customFormat="false" ht="15" hidden="false" customHeight="false" outlineLevel="0" collapsed="false">
      <c r="A55" s="6" t="n">
        <v>50</v>
      </c>
      <c r="B55" s="5" t="s">
        <v>72</v>
      </c>
      <c r="C55" s="5" t="s">
        <v>25</v>
      </c>
      <c r="D55" s="11" t="n">
        <v>42550</v>
      </c>
      <c r="E55" s="11" t="n">
        <v>42570</v>
      </c>
      <c r="F55" s="5" t="s">
        <v>73</v>
      </c>
      <c r="G55" s="12" t="n">
        <v>317747.823380649</v>
      </c>
      <c r="H55" s="13" t="n">
        <v>48.75</v>
      </c>
      <c r="I55" s="13" t="n">
        <v>46.92</v>
      </c>
      <c r="J55" s="5" t="s">
        <v>74</v>
      </c>
      <c r="K55" s="8" t="n">
        <v>34.9175653785074</v>
      </c>
      <c r="L55" s="8" t="n">
        <v>40250.1482426902</v>
      </c>
      <c r="M55" s="8" t="n">
        <f aca="false">M54+L55</f>
        <v>999142.028185131</v>
      </c>
      <c r="N55" s="5" t="str">
        <f aca="false">IF(L55&gt;0,"прибыль",IF(L55&lt;0,"убыток","ноль"))</f>
        <v>прибыль</v>
      </c>
      <c r="O55" s="6" t="n">
        <f aca="false">IF(L55&lt;0,O54+1,0)</f>
        <v>0</v>
      </c>
      <c r="P55" s="6" t="n">
        <v>14</v>
      </c>
    </row>
    <row r="56" customFormat="false" ht="15" hidden="false" customHeight="false" outlineLevel="0" collapsed="false">
      <c r="A56" s="6" t="n">
        <v>51</v>
      </c>
      <c r="B56" s="5" t="s">
        <v>72</v>
      </c>
      <c r="C56" s="5" t="s">
        <v>25</v>
      </c>
      <c r="D56" s="11" t="n">
        <v>42570</v>
      </c>
      <c r="E56" s="11" t="n">
        <v>42597</v>
      </c>
      <c r="F56" s="5" t="s">
        <v>75</v>
      </c>
      <c r="G56" s="12" t="n">
        <v>120129.249054121</v>
      </c>
      <c r="H56" s="13" t="n">
        <v>46.92</v>
      </c>
      <c r="I56" s="13" t="n">
        <v>47.22</v>
      </c>
      <c r="J56" s="5" t="s">
        <v>74</v>
      </c>
      <c r="K56" s="8" t="n">
        <v>17.1586788723253</v>
      </c>
      <c r="L56" s="8" t="n">
        <v>-3726.4930370663</v>
      </c>
      <c r="M56" s="8" t="n">
        <f aca="false">M55+L56</f>
        <v>995415.535148064</v>
      </c>
      <c r="N56" s="5" t="str">
        <f aca="false">IF(L56&gt;0,"прибыль",IF(L56&lt;0,"убыток","ноль"))</f>
        <v>убыток</v>
      </c>
      <c r="O56" s="6" t="n">
        <f aca="false">IF(L56&lt;0,O55+1,0)</f>
        <v>1</v>
      </c>
      <c r="P56" s="6" t="n">
        <v>19</v>
      </c>
    </row>
    <row r="57" customFormat="false" ht="15" hidden="false" customHeight="false" outlineLevel="0" collapsed="false">
      <c r="A57" s="6" t="n">
        <v>52</v>
      </c>
      <c r="B57" s="5" t="s">
        <v>72</v>
      </c>
      <c r="C57" s="5" t="s">
        <v>25</v>
      </c>
      <c r="D57" s="11" t="n">
        <v>42597</v>
      </c>
      <c r="E57" s="11" t="n">
        <v>42614</v>
      </c>
      <c r="F57" s="5" t="s">
        <v>75</v>
      </c>
      <c r="G57" s="12" t="n">
        <v>439524.163361502</v>
      </c>
      <c r="H57" s="13" t="n">
        <v>47.22</v>
      </c>
      <c r="I57" s="13" t="n">
        <v>46.96</v>
      </c>
      <c r="K57" s="8" t="n">
        <v>44.9848718828422</v>
      </c>
      <c r="L57" s="8" t="n">
        <v>-11125.982588947</v>
      </c>
      <c r="M57" s="8" t="n">
        <f aca="false">M56+L57</f>
        <v>984289.552559117</v>
      </c>
      <c r="N57" s="5" t="str">
        <f aca="false">IF(L57&gt;0,"прибыль",IF(L57&lt;0,"убыток","ноль"))</f>
        <v>убыток</v>
      </c>
      <c r="O57" s="6" t="n">
        <f aca="false">IF(L57&lt;0,O56+1,0)</f>
        <v>2</v>
      </c>
      <c r="P57" s="6" t="n">
        <v>13</v>
      </c>
    </row>
    <row r="58" customFormat="false" ht="15" hidden="false" customHeight="false" outlineLevel="0" collapsed="false">
      <c r="A58" s="6" t="n">
        <v>53</v>
      </c>
      <c r="B58" s="5" t="s">
        <v>72</v>
      </c>
      <c r="C58" s="5" t="s">
        <v>25</v>
      </c>
      <c r="D58" s="11" t="n">
        <v>42614</v>
      </c>
      <c r="E58" s="11" t="n">
        <v>42685</v>
      </c>
      <c r="F58" s="5" t="s">
        <v>73</v>
      </c>
      <c r="G58" s="12" t="n">
        <v>812520.920941523</v>
      </c>
      <c r="H58" s="13" t="n">
        <v>46.96</v>
      </c>
      <c r="I58" s="13" t="n">
        <v>45.69</v>
      </c>
      <c r="J58" s="5" t="s">
        <v>74</v>
      </c>
      <c r="K58" s="8" t="n">
        <v>92.2932558888518</v>
      </c>
      <c r="L58" s="8" t="n">
        <v>-31765.4430354269</v>
      </c>
      <c r="M58" s="8" t="n">
        <f aca="false">M57+L58</f>
        <v>952524.109523691</v>
      </c>
      <c r="N58" s="5" t="str">
        <f aca="false">IF(L58&gt;0,"прибыль",IF(L58&lt;0,"убыток","ноль"))</f>
        <v>убыток</v>
      </c>
      <c r="O58" s="6" t="n">
        <f aca="false">IF(L58&lt;0,O57+1,0)</f>
        <v>3</v>
      </c>
      <c r="P58" s="6" t="n">
        <v>50</v>
      </c>
    </row>
    <row r="59" customFormat="false" ht="15" hidden="false" customHeight="false" outlineLevel="0" collapsed="false">
      <c r="A59" s="6" t="n">
        <v>54</v>
      </c>
      <c r="B59" s="5" t="s">
        <v>72</v>
      </c>
      <c r="C59" s="5" t="s">
        <v>25</v>
      </c>
      <c r="D59" s="11" t="n">
        <v>42685</v>
      </c>
      <c r="E59" s="11" t="n">
        <v>42690</v>
      </c>
      <c r="F59" s="5" t="s">
        <v>75</v>
      </c>
      <c r="G59" s="12" t="n">
        <v>239748.894289492</v>
      </c>
      <c r="H59" s="13" t="n">
        <v>45.69</v>
      </c>
      <c r="I59" s="13" t="n">
        <v>47.12</v>
      </c>
      <c r="K59" s="8" t="n">
        <v>12.3903727829377</v>
      </c>
      <c r="L59" s="8" t="n">
        <v>-8070.95174204389</v>
      </c>
      <c r="M59" s="8" t="n">
        <f aca="false">M58+L59</f>
        <v>944453.157781647</v>
      </c>
      <c r="N59" s="5" t="str">
        <f aca="false">IF(L59&gt;0,"прибыль",IF(L59&lt;0,"убыток","ноль"))</f>
        <v>убыток</v>
      </c>
      <c r="O59" s="6" t="n">
        <f aca="false">IF(L59&lt;0,O58+1,0)</f>
        <v>4</v>
      </c>
      <c r="P59" s="6" t="n">
        <v>3</v>
      </c>
    </row>
    <row r="60" customFormat="false" ht="15" hidden="false" customHeight="false" outlineLevel="0" collapsed="false">
      <c r="A60" s="6" t="n">
        <v>55</v>
      </c>
      <c r="B60" s="5" t="s">
        <v>72</v>
      </c>
      <c r="C60" s="5" t="s">
        <v>25</v>
      </c>
      <c r="D60" s="11" t="n">
        <v>42690</v>
      </c>
      <c r="E60" s="11" t="n">
        <v>42705</v>
      </c>
      <c r="F60" s="5" t="s">
        <v>75</v>
      </c>
      <c r="G60" s="12" t="n">
        <v>187889.156615963</v>
      </c>
      <c r="H60" s="13" t="n">
        <v>47.12</v>
      </c>
      <c r="I60" s="13" t="n">
        <v>50.44</v>
      </c>
      <c r="K60" s="8" t="n">
        <v>10.4002295365623</v>
      </c>
      <c r="L60" s="8" t="n">
        <v>-20125.8343448191</v>
      </c>
      <c r="M60" s="8" t="n">
        <f aca="false">M59+L60</f>
        <v>924327.323436828</v>
      </c>
      <c r="N60" s="5" t="str">
        <f aca="false">IF(L60&gt;0,"прибыль",IF(L60&lt;0,"убыток","ноль"))</f>
        <v>убыток</v>
      </c>
      <c r="O60" s="6" t="n">
        <f aca="false">IF(L60&lt;0,O59+1,0)</f>
        <v>5</v>
      </c>
      <c r="P60" s="6" t="n">
        <v>11</v>
      </c>
    </row>
    <row r="61" customFormat="false" ht="15" hidden="false" customHeight="false" outlineLevel="0" collapsed="false">
      <c r="A61" s="6" t="n">
        <v>56</v>
      </c>
      <c r="B61" s="5" t="s">
        <v>72</v>
      </c>
      <c r="C61" s="5" t="s">
        <v>25</v>
      </c>
      <c r="D61" s="11" t="n">
        <v>42705</v>
      </c>
      <c r="E61" s="11" t="n">
        <v>42718</v>
      </c>
      <c r="F61" s="5" t="s">
        <v>75</v>
      </c>
      <c r="G61" s="12" t="n">
        <v>273950.65134635</v>
      </c>
      <c r="H61" s="13" t="n">
        <v>50.44</v>
      </c>
      <c r="I61" s="13" t="n">
        <v>56.15</v>
      </c>
      <c r="J61" s="5" t="s">
        <v>74</v>
      </c>
      <c r="K61" s="8" t="n">
        <v>33.1496286438249</v>
      </c>
      <c r="L61" s="8" t="n">
        <v>-40160.4538820895</v>
      </c>
      <c r="M61" s="8" t="n">
        <f aca="false">M60+L61</f>
        <v>884166.869554738</v>
      </c>
      <c r="N61" s="5" t="str">
        <f aca="false">IF(L61&gt;0,"прибыль",IF(L61&lt;0,"убыток","ноль"))</f>
        <v>убыток</v>
      </c>
      <c r="O61" s="6" t="n">
        <f aca="false">IF(L61&lt;0,O60+1,0)</f>
        <v>6</v>
      </c>
      <c r="P61" s="6" t="n">
        <v>9</v>
      </c>
    </row>
    <row r="62" customFormat="false" ht="15" hidden="false" customHeight="false" outlineLevel="0" collapsed="false">
      <c r="A62" s="6" t="n">
        <v>57</v>
      </c>
      <c r="B62" s="5" t="s">
        <v>72</v>
      </c>
      <c r="C62" s="5" t="s">
        <v>25</v>
      </c>
      <c r="D62" s="11" t="n">
        <v>42718</v>
      </c>
      <c r="E62" s="11" t="n">
        <v>42747</v>
      </c>
      <c r="F62" s="5" t="s">
        <v>73</v>
      </c>
      <c r="G62" s="12" t="n">
        <v>178994.772793046</v>
      </c>
      <c r="H62" s="13" t="n">
        <v>56.15</v>
      </c>
      <c r="I62" s="13" t="n">
        <v>55.19</v>
      </c>
      <c r="K62" s="8" t="n">
        <v>29.8017562239683</v>
      </c>
      <c r="L62" s="8" t="n">
        <v>-4768.42346129334</v>
      </c>
      <c r="M62" s="8" t="n">
        <f aca="false">M61+L62</f>
        <v>879398.446093445</v>
      </c>
      <c r="N62" s="5" t="str">
        <f aca="false">IF(L62&gt;0,"прибыль",IF(L62&lt;0,"убыток","ноль"))</f>
        <v>убыток</v>
      </c>
      <c r="O62" s="6" t="n">
        <f aca="false">IF(L62&lt;0,O61+1,0)</f>
        <v>7</v>
      </c>
      <c r="P62" s="6" t="n">
        <v>20</v>
      </c>
    </row>
    <row r="63" customFormat="false" ht="15" hidden="false" customHeight="false" outlineLevel="0" collapsed="false">
      <c r="A63" s="6" t="n">
        <v>58</v>
      </c>
      <c r="B63" s="5" t="s">
        <v>72</v>
      </c>
      <c r="C63" s="5" t="s">
        <v>25</v>
      </c>
      <c r="D63" s="11" t="n">
        <v>42747</v>
      </c>
      <c r="E63" s="11" t="n">
        <v>42788</v>
      </c>
      <c r="F63" s="5" t="s">
        <v>73</v>
      </c>
      <c r="G63" s="12" t="n">
        <v>918368.454339889</v>
      </c>
      <c r="H63" s="13" t="n">
        <v>55.19</v>
      </c>
      <c r="I63" s="13" t="n">
        <v>56.74</v>
      </c>
      <c r="J63" s="5" t="s">
        <v>74</v>
      </c>
      <c r="K63" s="8" t="n">
        <v>105.875507544395</v>
      </c>
      <c r="L63" s="8" t="n">
        <v>-1822.24016512296</v>
      </c>
      <c r="M63" s="8" t="n">
        <f aca="false">M62+L63</f>
        <v>877576.205928322</v>
      </c>
      <c r="N63" s="5" t="str">
        <f aca="false">IF(L63&gt;0,"прибыль",IF(L63&lt;0,"убыток","ноль"))</f>
        <v>убыток</v>
      </c>
      <c r="O63" s="6" t="n">
        <f aca="false">IF(L63&lt;0,O62+1,0)</f>
        <v>8</v>
      </c>
      <c r="P63" s="6" t="n">
        <v>29</v>
      </c>
    </row>
    <row r="64" customFormat="false" ht="15" hidden="false" customHeight="false" outlineLevel="0" collapsed="false">
      <c r="A64" s="6" t="n">
        <v>59</v>
      </c>
      <c r="B64" s="5" t="s">
        <v>72</v>
      </c>
      <c r="C64" s="5" t="s">
        <v>25</v>
      </c>
      <c r="D64" s="11" t="n">
        <v>42788</v>
      </c>
      <c r="E64" s="11" t="n">
        <v>42804</v>
      </c>
      <c r="F64" s="5" t="s">
        <v>75</v>
      </c>
      <c r="G64" s="12" t="n">
        <v>265985.951955734</v>
      </c>
      <c r="H64" s="13" t="n">
        <v>56.74</v>
      </c>
      <c r="I64" s="13" t="n">
        <v>52.6</v>
      </c>
      <c r="J64" s="5" t="s">
        <v>74</v>
      </c>
      <c r="K64" s="8" t="n">
        <v>12.1931120117527</v>
      </c>
      <c r="L64" s="8" t="n">
        <v>22111.5186086691</v>
      </c>
      <c r="M64" s="8" t="n">
        <f aca="false">M63+L64</f>
        <v>899687.724536991</v>
      </c>
      <c r="N64" s="5" t="str">
        <f aca="false">IF(L64&gt;0,"прибыль",IF(L64&lt;0,"убыток","ноль"))</f>
        <v>прибыль</v>
      </c>
      <c r="O64" s="6" t="n">
        <f aca="false">IF(L64&lt;0,O63+1,0)</f>
        <v>0</v>
      </c>
      <c r="P64" s="6" t="n">
        <v>10</v>
      </c>
    </row>
    <row r="65" customFormat="false" ht="15" hidden="false" customHeight="false" outlineLevel="0" collapsed="false">
      <c r="A65" s="6" t="n">
        <v>60</v>
      </c>
      <c r="B65" s="5" t="s">
        <v>72</v>
      </c>
      <c r="C65" s="5" t="s">
        <v>25</v>
      </c>
      <c r="D65" s="11" t="n">
        <v>42804</v>
      </c>
      <c r="E65" s="11" t="n">
        <v>42871</v>
      </c>
      <c r="F65" s="5" t="s">
        <v>75</v>
      </c>
      <c r="G65" s="12" t="n">
        <v>197680.344594154</v>
      </c>
      <c r="H65" s="13" t="n">
        <v>52.6</v>
      </c>
      <c r="I65" s="13" t="n">
        <v>51.79</v>
      </c>
      <c r="J65" s="5" t="s">
        <v>74</v>
      </c>
      <c r="K65" s="8" t="n">
        <v>21.6060080187517</v>
      </c>
      <c r="L65" s="8" t="n">
        <v>14891.9936397079</v>
      </c>
      <c r="M65" s="8" t="n">
        <f aca="false">M64+L65</f>
        <v>914579.718176699</v>
      </c>
      <c r="N65" s="5" t="str">
        <f aca="false">IF(L65&gt;0,"прибыль",IF(L65&lt;0,"убыток","ноль"))</f>
        <v>прибыль</v>
      </c>
      <c r="O65" s="6" t="n">
        <f aca="false">IF(L65&lt;0,O64+1,0)</f>
        <v>0</v>
      </c>
      <c r="P65" s="6" t="n">
        <v>45</v>
      </c>
    </row>
    <row r="66" customFormat="false" ht="15" hidden="false" customHeight="false" outlineLevel="0" collapsed="false">
      <c r="A66" s="6" t="n">
        <v>61</v>
      </c>
      <c r="B66" s="5" t="s">
        <v>72</v>
      </c>
      <c r="C66" s="5" t="s">
        <v>25</v>
      </c>
      <c r="D66" s="11" t="n">
        <v>42871</v>
      </c>
      <c r="E66" s="11" t="n">
        <v>42884</v>
      </c>
      <c r="F66" s="5" t="s">
        <v>75</v>
      </c>
      <c r="G66" s="12" t="n">
        <v>132465.45634919</v>
      </c>
      <c r="H66" s="13" t="n">
        <v>51.79</v>
      </c>
      <c r="I66" s="13" t="n">
        <v>52.25</v>
      </c>
      <c r="K66" s="8" t="n">
        <v>6.17911489362771</v>
      </c>
      <c r="L66" s="8" t="n">
        <v>8876.97936174241</v>
      </c>
      <c r="M66" s="8" t="n">
        <f aca="false">M65+L66</f>
        <v>923456.697538441</v>
      </c>
      <c r="N66" s="5" t="str">
        <f aca="false">IF(L66&gt;0,"прибыль",IF(L66&lt;0,"убыток","ноль"))</f>
        <v>прибыль</v>
      </c>
      <c r="O66" s="6" t="n">
        <f aca="false">IF(L66&lt;0,O65+1,0)</f>
        <v>0</v>
      </c>
      <c r="P66" s="6" t="n">
        <v>9</v>
      </c>
    </row>
    <row r="67" customFormat="false" ht="15" hidden="false" customHeight="false" outlineLevel="0" collapsed="false">
      <c r="A67" s="6" t="n">
        <v>62</v>
      </c>
      <c r="B67" s="5" t="s">
        <v>72</v>
      </c>
      <c r="C67" s="5" t="s">
        <v>25</v>
      </c>
      <c r="D67" s="11" t="n">
        <v>42884</v>
      </c>
      <c r="E67" s="11" t="n">
        <v>42942</v>
      </c>
      <c r="F67" s="5" t="s">
        <v>75</v>
      </c>
      <c r="G67" s="12" t="n">
        <v>234356.362569939</v>
      </c>
      <c r="H67" s="13" t="n">
        <v>52.25</v>
      </c>
      <c r="I67" s="13" t="n">
        <v>50.8</v>
      </c>
      <c r="J67" s="5" t="s">
        <v>74</v>
      </c>
      <c r="K67" s="8" t="n">
        <v>21.4513683500115</v>
      </c>
      <c r="L67" s="8" t="n">
        <v>16907.6844001372</v>
      </c>
      <c r="M67" s="8" t="n">
        <f aca="false">M66+L67</f>
        <v>940364.381938578</v>
      </c>
      <c r="N67" s="5" t="str">
        <f aca="false">IF(L67&gt;0,"прибыль",IF(L67&lt;0,"убыток","ноль"))</f>
        <v>прибыль</v>
      </c>
      <c r="O67" s="6" t="n">
        <f aca="false">IF(L67&lt;0,O66+1,0)</f>
        <v>0</v>
      </c>
      <c r="P67" s="6" t="n">
        <v>41</v>
      </c>
    </row>
    <row r="68" customFormat="false" ht="15" hidden="false" customHeight="false" outlineLevel="0" collapsed="false">
      <c r="A68" s="6" t="n">
        <v>63</v>
      </c>
      <c r="B68" s="5" t="s">
        <v>72</v>
      </c>
      <c r="C68" s="5" t="s">
        <v>25</v>
      </c>
      <c r="D68" s="11" t="n">
        <v>42942</v>
      </c>
      <c r="E68" s="11" t="n">
        <v>42956</v>
      </c>
      <c r="F68" s="5" t="s">
        <v>75</v>
      </c>
      <c r="G68" s="12" t="n">
        <v>504653.864899109</v>
      </c>
      <c r="H68" s="13" t="n">
        <v>50.8</v>
      </c>
      <c r="I68" s="13" t="n">
        <v>51.97</v>
      </c>
      <c r="J68" s="5" t="s">
        <v>74</v>
      </c>
      <c r="K68" s="8" t="n">
        <v>53.2617122939866</v>
      </c>
      <c r="L68" s="8" t="n">
        <v>13768.2861049464</v>
      </c>
      <c r="M68" s="8" t="n">
        <f aca="false">M67+L68</f>
        <v>954132.668043525</v>
      </c>
      <c r="N68" s="5" t="str">
        <f aca="false">IF(L68&gt;0,"прибыль",IF(L68&lt;0,"убыток","ноль"))</f>
        <v>прибыль</v>
      </c>
      <c r="O68" s="6" t="n">
        <f aca="false">IF(L68&lt;0,O67+1,0)</f>
        <v>0</v>
      </c>
      <c r="P68" s="6" t="n">
        <v>10</v>
      </c>
    </row>
    <row r="69" customFormat="false" ht="15" hidden="false" customHeight="false" outlineLevel="0" collapsed="false">
      <c r="A69" s="6" t="n">
        <v>64</v>
      </c>
      <c r="B69" s="5" t="s">
        <v>72</v>
      </c>
      <c r="C69" s="5" t="s">
        <v>25</v>
      </c>
      <c r="D69" s="11" t="n">
        <v>42956</v>
      </c>
      <c r="E69" s="11" t="n">
        <v>43031</v>
      </c>
      <c r="F69" s="5" t="s">
        <v>73</v>
      </c>
      <c r="G69" s="12" t="n">
        <v>148655.760164097</v>
      </c>
      <c r="H69" s="13" t="n">
        <v>51.97</v>
      </c>
      <c r="I69" s="13" t="n">
        <v>57.89</v>
      </c>
      <c r="J69" s="5" t="s">
        <v>74</v>
      </c>
      <c r="K69" s="8" t="n">
        <v>15.5450255255896</v>
      </c>
      <c r="L69" s="8" t="n">
        <v>16679.066510783</v>
      </c>
      <c r="M69" s="8" t="n">
        <f aca="false">M68+L69</f>
        <v>970811.734554308</v>
      </c>
      <c r="N69" s="5" t="str">
        <f aca="false">IF(L69&gt;0,"прибыль",IF(L69&lt;0,"убыток","ноль"))</f>
        <v>прибыль</v>
      </c>
      <c r="O69" s="6" t="n">
        <f aca="false">IF(L69&lt;0,O68+1,0)</f>
        <v>0</v>
      </c>
      <c r="P69" s="6" t="n">
        <v>53</v>
      </c>
    </row>
    <row r="70" customFormat="false" ht="15" hidden="false" customHeight="false" outlineLevel="0" collapsed="false">
      <c r="A70" s="6" t="n">
        <v>65</v>
      </c>
      <c r="B70" s="5" t="s">
        <v>72</v>
      </c>
      <c r="C70" s="5" t="s">
        <v>25</v>
      </c>
      <c r="D70" s="11" t="n">
        <v>43031</v>
      </c>
      <c r="E70" s="11" t="n">
        <v>43084</v>
      </c>
      <c r="F70" s="5" t="s">
        <v>73</v>
      </c>
      <c r="G70" s="12" t="n">
        <v>154679.358718374</v>
      </c>
      <c r="H70" s="13" t="n">
        <v>57.89</v>
      </c>
      <c r="I70" s="13" t="n">
        <v>62.71</v>
      </c>
      <c r="J70" s="5" t="s">
        <v>74</v>
      </c>
      <c r="K70" s="8" t="n">
        <v>17.8563785894314</v>
      </c>
      <c r="L70" s="8" t="n">
        <v>30678.5666642252</v>
      </c>
      <c r="M70" s="8" t="n">
        <f aca="false">M69+L70</f>
        <v>1001490.30121853</v>
      </c>
      <c r="N70" s="5" t="str">
        <f aca="false">IF(L70&gt;0,"прибыль",IF(L70&lt;0,"убыток","ноль"))</f>
        <v>прибыль</v>
      </c>
      <c r="O70" s="6" t="n">
        <f aca="false">IF(L70&lt;0,O69+1,0)</f>
        <v>0</v>
      </c>
      <c r="P70" s="6" t="n">
        <v>38</v>
      </c>
    </row>
    <row r="71" customFormat="false" ht="15" hidden="false" customHeight="false" outlineLevel="0" collapsed="false">
      <c r="A71" s="6" t="n">
        <v>66</v>
      </c>
      <c r="B71" s="5" t="s">
        <v>72</v>
      </c>
      <c r="C71" s="5" t="s">
        <v>25</v>
      </c>
      <c r="D71" s="11" t="n">
        <v>43084</v>
      </c>
      <c r="E71" s="11" t="n">
        <v>43151</v>
      </c>
      <c r="F71" s="5" t="s">
        <v>73</v>
      </c>
      <c r="G71" s="12" t="n">
        <v>159953.406683199</v>
      </c>
      <c r="H71" s="13" t="n">
        <v>62.71</v>
      </c>
      <c r="I71" s="13" t="n">
        <v>65.54</v>
      </c>
      <c r="J71" s="5" t="s">
        <v>74</v>
      </c>
      <c r="K71" s="8" t="n">
        <v>17.7704388458067</v>
      </c>
      <c r="L71" s="8" t="n">
        <v>26929.7992417611</v>
      </c>
      <c r="M71" s="8" t="n">
        <f aca="false">M70+L71</f>
        <v>1028420.10046029</v>
      </c>
      <c r="N71" s="5" t="str">
        <f aca="false">IF(L71&gt;0,"прибыль",IF(L71&lt;0,"убыток","ноль"))</f>
        <v>прибыль</v>
      </c>
      <c r="O71" s="6" t="n">
        <f aca="false">IF(L71&lt;0,O70+1,0)</f>
        <v>0</v>
      </c>
      <c r="P71" s="6" t="n">
        <v>44</v>
      </c>
    </row>
    <row r="72" customFormat="false" ht="15" hidden="false" customHeight="false" outlineLevel="0" collapsed="false">
      <c r="A72" s="6" t="n">
        <v>67</v>
      </c>
      <c r="B72" s="5" t="s">
        <v>72</v>
      </c>
      <c r="C72" s="5" t="s">
        <v>25</v>
      </c>
      <c r="D72" s="11" t="n">
        <v>43151</v>
      </c>
      <c r="E72" s="11" t="n">
        <v>43157</v>
      </c>
      <c r="F72" s="5" t="s">
        <v>73</v>
      </c>
      <c r="G72" s="12" t="n">
        <v>596923.132623346</v>
      </c>
      <c r="H72" s="13" t="n">
        <v>65.54</v>
      </c>
      <c r="I72" s="13" t="n">
        <v>66.23</v>
      </c>
      <c r="K72" s="8" t="n">
        <v>70.4540837732581</v>
      </c>
      <c r="L72" s="8" t="n">
        <v>107841.122411559</v>
      </c>
      <c r="M72" s="8" t="n">
        <f aca="false">M71+L72</f>
        <v>1136261.22287185</v>
      </c>
      <c r="N72" s="5" t="str">
        <f aca="false">IF(L72&gt;0,"прибыль",IF(L72&lt;0,"убыток","ноль"))</f>
        <v>прибыль</v>
      </c>
      <c r="O72" s="6" t="n">
        <f aca="false">IF(L72&lt;0,O71+1,0)</f>
        <v>0</v>
      </c>
      <c r="P72" s="6" t="n">
        <v>3</v>
      </c>
    </row>
    <row r="73" customFormat="false" ht="15" hidden="false" customHeight="false" outlineLevel="0" collapsed="false">
      <c r="A73" s="6" t="n">
        <v>68</v>
      </c>
      <c r="B73" s="5" t="s">
        <v>72</v>
      </c>
      <c r="C73" s="5" t="s">
        <v>25</v>
      </c>
      <c r="D73" s="11" t="n">
        <v>43157</v>
      </c>
      <c r="E73" s="11" t="n">
        <v>43187</v>
      </c>
      <c r="F73" s="5" t="s">
        <v>75</v>
      </c>
      <c r="G73" s="12" t="n">
        <v>704246.966346484</v>
      </c>
      <c r="H73" s="13" t="n">
        <v>66.23</v>
      </c>
      <c r="I73" s="13" t="n">
        <v>69.56</v>
      </c>
      <c r="J73" s="5" t="s">
        <v>74</v>
      </c>
      <c r="K73" s="8" t="n">
        <v>70.772567092983</v>
      </c>
      <c r="L73" s="8" t="n">
        <v>-54486.9945744382</v>
      </c>
      <c r="M73" s="8" t="n">
        <f aca="false">M72+L73</f>
        <v>1081774.22829741</v>
      </c>
      <c r="N73" s="5" t="str">
        <f aca="false">IF(L73&gt;0,"прибыль",IF(L73&lt;0,"убыток","ноль"))</f>
        <v>убыток</v>
      </c>
      <c r="O73" s="6" t="n">
        <f aca="false">IF(L73&lt;0,O72+1,0)</f>
        <v>1</v>
      </c>
      <c r="P73" s="6" t="n">
        <v>21</v>
      </c>
    </row>
    <row r="74" customFormat="false" ht="15" hidden="false" customHeight="false" outlineLevel="0" collapsed="false">
      <c r="A74" s="6" t="n">
        <v>69</v>
      </c>
      <c r="B74" s="5" t="s">
        <v>72</v>
      </c>
      <c r="C74" s="5" t="s">
        <v>25</v>
      </c>
      <c r="D74" s="11" t="n">
        <v>43187</v>
      </c>
      <c r="E74" s="11" t="n">
        <v>43248</v>
      </c>
      <c r="F74" s="5" t="s">
        <v>73</v>
      </c>
      <c r="G74" s="12" t="n">
        <v>182224.645090845</v>
      </c>
      <c r="H74" s="13" t="n">
        <v>69.56</v>
      </c>
      <c r="I74" s="13" t="n">
        <v>76.14</v>
      </c>
      <c r="J74" s="5" t="s">
        <v>74</v>
      </c>
      <c r="K74" s="8" t="n">
        <v>10.5993462240586</v>
      </c>
      <c r="L74" s="8" t="n">
        <v>29751.6800441036</v>
      </c>
      <c r="M74" s="8" t="n">
        <f aca="false">M73+L74</f>
        <v>1111525.90834152</v>
      </c>
      <c r="N74" s="5" t="str">
        <f aca="false">IF(L74&gt;0,"прибыль",IF(L74&lt;0,"убыток","ноль"))</f>
        <v>прибыль</v>
      </c>
      <c r="O74" s="6" t="n">
        <f aca="false">IF(L74&lt;0,O73+1,0)</f>
        <v>0</v>
      </c>
      <c r="P74" s="6" t="n">
        <v>42</v>
      </c>
    </row>
    <row r="75" customFormat="false" ht="15" hidden="false" customHeight="false" outlineLevel="0" collapsed="false">
      <c r="A75" s="6" t="n">
        <v>70</v>
      </c>
      <c r="B75" s="5" t="s">
        <v>72</v>
      </c>
      <c r="C75" s="5" t="s">
        <v>25</v>
      </c>
      <c r="D75" s="11" t="n">
        <v>43248</v>
      </c>
      <c r="E75" s="11" t="n">
        <v>43293</v>
      </c>
      <c r="F75" s="5" t="s">
        <v>73</v>
      </c>
      <c r="G75" s="12" t="n">
        <v>117446.905122212</v>
      </c>
      <c r="H75" s="13" t="n">
        <v>76.14</v>
      </c>
      <c r="I75" s="13" t="n">
        <v>74.06</v>
      </c>
      <c r="J75" s="5" t="s">
        <v>74</v>
      </c>
      <c r="K75" s="8" t="n">
        <v>6.90180922926509</v>
      </c>
      <c r="L75" s="8" t="n">
        <v>20582.3776538608</v>
      </c>
      <c r="M75" s="8" t="n">
        <f aca="false">M74+L75</f>
        <v>1132108.28599538</v>
      </c>
      <c r="N75" s="5" t="str">
        <f aca="false">IF(L75&gt;0,"прибыль",IF(L75&lt;0,"убыток","ноль"))</f>
        <v>прибыль</v>
      </c>
      <c r="O75" s="6" t="n">
        <f aca="false">IF(L75&lt;0,O74+1,0)</f>
        <v>0</v>
      </c>
      <c r="P75" s="6" t="n">
        <v>33</v>
      </c>
    </row>
    <row r="76" customFormat="false" ht="15" hidden="false" customHeight="false" outlineLevel="0" collapsed="false">
      <c r="A76" s="6" t="n">
        <v>71</v>
      </c>
      <c r="B76" s="5" t="s">
        <v>72</v>
      </c>
      <c r="C76" s="5" t="s">
        <v>25</v>
      </c>
      <c r="D76" s="11" t="n">
        <v>43293</v>
      </c>
      <c r="E76" s="11" t="n">
        <v>43314</v>
      </c>
      <c r="F76" s="5" t="s">
        <v>73</v>
      </c>
      <c r="G76" s="12" t="n">
        <v>357116.603292774</v>
      </c>
      <c r="H76" s="13" t="n">
        <v>74.06</v>
      </c>
      <c r="I76" s="13" t="n">
        <v>72.48</v>
      </c>
      <c r="J76" s="5" t="s">
        <v>74</v>
      </c>
      <c r="K76" s="8" t="n">
        <v>45.9186787068026</v>
      </c>
      <c r="L76" s="8" t="n">
        <v>63708.9705602722</v>
      </c>
      <c r="M76" s="8" t="n">
        <f aca="false">M75+L76</f>
        <v>1195817.25655565</v>
      </c>
      <c r="N76" s="5" t="str">
        <f aca="false">IF(L76&gt;0,"прибыль",IF(L76&lt;0,"убыток","ноль"))</f>
        <v>прибыль</v>
      </c>
      <c r="O76" s="6" t="n">
        <f aca="false">IF(L76&lt;0,O75+1,0)</f>
        <v>0</v>
      </c>
      <c r="P76" s="6" t="n">
        <v>15</v>
      </c>
    </row>
    <row r="77" customFormat="false" ht="15" hidden="false" customHeight="false" outlineLevel="0" collapsed="false">
      <c r="A77" s="6" t="n">
        <v>72</v>
      </c>
      <c r="B77" s="5" t="s">
        <v>72</v>
      </c>
      <c r="C77" s="5" t="s">
        <v>25</v>
      </c>
      <c r="D77" s="11" t="n">
        <v>43314</v>
      </c>
      <c r="E77" s="11" t="n">
        <v>43335</v>
      </c>
      <c r="F77" s="5" t="s">
        <v>75</v>
      </c>
      <c r="G77" s="12" t="n">
        <v>861757.250941173</v>
      </c>
      <c r="H77" s="13" t="n">
        <v>72.48</v>
      </c>
      <c r="I77" s="13" t="n">
        <v>74.78</v>
      </c>
      <c r="K77" s="8" t="n">
        <v>99.5893965939403</v>
      </c>
      <c r="L77" s="8" t="n">
        <v>-28925.1327918476</v>
      </c>
      <c r="M77" s="8" t="n">
        <f aca="false">M76+L77</f>
        <v>1166892.1237638</v>
      </c>
      <c r="N77" s="5" t="str">
        <f aca="false">IF(L77&gt;0,"прибыль",IF(L77&lt;0,"убыток","ноль"))</f>
        <v>убыток</v>
      </c>
      <c r="O77" s="6" t="n">
        <f aca="false">IF(L77&lt;0,O76+1,0)</f>
        <v>1</v>
      </c>
      <c r="P77" s="6" t="n">
        <v>15</v>
      </c>
    </row>
    <row r="78" customFormat="false" ht="15" hidden="false" customHeight="false" outlineLevel="0" collapsed="false">
      <c r="A78" s="6" t="n">
        <v>73</v>
      </c>
      <c r="B78" s="5" t="s">
        <v>72</v>
      </c>
      <c r="C78" s="5" t="s">
        <v>25</v>
      </c>
      <c r="D78" s="11" t="n">
        <v>43335</v>
      </c>
      <c r="E78" s="11" t="n">
        <v>43368</v>
      </c>
      <c r="F78" s="5" t="s">
        <v>73</v>
      </c>
      <c r="G78" s="12" t="n">
        <v>187963.251375639</v>
      </c>
      <c r="H78" s="13" t="n">
        <v>74.78</v>
      </c>
      <c r="I78" s="13" t="n">
        <v>81.49</v>
      </c>
      <c r="J78" s="5" t="s">
        <v>74</v>
      </c>
      <c r="K78" s="8" t="n">
        <v>18.2222082562097</v>
      </c>
      <c r="L78" s="8" t="n">
        <v>12797.5988442749</v>
      </c>
      <c r="M78" s="8" t="n">
        <f aca="false">M77+L78</f>
        <v>1179689.72260808</v>
      </c>
      <c r="N78" s="5" t="str">
        <f aca="false">IF(L78&gt;0,"прибыль",IF(L78&lt;0,"убыток","ноль"))</f>
        <v>прибыль</v>
      </c>
      <c r="O78" s="6" t="n">
        <f aca="false">IF(L78&lt;0,O77+1,0)</f>
        <v>0</v>
      </c>
      <c r="P78" s="6" t="n">
        <v>23</v>
      </c>
    </row>
    <row r="79" customFormat="false" ht="15" hidden="false" customHeight="false" outlineLevel="0" collapsed="false">
      <c r="A79" s="6" t="n">
        <v>74</v>
      </c>
      <c r="B79" s="5" t="s">
        <v>72</v>
      </c>
      <c r="C79" s="5" t="s">
        <v>25</v>
      </c>
      <c r="D79" s="11" t="n">
        <v>43368</v>
      </c>
      <c r="E79" s="11" t="n">
        <v>43399</v>
      </c>
      <c r="F79" s="5" t="s">
        <v>73</v>
      </c>
      <c r="G79" s="12" t="n">
        <v>152438.534347043</v>
      </c>
      <c r="H79" s="13" t="n">
        <v>81.49</v>
      </c>
      <c r="I79" s="13" t="n">
        <v>76.74</v>
      </c>
      <c r="J79" s="5" t="s">
        <v>74</v>
      </c>
      <c r="K79" s="8" t="n">
        <v>7.44548274808808</v>
      </c>
      <c r="L79" s="8" t="n">
        <v>-3536.32486802966</v>
      </c>
      <c r="M79" s="8" t="n">
        <f aca="false">M78+L79</f>
        <v>1176153.39774005</v>
      </c>
      <c r="N79" s="5" t="str">
        <f aca="false">IF(L79&gt;0,"прибыль",IF(L79&lt;0,"убыток","ноль"))</f>
        <v>убыток</v>
      </c>
      <c r="O79" s="6" t="n">
        <f aca="false">IF(L79&lt;0,O78+1,0)</f>
        <v>1</v>
      </c>
      <c r="P79" s="6" t="n">
        <v>23</v>
      </c>
    </row>
    <row r="80" customFormat="false" ht="15" hidden="false" customHeight="false" outlineLevel="0" collapsed="false">
      <c r="A80" s="6" t="n">
        <v>75</v>
      </c>
      <c r="B80" s="5" t="s">
        <v>72</v>
      </c>
      <c r="C80" s="5" t="s">
        <v>25</v>
      </c>
      <c r="D80" s="11" t="n">
        <v>43399</v>
      </c>
      <c r="E80" s="11" t="n">
        <v>43406</v>
      </c>
      <c r="F80" s="5" t="s">
        <v>73</v>
      </c>
      <c r="G80" s="12" t="n">
        <v>560213.275178846</v>
      </c>
      <c r="H80" s="13" t="n">
        <v>76.74</v>
      </c>
      <c r="I80" s="13" t="n">
        <v>72.85</v>
      </c>
      <c r="J80" s="5" t="s">
        <v>74</v>
      </c>
      <c r="K80" s="8" t="n">
        <v>55.2458641428107</v>
      </c>
      <c r="L80" s="8" t="n">
        <v>-21851.1447553475</v>
      </c>
      <c r="M80" s="8" t="n">
        <f aca="false">M79+L80</f>
        <v>1154302.2529847</v>
      </c>
      <c r="N80" s="5" t="str">
        <f aca="false">IF(L80&gt;0,"прибыль",IF(L80&lt;0,"убыток","ноль"))</f>
        <v>убыток</v>
      </c>
      <c r="O80" s="6" t="n">
        <f aca="false">IF(L80&lt;0,O79+1,0)</f>
        <v>2</v>
      </c>
      <c r="P80" s="6" t="n">
        <v>5</v>
      </c>
    </row>
    <row r="81" customFormat="false" ht="15" hidden="false" customHeight="false" outlineLevel="0" collapsed="false">
      <c r="A81" s="6" t="n">
        <v>76</v>
      </c>
      <c r="B81" s="5" t="s">
        <v>72</v>
      </c>
      <c r="C81" s="5" t="s">
        <v>25</v>
      </c>
      <c r="D81" s="11" t="n">
        <v>43406</v>
      </c>
      <c r="E81" s="11" t="n">
        <v>43419</v>
      </c>
      <c r="F81" s="5" t="s">
        <v>75</v>
      </c>
      <c r="G81" s="12" t="n">
        <v>155489.282934808</v>
      </c>
      <c r="H81" s="13" t="n">
        <v>72.85</v>
      </c>
      <c r="I81" s="13" t="n">
        <v>66.27</v>
      </c>
      <c r="K81" s="8" t="n">
        <v>12.569883440469</v>
      </c>
      <c r="L81" s="8" t="n">
        <v>12520.3562459966</v>
      </c>
      <c r="M81" s="8" t="n">
        <f aca="false">M80+L81</f>
        <v>1166822.6092307</v>
      </c>
      <c r="N81" s="5" t="str">
        <f aca="false">IF(L81&gt;0,"прибыль",IF(L81&lt;0,"убыток","ноль"))</f>
        <v>прибыль</v>
      </c>
      <c r="O81" s="6" t="n">
        <f aca="false">IF(L81&lt;0,O80+1,0)</f>
        <v>0</v>
      </c>
      <c r="P81" s="6" t="n">
        <v>8</v>
      </c>
    </row>
    <row r="82" customFormat="false" ht="15" hidden="false" customHeight="false" outlineLevel="0" collapsed="false">
      <c r="A82" s="6" t="n">
        <v>77</v>
      </c>
      <c r="B82" s="5" t="s">
        <v>72</v>
      </c>
      <c r="C82" s="5" t="s">
        <v>25</v>
      </c>
      <c r="D82" s="11" t="n">
        <v>43419</v>
      </c>
      <c r="E82" s="11" t="n">
        <v>43461</v>
      </c>
      <c r="F82" s="5" t="s">
        <v>75</v>
      </c>
      <c r="G82" s="12" t="n">
        <v>297221.191088187</v>
      </c>
      <c r="H82" s="13" t="n">
        <v>66.27</v>
      </c>
      <c r="I82" s="13" t="n">
        <v>54.9</v>
      </c>
      <c r="J82" s="5" t="s">
        <v>74</v>
      </c>
      <c r="K82" s="8" t="n">
        <v>17.8170177571118</v>
      </c>
      <c r="L82" s="8" t="n">
        <v>65257.5236971001</v>
      </c>
      <c r="M82" s="8" t="n">
        <f aca="false">M81+L82</f>
        <v>1232080.1329278</v>
      </c>
      <c r="N82" s="5" t="str">
        <f aca="false">IF(L82&gt;0,"прибыль",IF(L82&lt;0,"убыток","ноль"))</f>
        <v>прибыль</v>
      </c>
      <c r="O82" s="6" t="n">
        <f aca="false">IF(L82&lt;0,O81+1,0)</f>
        <v>0</v>
      </c>
      <c r="P82" s="6" t="n">
        <v>30</v>
      </c>
    </row>
    <row r="83" customFormat="false" ht="15" hidden="false" customHeight="false" outlineLevel="0" collapsed="false">
      <c r="A83" s="6" t="n">
        <v>78</v>
      </c>
      <c r="B83" s="5" t="s">
        <v>72</v>
      </c>
      <c r="C83" s="5" t="s">
        <v>25</v>
      </c>
      <c r="D83" s="11" t="n">
        <v>43461</v>
      </c>
      <c r="E83" s="11" t="n">
        <v>43516</v>
      </c>
      <c r="F83" s="5" t="s">
        <v>75</v>
      </c>
      <c r="G83" s="12" t="n">
        <v>692298.756109665</v>
      </c>
      <c r="H83" s="13" t="n">
        <v>54.9</v>
      </c>
      <c r="I83" s="13" t="n">
        <v>66.48</v>
      </c>
      <c r="J83" s="5" t="s">
        <v>74</v>
      </c>
      <c r="K83" s="8" t="n">
        <v>87.7940267389522</v>
      </c>
      <c r="L83" s="8" t="n">
        <v>19479.1658658042</v>
      </c>
      <c r="M83" s="8" t="n">
        <f aca="false">M82+L83</f>
        <v>1251559.2987936</v>
      </c>
      <c r="N83" s="5" t="str">
        <f aca="false">IF(L83&gt;0,"прибыль",IF(L83&lt;0,"убыток","ноль"))</f>
        <v>прибыль</v>
      </c>
      <c r="O83" s="6" t="n">
        <f aca="false">IF(L83&lt;0,O82+1,0)</f>
        <v>0</v>
      </c>
      <c r="P83" s="6" t="n">
        <v>36</v>
      </c>
    </row>
    <row r="84" customFormat="false" ht="15" hidden="false" customHeight="false" outlineLevel="0" collapsed="false">
      <c r="A84" s="6" t="n">
        <v>79</v>
      </c>
      <c r="B84" s="5" t="s">
        <v>72</v>
      </c>
      <c r="C84" s="5" t="s">
        <v>25</v>
      </c>
      <c r="D84" s="11" t="n">
        <v>43516</v>
      </c>
      <c r="E84" s="11" t="n">
        <v>43517</v>
      </c>
      <c r="F84" s="5" t="s">
        <v>73</v>
      </c>
      <c r="G84" s="12" t="n">
        <v>8.59737142271232E-011</v>
      </c>
      <c r="H84" s="13" t="n">
        <v>66.48</v>
      </c>
      <c r="I84" s="13" t="n">
        <v>67.07</v>
      </c>
      <c r="K84" s="8" t="n">
        <v>4.32878406664298E-015</v>
      </c>
      <c r="L84" s="8" t="n">
        <v>5.97638321669872E-013</v>
      </c>
      <c r="M84" s="8" t="n">
        <f aca="false">M83+L84</f>
        <v>1251559.2987936</v>
      </c>
      <c r="N84" s="5" t="str">
        <f aca="false">IF(L84&gt;0,"прибыль",IF(L84&lt;0,"убыток","ноль"))</f>
        <v>прибыль</v>
      </c>
      <c r="O84" s="6" t="n">
        <f aca="false">IF(L84&lt;0,O83+1,0)</f>
        <v>0</v>
      </c>
      <c r="P84" s="6" t="n">
        <v>1</v>
      </c>
    </row>
    <row r="85" customFormat="false" ht="15" hidden="false" customHeight="false" outlineLevel="0" collapsed="false">
      <c r="A85" s="6" t="n">
        <v>80</v>
      </c>
      <c r="B85" s="5" t="s">
        <v>72</v>
      </c>
      <c r="C85" s="5" t="s">
        <v>25</v>
      </c>
      <c r="D85" s="11" t="n">
        <v>43517</v>
      </c>
      <c r="E85" s="11" t="n">
        <v>43578</v>
      </c>
      <c r="F85" s="5" t="s">
        <v>73</v>
      </c>
      <c r="G85" s="12" t="n">
        <v>256403.440517825</v>
      </c>
      <c r="H85" s="13" t="n">
        <v>67.07</v>
      </c>
      <c r="I85" s="13" t="n">
        <v>74.17</v>
      </c>
      <c r="J85" s="5" t="s">
        <v>74</v>
      </c>
      <c r="K85" s="8" t="n">
        <v>37.927265816306</v>
      </c>
      <c r="L85" s="8" t="n">
        <v>27162.6887928747</v>
      </c>
      <c r="M85" s="8" t="n">
        <f aca="false">M84+L85</f>
        <v>1278721.98758648</v>
      </c>
      <c r="N85" s="5" t="str">
        <f aca="false">IF(L85&gt;0,"прибыль",IF(L85&lt;0,"убыток","ноль"))</f>
        <v>прибыль</v>
      </c>
      <c r="O85" s="6" t="n">
        <f aca="false">IF(L85&lt;0,O84+1,0)</f>
        <v>0</v>
      </c>
      <c r="P85" s="6" t="n">
        <v>43</v>
      </c>
    </row>
    <row r="86" customFormat="false" ht="15" hidden="false" customHeight="false" outlineLevel="0" collapsed="false">
      <c r="A86" s="6" t="n">
        <v>81</v>
      </c>
      <c r="B86" s="5" t="s">
        <v>72</v>
      </c>
      <c r="C86" s="5" t="s">
        <v>25</v>
      </c>
      <c r="D86" s="11" t="n">
        <v>43578</v>
      </c>
      <c r="E86" s="11" t="n">
        <v>43584</v>
      </c>
      <c r="F86" s="5" t="s">
        <v>73</v>
      </c>
      <c r="G86" s="12" t="n">
        <v>254324.792514841</v>
      </c>
      <c r="H86" s="13" t="n">
        <v>74.17</v>
      </c>
      <c r="I86" s="13" t="n">
        <v>71.6</v>
      </c>
      <c r="K86" s="8" t="n">
        <v>13.5754215623804</v>
      </c>
      <c r="L86" s="8" t="n">
        <v>17170.0633112034</v>
      </c>
      <c r="M86" s="8" t="n">
        <f aca="false">M85+L86</f>
        <v>1295892.05089768</v>
      </c>
      <c r="N86" s="5" t="str">
        <f aca="false">IF(L86&gt;0,"прибыль",IF(L86&lt;0,"убыток","ноль"))</f>
        <v>прибыль</v>
      </c>
      <c r="O86" s="6" t="n">
        <f aca="false">IF(L86&lt;0,O85+1,0)</f>
        <v>0</v>
      </c>
      <c r="P86" s="6" t="n">
        <v>4</v>
      </c>
    </row>
    <row r="87" customFormat="false" ht="15" hidden="false" customHeight="false" outlineLevel="0" collapsed="false">
      <c r="A87" s="6" t="n">
        <v>82</v>
      </c>
      <c r="B87" s="5" t="s">
        <v>72</v>
      </c>
      <c r="C87" s="5" t="s">
        <v>25</v>
      </c>
      <c r="D87" s="11" t="n">
        <v>43584</v>
      </c>
      <c r="E87" s="11" t="n">
        <v>43609</v>
      </c>
      <c r="F87" s="5" t="s">
        <v>73</v>
      </c>
      <c r="G87" s="12" t="n">
        <v>160457.152515817</v>
      </c>
      <c r="H87" s="13" t="n">
        <v>71.6</v>
      </c>
      <c r="I87" s="13" t="n">
        <v>67.97</v>
      </c>
      <c r="J87" s="5" t="s">
        <v>74</v>
      </c>
      <c r="K87" s="8" t="n">
        <v>8.3954590661958</v>
      </c>
      <c r="L87" s="8" t="n">
        <v>7443.63334903234</v>
      </c>
      <c r="M87" s="8" t="n">
        <f aca="false">M86+L87</f>
        <v>1303335.68424671</v>
      </c>
      <c r="N87" s="5" t="str">
        <f aca="false">IF(L87&gt;0,"прибыль",IF(L87&lt;0,"убыток","ноль"))</f>
        <v>прибыль</v>
      </c>
      <c r="O87" s="6" t="n">
        <f aca="false">IF(L87&lt;0,O86+1,0)</f>
        <v>0</v>
      </c>
      <c r="P87" s="6" t="n">
        <v>17</v>
      </c>
    </row>
    <row r="88" customFormat="false" ht="15" hidden="false" customHeight="false" outlineLevel="0" collapsed="false">
      <c r="A88" s="6" t="n">
        <v>83</v>
      </c>
      <c r="B88" s="5" t="s">
        <v>72</v>
      </c>
      <c r="C88" s="5" t="s">
        <v>25</v>
      </c>
      <c r="D88" s="11" t="n">
        <v>43609</v>
      </c>
      <c r="E88" s="11" t="n">
        <v>43627</v>
      </c>
      <c r="F88" s="5" t="s">
        <v>73</v>
      </c>
      <c r="G88" s="12" t="n">
        <v>541231.105971868</v>
      </c>
      <c r="H88" s="13" t="n">
        <v>67.97</v>
      </c>
      <c r="I88" s="13" t="n">
        <v>62.37</v>
      </c>
      <c r="J88" s="5" t="s">
        <v>74</v>
      </c>
      <c r="K88" s="8" t="n">
        <v>50.6594090455581</v>
      </c>
      <c r="L88" s="8" t="n">
        <v>9163.69547746695</v>
      </c>
      <c r="M88" s="8" t="n">
        <f aca="false">M87+L88</f>
        <v>1312499.37972418</v>
      </c>
      <c r="N88" s="5" t="str">
        <f aca="false">IF(L88&gt;0,"прибыль",IF(L88&lt;0,"убыток","ноль"))</f>
        <v>прибыль</v>
      </c>
      <c r="O88" s="6" t="n">
        <f aca="false">IF(L88&lt;0,O87+1,0)</f>
        <v>0</v>
      </c>
      <c r="P88" s="6" t="n">
        <v>12</v>
      </c>
    </row>
    <row r="89" customFormat="false" ht="15" hidden="false" customHeight="false" outlineLevel="0" collapsed="false">
      <c r="A89" s="6" t="n">
        <v>84</v>
      </c>
      <c r="B89" s="5" t="s">
        <v>72</v>
      </c>
      <c r="C89" s="5" t="s">
        <v>25</v>
      </c>
      <c r="D89" s="11" t="n">
        <v>43627</v>
      </c>
      <c r="E89" s="11" t="n">
        <v>43661</v>
      </c>
      <c r="F89" s="5" t="s">
        <v>75</v>
      </c>
      <c r="G89" s="12" t="n">
        <v>595712.599805333</v>
      </c>
      <c r="H89" s="13" t="n">
        <v>62.37</v>
      </c>
      <c r="I89" s="13" t="n">
        <v>66.83</v>
      </c>
      <c r="J89" s="5" t="s">
        <v>74</v>
      </c>
      <c r="K89" s="8" t="n">
        <v>65.8882305611157</v>
      </c>
      <c r="L89" s="8" t="n">
        <v>-48708.9496258929</v>
      </c>
      <c r="M89" s="8" t="n">
        <f aca="false">M88+L89</f>
        <v>1263790.43009829</v>
      </c>
      <c r="N89" s="5" t="str">
        <f aca="false">IF(L89&gt;0,"прибыль",IF(L89&lt;0,"убыток","ноль"))</f>
        <v>убыток</v>
      </c>
      <c r="O89" s="6" t="n">
        <f aca="false">IF(L89&lt;0,O88+1,0)</f>
        <v>1</v>
      </c>
      <c r="P89" s="6" t="n">
        <v>23</v>
      </c>
    </row>
    <row r="90" customFormat="false" ht="15" hidden="false" customHeight="false" outlineLevel="0" collapsed="false">
      <c r="A90" s="6" t="n">
        <v>85</v>
      </c>
      <c r="B90" s="5" t="s">
        <v>72</v>
      </c>
      <c r="C90" s="5" t="s">
        <v>25</v>
      </c>
      <c r="D90" s="11" t="n">
        <v>43661</v>
      </c>
      <c r="E90" s="11" t="n">
        <v>43706</v>
      </c>
      <c r="F90" s="5" t="s">
        <v>73</v>
      </c>
      <c r="G90" s="12" t="n">
        <v>660250.071792455</v>
      </c>
      <c r="H90" s="13" t="n">
        <v>66.83</v>
      </c>
      <c r="I90" s="13" t="n">
        <v>60.42</v>
      </c>
      <c r="J90" s="5" t="s">
        <v>74</v>
      </c>
      <c r="K90" s="8" t="n">
        <v>65.0791817328639</v>
      </c>
      <c r="L90" s="8" t="n">
        <v>-22303.7730106242</v>
      </c>
      <c r="M90" s="8" t="n">
        <f aca="false">M89+L90</f>
        <v>1241486.65708766</v>
      </c>
      <c r="N90" s="5" t="str">
        <f aca="false">IF(L90&gt;0,"прибыль",IF(L90&lt;0,"убыток","ноль"))</f>
        <v>убыток</v>
      </c>
      <c r="O90" s="6" t="n">
        <f aca="false">IF(L90&lt;0,O89+1,0)</f>
        <v>2</v>
      </c>
      <c r="P90" s="6" t="n">
        <v>33</v>
      </c>
    </row>
    <row r="91" customFormat="false" ht="15" hidden="false" customHeight="false" outlineLevel="0" collapsed="false">
      <c r="A91" s="6" t="n">
        <v>86</v>
      </c>
      <c r="B91" s="5" t="s">
        <v>72</v>
      </c>
      <c r="C91" s="5" t="s">
        <v>25</v>
      </c>
      <c r="D91" s="11" t="n">
        <v>43706</v>
      </c>
      <c r="E91" s="11" t="n">
        <v>43714</v>
      </c>
      <c r="F91" s="5" t="s">
        <v>75</v>
      </c>
      <c r="G91" s="12" t="n">
        <v>543761.255170356</v>
      </c>
      <c r="H91" s="13" t="n">
        <v>60.42</v>
      </c>
      <c r="I91" s="13" t="n">
        <v>60.77</v>
      </c>
      <c r="J91" s="5" t="s">
        <v>74</v>
      </c>
      <c r="K91" s="8" t="n">
        <v>55.8187539033636</v>
      </c>
      <c r="L91" s="8" t="n">
        <v>-20918.6467582052</v>
      </c>
      <c r="M91" s="8" t="n">
        <f aca="false">M90+L91</f>
        <v>1220568.01032946</v>
      </c>
      <c r="N91" s="5" t="str">
        <f aca="false">IF(L91&gt;0,"прибыль",IF(L91&lt;0,"убыток","ноль"))</f>
        <v>убыток</v>
      </c>
      <c r="O91" s="6" t="n">
        <f aca="false">IF(L91&lt;0,O90+1,0)</f>
        <v>3</v>
      </c>
      <c r="P91" s="6" t="n">
        <v>6</v>
      </c>
    </row>
    <row r="92" customFormat="false" ht="15" hidden="false" customHeight="false" outlineLevel="0" collapsed="false">
      <c r="A92" s="6" t="n">
        <v>87</v>
      </c>
      <c r="B92" s="5" t="s">
        <v>72</v>
      </c>
      <c r="C92" s="5" t="s">
        <v>25</v>
      </c>
      <c r="D92" s="11" t="n">
        <v>43714</v>
      </c>
      <c r="E92" s="11" t="n">
        <v>43725</v>
      </c>
      <c r="F92" s="5" t="s">
        <v>73</v>
      </c>
      <c r="G92" s="12" t="n">
        <v>287028.325784868</v>
      </c>
      <c r="H92" s="13" t="n">
        <v>60.77</v>
      </c>
      <c r="I92" s="13" t="n">
        <v>67.95</v>
      </c>
      <c r="K92" s="8" t="n">
        <v>15.9985763907979</v>
      </c>
      <c r="L92" s="8" t="n">
        <v>32927.2034546979</v>
      </c>
      <c r="M92" s="8" t="n">
        <f aca="false">M91+L92</f>
        <v>1253495.21378416</v>
      </c>
      <c r="N92" s="5" t="str">
        <f aca="false">IF(L92&gt;0,"прибыль",IF(L92&lt;0,"убыток","ноль"))</f>
        <v>прибыль</v>
      </c>
      <c r="O92" s="6" t="n">
        <f aca="false">IF(L92&lt;0,O91+1,0)</f>
        <v>0</v>
      </c>
      <c r="P92" s="6" t="n">
        <v>7</v>
      </c>
    </row>
    <row r="93" customFormat="false" ht="15" hidden="false" customHeight="false" outlineLevel="0" collapsed="false">
      <c r="A93" s="6" t="n">
        <v>88</v>
      </c>
      <c r="B93" s="5" t="s">
        <v>72</v>
      </c>
      <c r="C93" s="5" t="s">
        <v>25</v>
      </c>
      <c r="D93" s="11" t="n">
        <v>43725</v>
      </c>
      <c r="E93" s="11" t="n">
        <v>43790</v>
      </c>
      <c r="F93" s="5" t="s">
        <v>73</v>
      </c>
      <c r="G93" s="12" t="n">
        <v>170405.283153136</v>
      </c>
      <c r="H93" s="13" t="n">
        <v>67.95</v>
      </c>
      <c r="I93" s="13" t="n">
        <v>62.45</v>
      </c>
      <c r="J93" s="5" t="s">
        <v>74</v>
      </c>
      <c r="K93" s="8" t="n">
        <v>37.6244925384599</v>
      </c>
      <c r="L93" s="8" t="n">
        <v>3733.76331955237</v>
      </c>
      <c r="M93" s="8" t="n">
        <f aca="false">M92+L93</f>
        <v>1257228.97710371</v>
      </c>
      <c r="N93" s="5" t="str">
        <f aca="false">IF(L93&gt;0,"прибыль",IF(L93&lt;0,"убыток","ноль"))</f>
        <v>прибыль</v>
      </c>
      <c r="O93" s="6" t="n">
        <f aca="false">IF(L93&lt;0,O92+1,0)</f>
        <v>0</v>
      </c>
      <c r="P93" s="6" t="n">
        <v>46</v>
      </c>
    </row>
    <row r="94" customFormat="false" ht="15" hidden="false" customHeight="false" outlineLevel="0" collapsed="false">
      <c r="A94" s="6" t="n">
        <v>89</v>
      </c>
      <c r="B94" s="5" t="s">
        <v>72</v>
      </c>
      <c r="C94" s="5" t="s">
        <v>25</v>
      </c>
      <c r="D94" s="11" t="n">
        <v>43790</v>
      </c>
      <c r="E94" s="11" t="n">
        <v>43839</v>
      </c>
      <c r="F94" s="5" t="s">
        <v>73</v>
      </c>
      <c r="G94" s="12" t="n">
        <v>248644.662180888</v>
      </c>
      <c r="H94" s="13" t="n">
        <v>62.45</v>
      </c>
      <c r="I94" s="13" t="n">
        <v>66.07</v>
      </c>
      <c r="J94" s="5" t="s">
        <v>74</v>
      </c>
      <c r="K94" s="8" t="n">
        <v>28.029175466023</v>
      </c>
      <c r="L94" s="8" t="n">
        <v>23195.4304543141</v>
      </c>
      <c r="M94" s="8" t="n">
        <f aca="false">M93+L94</f>
        <v>1280424.40755802</v>
      </c>
      <c r="N94" s="5" t="str">
        <f aca="false">IF(L94&gt;0,"прибыль",IF(L94&lt;0,"убыток","ноль"))</f>
        <v>прибыль</v>
      </c>
      <c r="O94" s="6" t="n">
        <f aca="false">IF(L94&lt;0,O93+1,0)</f>
        <v>0</v>
      </c>
      <c r="P94" s="6" t="n">
        <v>31</v>
      </c>
    </row>
    <row r="95" customFormat="false" ht="15" hidden="false" customHeight="false" outlineLevel="0" collapsed="false">
      <c r="A95" s="6" t="n">
        <v>90</v>
      </c>
      <c r="B95" s="5" t="s">
        <v>72</v>
      </c>
      <c r="C95" s="5" t="s">
        <v>25</v>
      </c>
      <c r="D95" s="11" t="n">
        <v>43839</v>
      </c>
      <c r="E95" s="11" t="n">
        <v>43867</v>
      </c>
      <c r="F95" s="5" t="s">
        <v>73</v>
      </c>
      <c r="G95" s="12" t="n">
        <v>712701.291087486</v>
      </c>
      <c r="H95" s="13" t="n">
        <v>66.07</v>
      </c>
      <c r="I95" s="13" t="n">
        <v>55.6</v>
      </c>
      <c r="J95" s="5" t="s">
        <v>74</v>
      </c>
      <c r="K95" s="8" t="n">
        <v>70.8659916708414</v>
      </c>
      <c r="L95" s="8" t="n">
        <v>-9405.58434034597</v>
      </c>
      <c r="M95" s="8" t="n">
        <f aca="false">M94+L95</f>
        <v>1271018.82321768</v>
      </c>
      <c r="N95" s="5" t="str">
        <f aca="false">IF(L95&gt;0,"прибыль",IF(L95&lt;0,"убыток","ноль"))</f>
        <v>убыток</v>
      </c>
      <c r="O95" s="6" t="n">
        <f aca="false">IF(L95&lt;0,O94+1,0)</f>
        <v>1</v>
      </c>
      <c r="P95" s="6" t="n">
        <v>20</v>
      </c>
    </row>
    <row r="96" customFormat="false" ht="15" hidden="false" customHeight="false" outlineLevel="0" collapsed="false">
      <c r="A96" s="6" t="n">
        <v>91</v>
      </c>
      <c r="B96" s="5" t="s">
        <v>72</v>
      </c>
      <c r="C96" s="5" t="s">
        <v>25</v>
      </c>
      <c r="D96" s="11" t="n">
        <v>43867</v>
      </c>
      <c r="E96" s="11" t="n">
        <v>43874</v>
      </c>
      <c r="F96" s="5" t="s">
        <v>75</v>
      </c>
      <c r="G96" s="12" t="n">
        <v>171986.73305119</v>
      </c>
      <c r="H96" s="13" t="n">
        <v>55.6</v>
      </c>
      <c r="I96" s="13" t="n">
        <v>56.12</v>
      </c>
      <c r="K96" s="8" t="n">
        <v>8.69804033137523</v>
      </c>
      <c r="L96" s="8" t="n">
        <v>-1982.77161664581</v>
      </c>
      <c r="M96" s="8" t="n">
        <f aca="false">M95+L96</f>
        <v>1269036.05160103</v>
      </c>
      <c r="N96" s="5" t="str">
        <f aca="false">IF(L96&gt;0,"прибыль",IF(L96&lt;0,"убыток","ноль"))</f>
        <v>убыток</v>
      </c>
      <c r="O96" s="6" t="n">
        <f aca="false">IF(L96&lt;0,O95+1,0)</f>
        <v>2</v>
      </c>
      <c r="P96" s="6" t="n">
        <v>5</v>
      </c>
    </row>
    <row r="97" customFormat="false" ht="15" hidden="false" customHeight="false" outlineLevel="0" collapsed="false">
      <c r="A97" s="6" t="n">
        <v>92</v>
      </c>
      <c r="B97" s="5" t="s">
        <v>72</v>
      </c>
      <c r="C97" s="5" t="s">
        <v>25</v>
      </c>
      <c r="D97" s="11" t="n">
        <v>43874</v>
      </c>
      <c r="E97" s="11" t="n">
        <v>43900</v>
      </c>
      <c r="F97" s="5" t="s">
        <v>75</v>
      </c>
      <c r="G97" s="12" t="n">
        <v>141272.859333542</v>
      </c>
      <c r="H97" s="13" t="n">
        <v>56.12</v>
      </c>
      <c r="I97" s="13" t="n">
        <v>45.2</v>
      </c>
      <c r="J97" s="5" t="s">
        <v>74</v>
      </c>
      <c r="K97" s="8" t="n">
        <v>5.53128073456929</v>
      </c>
      <c r="L97" s="8" t="n">
        <v>30641.713361422</v>
      </c>
      <c r="M97" s="8" t="n">
        <f aca="false">M96+L97</f>
        <v>1299677.76496245</v>
      </c>
      <c r="N97" s="5" t="str">
        <f aca="false">IF(L97&gt;0,"прибыль",IF(L97&lt;0,"убыток","ноль"))</f>
        <v>прибыль</v>
      </c>
      <c r="O97" s="6" t="n">
        <f aca="false">IF(L97&lt;0,O96+1,0)</f>
        <v>0</v>
      </c>
      <c r="P97" s="6" t="n">
        <v>16</v>
      </c>
    </row>
    <row r="98" customFormat="false" ht="15" hidden="false" customHeight="false" outlineLevel="0" collapsed="false">
      <c r="A98" s="6" t="n">
        <v>93</v>
      </c>
      <c r="B98" s="5" t="s">
        <v>72</v>
      </c>
      <c r="C98" s="5" t="s">
        <v>25</v>
      </c>
      <c r="D98" s="11" t="n">
        <v>43900</v>
      </c>
      <c r="E98" s="11" t="n">
        <v>43901</v>
      </c>
      <c r="F98" s="5" t="s">
        <v>75</v>
      </c>
      <c r="G98" s="12" t="n">
        <v>86858.2898494498</v>
      </c>
      <c r="H98" s="13" t="n">
        <v>45.2</v>
      </c>
      <c r="I98" s="13" t="n">
        <v>37.8</v>
      </c>
      <c r="K98" s="8" t="n">
        <v>2.84625452666972</v>
      </c>
      <c r="L98" s="8" t="n">
        <v>29930.3530615287</v>
      </c>
      <c r="M98" s="8" t="n">
        <f aca="false">M97+L98</f>
        <v>1329608.11802398</v>
      </c>
      <c r="N98" s="5" t="str">
        <f aca="false">IF(L98&gt;0,"прибыль",IF(L98&lt;0,"убыток","ноль"))</f>
        <v>прибыль</v>
      </c>
      <c r="O98" s="6" t="n">
        <f aca="false">IF(L98&lt;0,O97+1,0)</f>
        <v>0</v>
      </c>
      <c r="P98" s="6" t="n">
        <v>1</v>
      </c>
    </row>
    <row r="99" customFormat="false" ht="15" hidden="false" customHeight="false" outlineLevel="0" collapsed="false">
      <c r="A99" s="6" t="n">
        <v>94</v>
      </c>
      <c r="B99" s="5" t="s">
        <v>72</v>
      </c>
      <c r="C99" s="5" t="s">
        <v>25</v>
      </c>
      <c r="D99" s="11" t="n">
        <v>43901</v>
      </c>
      <c r="E99" s="11" t="n">
        <v>43924</v>
      </c>
      <c r="F99" s="5" t="s">
        <v>75</v>
      </c>
      <c r="G99" s="12" t="n">
        <v>97349.5559037518</v>
      </c>
      <c r="H99" s="13" t="n">
        <v>37.8</v>
      </c>
      <c r="I99" s="13" t="n">
        <v>29.72</v>
      </c>
      <c r="J99" s="5" t="s">
        <v>74</v>
      </c>
      <c r="K99" s="8" t="n">
        <v>3.97010784532463</v>
      </c>
      <c r="L99" s="8" t="n">
        <v>47201.8140013625</v>
      </c>
      <c r="M99" s="8" t="n">
        <f aca="false">M98+L99</f>
        <v>1376809.93202534</v>
      </c>
      <c r="N99" s="5" t="str">
        <f aca="false">IF(L99&gt;0,"прибыль",IF(L99&lt;0,"убыток","ноль"))</f>
        <v>прибыль</v>
      </c>
      <c r="O99" s="6" t="n">
        <f aca="false">IF(L99&lt;0,O98+1,0)</f>
        <v>0</v>
      </c>
      <c r="P99" s="6" t="n">
        <v>17</v>
      </c>
    </row>
    <row r="100" customFormat="false" ht="15" hidden="false" customHeight="false" outlineLevel="0" collapsed="false">
      <c r="A100" s="6" t="n">
        <v>95</v>
      </c>
      <c r="B100" s="5" t="s">
        <v>72</v>
      </c>
      <c r="C100" s="5" t="s">
        <v>25</v>
      </c>
      <c r="D100" s="11" t="n">
        <v>43924</v>
      </c>
      <c r="E100" s="11" t="n">
        <v>43927</v>
      </c>
      <c r="F100" s="5" t="s">
        <v>75</v>
      </c>
      <c r="G100" s="12" t="n">
        <v>74682.660709762</v>
      </c>
      <c r="H100" s="13" t="n">
        <v>29.72</v>
      </c>
      <c r="I100" s="13" t="n">
        <v>35.12</v>
      </c>
      <c r="K100" s="8" t="n">
        <v>2.27461035619624</v>
      </c>
      <c r="L100" s="8" t="n">
        <v>29188.1789754811</v>
      </c>
      <c r="M100" s="8" t="n">
        <f aca="false">M99+L100</f>
        <v>1405998.11100082</v>
      </c>
      <c r="N100" s="5" t="str">
        <f aca="false">IF(L100&gt;0,"прибыль",IF(L100&lt;0,"убыток","ноль"))</f>
        <v>прибыль</v>
      </c>
      <c r="O100" s="6" t="n">
        <f aca="false">IF(L100&lt;0,O99+1,0)</f>
        <v>0</v>
      </c>
      <c r="P100" s="6" t="n">
        <v>1</v>
      </c>
    </row>
    <row r="101" customFormat="false" ht="15" hidden="false" customHeight="false" outlineLevel="0" collapsed="false">
      <c r="A101" s="6" t="n">
        <v>96</v>
      </c>
      <c r="B101" s="5" t="s">
        <v>72</v>
      </c>
      <c r="C101" s="5" t="s">
        <v>25</v>
      </c>
      <c r="D101" s="11" t="n">
        <v>43927</v>
      </c>
      <c r="E101" s="11" t="n">
        <v>43970</v>
      </c>
      <c r="F101" s="5" t="s">
        <v>75</v>
      </c>
      <c r="G101" s="12" t="n">
        <v>57970.4333504174</v>
      </c>
      <c r="H101" s="13" t="n">
        <v>35.12</v>
      </c>
      <c r="I101" s="13" t="n">
        <v>35.45</v>
      </c>
      <c r="J101" s="5" t="s">
        <v>74</v>
      </c>
      <c r="K101" s="8" t="n">
        <v>4.52321437082187</v>
      </c>
      <c r="L101" s="8" t="n">
        <v>18757.0506337555</v>
      </c>
      <c r="M101" s="8" t="n">
        <f aca="false">M100+L101</f>
        <v>1424755.16163458</v>
      </c>
      <c r="N101" s="5" t="str">
        <f aca="false">IF(L101&gt;0,"прибыль",IF(L101&lt;0,"убыток","ноль"))</f>
        <v>прибыль</v>
      </c>
      <c r="O101" s="6" t="n">
        <f aca="false">IF(L101&lt;0,O100+1,0)</f>
        <v>0</v>
      </c>
      <c r="P101" s="6" t="n">
        <v>29</v>
      </c>
    </row>
    <row r="102" customFormat="false" ht="15" hidden="false" customHeight="false" outlineLevel="0" collapsed="false">
      <c r="A102" s="6" t="n">
        <v>97</v>
      </c>
      <c r="B102" s="5" t="s">
        <v>72</v>
      </c>
      <c r="C102" s="5" t="s">
        <v>25</v>
      </c>
      <c r="D102" s="11" t="n">
        <v>43970</v>
      </c>
      <c r="E102" s="11" t="n">
        <v>43985</v>
      </c>
      <c r="F102" s="5" t="s">
        <v>75</v>
      </c>
      <c r="G102" s="12" t="n">
        <v>257334.244901497</v>
      </c>
      <c r="H102" s="13" t="n">
        <v>35.45</v>
      </c>
      <c r="I102" s="13" t="n">
        <v>39.71</v>
      </c>
      <c r="J102" s="5" t="s">
        <v>74</v>
      </c>
      <c r="K102" s="8" t="n">
        <v>25.2295093348247</v>
      </c>
      <c r="L102" s="8" t="n">
        <v>48849.5149086666</v>
      </c>
      <c r="M102" s="8" t="n">
        <f aca="false">M101+L102</f>
        <v>1473604.67654325</v>
      </c>
      <c r="N102" s="5" t="str">
        <f aca="false">IF(L102&gt;0,"прибыль",IF(L102&lt;0,"убыток","ноль"))</f>
        <v>прибыль</v>
      </c>
      <c r="O102" s="6" t="n">
        <f aca="false">IF(L102&lt;0,O101+1,0)</f>
        <v>0</v>
      </c>
      <c r="P102" s="6" t="n">
        <v>11</v>
      </c>
    </row>
    <row r="103" customFormat="false" ht="15" hidden="false" customHeight="false" outlineLevel="0" collapsed="false">
      <c r="A103" s="6" t="n">
        <v>98</v>
      </c>
      <c r="B103" s="5" t="s">
        <v>72</v>
      </c>
      <c r="C103" s="5" t="s">
        <v>25</v>
      </c>
      <c r="D103" s="11" t="n">
        <v>43985</v>
      </c>
      <c r="E103" s="11" t="n">
        <v>44081</v>
      </c>
      <c r="F103" s="5" t="s">
        <v>73</v>
      </c>
      <c r="G103" s="12" t="n">
        <v>204738.859484081</v>
      </c>
      <c r="H103" s="13" t="n">
        <v>39.71</v>
      </c>
      <c r="I103" s="13" t="n">
        <v>42.34</v>
      </c>
      <c r="J103" s="5" t="s">
        <v>74</v>
      </c>
      <c r="K103" s="8" t="n">
        <v>42.594126961794</v>
      </c>
      <c r="L103" s="8" t="n">
        <v>-6528.01974156763</v>
      </c>
      <c r="M103" s="8" t="n">
        <f aca="false">M102+L103</f>
        <v>1467076.65680168</v>
      </c>
      <c r="N103" s="5" t="str">
        <f aca="false">IF(L103&gt;0,"прибыль",IF(L103&lt;0,"убыток","ноль"))</f>
        <v>убыток</v>
      </c>
      <c r="O103" s="6" t="n">
        <f aca="false">IF(L103&lt;0,O102+1,0)</f>
        <v>1</v>
      </c>
      <c r="P103" s="6" t="n">
        <v>65</v>
      </c>
    </row>
    <row r="104" customFormat="false" ht="15" hidden="false" customHeight="false" outlineLevel="0" collapsed="false">
      <c r="A104" s="6" t="n">
        <v>99</v>
      </c>
      <c r="B104" s="5" t="s">
        <v>72</v>
      </c>
      <c r="C104" s="5" t="s">
        <v>25</v>
      </c>
      <c r="D104" s="11" t="n">
        <v>44081</v>
      </c>
      <c r="E104" s="11" t="n">
        <v>44085</v>
      </c>
      <c r="F104" s="5" t="s">
        <v>73</v>
      </c>
      <c r="G104" s="12" t="n">
        <v>652033.228699824</v>
      </c>
      <c r="H104" s="13" t="n">
        <v>42.34</v>
      </c>
      <c r="I104" s="13" t="n">
        <v>39.81</v>
      </c>
      <c r="K104" s="8" t="n">
        <v>54.954427368845</v>
      </c>
      <c r="L104" s="8" t="n">
        <v>-58545.9441062862</v>
      </c>
      <c r="M104" s="8" t="n">
        <f aca="false">M103+L104</f>
        <v>1408530.71269539</v>
      </c>
      <c r="N104" s="5" t="str">
        <f aca="false">IF(L104&gt;0,"прибыль",IF(L104&lt;0,"убыток","ноль"))</f>
        <v>убыток</v>
      </c>
      <c r="O104" s="6" t="n">
        <f aca="false">IF(L104&lt;0,O103+1,0)</f>
        <v>2</v>
      </c>
      <c r="P104" s="6" t="n">
        <v>4</v>
      </c>
    </row>
    <row r="105" customFormat="false" ht="15" hidden="false" customHeight="false" outlineLevel="0" collapsed="false">
      <c r="A105" s="6" t="n">
        <v>100</v>
      </c>
      <c r="B105" s="5" t="s">
        <v>72</v>
      </c>
      <c r="C105" s="5" t="s">
        <v>25</v>
      </c>
      <c r="D105" s="11" t="n">
        <v>44085</v>
      </c>
      <c r="E105" s="11" t="n">
        <v>44091</v>
      </c>
      <c r="F105" s="5" t="s">
        <v>75</v>
      </c>
      <c r="G105" s="12" t="n">
        <v>112751.564578636</v>
      </c>
      <c r="H105" s="13" t="n">
        <v>39.81</v>
      </c>
      <c r="I105" s="13" t="n">
        <v>42.33</v>
      </c>
      <c r="K105" s="8" t="n">
        <v>6.01026037472048</v>
      </c>
      <c r="L105" s="8" t="n">
        <v>-7459.65317614784</v>
      </c>
      <c r="M105" s="8" t="n">
        <f aca="false">M104+L105</f>
        <v>1401071.05951925</v>
      </c>
      <c r="N105" s="5" t="str">
        <f aca="false">IF(L105&gt;0,"прибыль",IF(L105&lt;0,"убыток","ноль"))</f>
        <v>убыток</v>
      </c>
      <c r="O105" s="6" t="n">
        <f aca="false">IF(L105&lt;0,O104+1,0)</f>
        <v>3</v>
      </c>
      <c r="P105" s="6" t="n">
        <v>4</v>
      </c>
    </row>
    <row r="106" customFormat="false" ht="15" hidden="false" customHeight="false" outlineLevel="0" collapsed="false">
      <c r="A106" s="6" t="n">
        <v>101</v>
      </c>
      <c r="B106" s="5" t="s">
        <v>72</v>
      </c>
      <c r="C106" s="5" t="s">
        <v>25</v>
      </c>
      <c r="D106" s="11" t="n">
        <v>44091</v>
      </c>
      <c r="E106" s="11" t="n">
        <v>44145</v>
      </c>
      <c r="F106" s="5" t="s">
        <v>75</v>
      </c>
      <c r="G106" s="12" t="n">
        <v>127028.086958914</v>
      </c>
      <c r="H106" s="13" t="n">
        <v>42.33</v>
      </c>
      <c r="I106" s="13" t="n">
        <v>42.29</v>
      </c>
      <c r="J106" s="5" t="s">
        <v>74</v>
      </c>
      <c r="K106" s="8" t="n">
        <v>11.0625641160345</v>
      </c>
      <c r="L106" s="8" t="n">
        <v>-3814.15519865048</v>
      </c>
      <c r="M106" s="8" t="n">
        <f aca="false">M105+L106</f>
        <v>1397256.90432059</v>
      </c>
      <c r="N106" s="5" t="str">
        <f aca="false">IF(L106&gt;0,"прибыль",IF(L106&lt;0,"убыток","ноль"))</f>
        <v>убыток</v>
      </c>
      <c r="O106" s="6" t="n">
        <f aca="false">IF(L106&lt;0,O105+1,0)</f>
        <v>4</v>
      </c>
      <c r="P106" s="6" t="n">
        <v>37</v>
      </c>
    </row>
    <row r="107" customFormat="false" ht="15" hidden="false" customHeight="false" outlineLevel="0" collapsed="false">
      <c r="A107" s="6" t="n">
        <v>102</v>
      </c>
      <c r="B107" s="5" t="s">
        <v>72</v>
      </c>
      <c r="C107" s="5" t="s">
        <v>25</v>
      </c>
      <c r="D107" s="11" t="n">
        <v>44145</v>
      </c>
      <c r="E107" s="11" t="n">
        <v>44165</v>
      </c>
      <c r="F107" s="5" t="s">
        <v>75</v>
      </c>
      <c r="G107" s="12" t="n">
        <v>356186.759545685</v>
      </c>
      <c r="H107" s="13" t="n">
        <v>42.29</v>
      </c>
      <c r="I107" s="13" t="n">
        <v>48.8</v>
      </c>
      <c r="K107" s="8" t="n">
        <v>42.4837233291712</v>
      </c>
      <c r="L107" s="8" t="n">
        <v>-67103.1256009433</v>
      </c>
      <c r="M107" s="8" t="n">
        <f aca="false">M106+L107</f>
        <v>1330153.77871965</v>
      </c>
      <c r="N107" s="5" t="str">
        <f aca="false">IF(L107&gt;0,"прибыль",IF(L107&lt;0,"убыток","ноль"))</f>
        <v>убыток</v>
      </c>
      <c r="O107" s="6" t="n">
        <f aca="false">IF(L107&lt;0,O106+1,0)</f>
        <v>5</v>
      </c>
      <c r="P107" s="6" t="n">
        <v>14</v>
      </c>
    </row>
    <row r="108" customFormat="false" ht="15" hidden="false" customHeight="false" outlineLevel="0" collapsed="false">
      <c r="A108" s="6" t="n">
        <v>103</v>
      </c>
      <c r="B108" s="5" t="s">
        <v>72</v>
      </c>
      <c r="C108" s="5" t="s">
        <v>25</v>
      </c>
      <c r="D108" s="11" t="n">
        <v>44165</v>
      </c>
      <c r="E108" s="11" t="n">
        <v>44202</v>
      </c>
      <c r="F108" s="5" t="s">
        <v>73</v>
      </c>
      <c r="G108" s="12" t="n">
        <v>232083.604955803</v>
      </c>
      <c r="H108" s="13" t="n">
        <v>48.8</v>
      </c>
      <c r="I108" s="13" t="n">
        <v>53.65</v>
      </c>
      <c r="J108" s="5" t="s">
        <v>74</v>
      </c>
      <c r="K108" s="8" t="n">
        <v>26.6149433238375</v>
      </c>
      <c r="L108" s="8" t="n">
        <v>19682.8445248138</v>
      </c>
      <c r="M108" s="8" t="n">
        <f aca="false">M107+L108</f>
        <v>1349836.62324447</v>
      </c>
      <c r="N108" s="5" t="str">
        <f aca="false">IF(L108&gt;0,"прибыль",IF(L108&lt;0,"убыток","ноль"))</f>
        <v>прибыль</v>
      </c>
      <c r="O108" s="6" t="n">
        <f aca="false">IF(L108&lt;0,O107+1,0)</f>
        <v>0</v>
      </c>
      <c r="P108" s="6" t="n">
        <v>25</v>
      </c>
    </row>
    <row r="109" customFormat="false" ht="15" hidden="false" customHeight="false" outlineLevel="0" collapsed="false">
      <c r="A109" s="6" t="n">
        <v>104</v>
      </c>
      <c r="B109" s="5" t="s">
        <v>76</v>
      </c>
      <c r="C109" s="5" t="s">
        <v>25</v>
      </c>
      <c r="D109" s="11" t="n">
        <v>44202</v>
      </c>
      <c r="E109" s="11" t="n">
        <v>44252</v>
      </c>
      <c r="F109" s="5" t="s">
        <v>73</v>
      </c>
      <c r="G109" s="12" t="n">
        <v>135423.587774247</v>
      </c>
      <c r="H109" s="13" t="n">
        <v>53.65</v>
      </c>
      <c r="I109" s="13" t="n">
        <v>67.09</v>
      </c>
      <c r="J109" s="5" t="s">
        <v>74</v>
      </c>
      <c r="K109" s="8" t="n">
        <v>17.0833829089177</v>
      </c>
      <c r="L109" s="8" t="n">
        <v>38822.9364840431</v>
      </c>
      <c r="M109" s="8" t="n">
        <f aca="false">M108+L109</f>
        <v>1388659.55972851</v>
      </c>
      <c r="N109" s="5" t="str">
        <f aca="false">IF(L109&gt;0,"прибыль",IF(L109&lt;0,"убыток","ноль"))</f>
        <v>прибыль</v>
      </c>
      <c r="O109" s="6" t="n">
        <f aca="false">IF(L109&lt;0,O108+1,0)</f>
        <v>0</v>
      </c>
      <c r="P109" s="6" t="n">
        <v>35</v>
      </c>
    </row>
    <row r="110" customFormat="false" ht="15" hidden="false" customHeight="false" outlineLevel="0" collapsed="false">
      <c r="A110" s="6" t="n">
        <v>105</v>
      </c>
      <c r="B110" s="5" t="s">
        <v>76</v>
      </c>
      <c r="C110" s="5" t="s">
        <v>25</v>
      </c>
      <c r="D110" s="11" t="n">
        <v>44252</v>
      </c>
      <c r="E110" s="11" t="n">
        <v>44260</v>
      </c>
      <c r="F110" s="5" t="s">
        <v>73</v>
      </c>
      <c r="G110" s="12" t="n">
        <v>129115.122532537</v>
      </c>
      <c r="H110" s="13" t="n">
        <v>67.09</v>
      </c>
      <c r="I110" s="13" t="n">
        <v>67.19</v>
      </c>
      <c r="J110" s="5" t="s">
        <v>74</v>
      </c>
      <c r="K110" s="8" t="n">
        <v>8.66477455069088</v>
      </c>
      <c r="L110" s="8" t="n">
        <v>44171.7037067296</v>
      </c>
      <c r="M110" s="8" t="n">
        <f aca="false">M109+L110</f>
        <v>1432831.26343524</v>
      </c>
      <c r="N110" s="5" t="str">
        <f aca="false">IF(L110&gt;0,"прибыль",IF(L110&lt;0,"убыток","ноль"))</f>
        <v>прибыль</v>
      </c>
      <c r="O110" s="6" t="n">
        <f aca="false">IF(L110&lt;0,O109+1,0)</f>
        <v>0</v>
      </c>
      <c r="P110" s="6" t="n">
        <v>6</v>
      </c>
    </row>
    <row r="111" customFormat="false" ht="15" hidden="false" customHeight="false" outlineLevel="0" collapsed="false">
      <c r="A111" s="6" t="n">
        <v>106</v>
      </c>
      <c r="B111" s="5" t="s">
        <v>76</v>
      </c>
      <c r="C111" s="5" t="s">
        <v>25</v>
      </c>
      <c r="D111" s="11" t="n">
        <v>44260</v>
      </c>
      <c r="E111" s="11" t="n">
        <v>44274</v>
      </c>
      <c r="F111" s="5" t="s">
        <v>73</v>
      </c>
      <c r="G111" s="12" t="n">
        <v>113314.213650885</v>
      </c>
      <c r="H111" s="13" t="n">
        <v>67.19</v>
      </c>
      <c r="I111" s="13" t="n">
        <v>62.87</v>
      </c>
      <c r="K111" s="8" t="n">
        <v>7.11201134154901</v>
      </c>
      <c r="L111" s="8" t="n">
        <v>28918.9011687539</v>
      </c>
      <c r="M111" s="8" t="n">
        <f aca="false">M110+L111</f>
        <v>1461750.16460399</v>
      </c>
      <c r="N111" s="5" t="str">
        <f aca="false">IF(L111&gt;0,"прибыль",IF(L111&lt;0,"убыток","ноль"))</f>
        <v>прибыль</v>
      </c>
      <c r="O111" s="6" t="n">
        <f aca="false">IF(L111&lt;0,O110+1,0)</f>
        <v>0</v>
      </c>
      <c r="P111" s="6" t="n">
        <v>9</v>
      </c>
    </row>
    <row r="112" customFormat="false" ht="15" hidden="false" customHeight="false" outlineLevel="0" collapsed="false">
      <c r="A112" s="6" t="n">
        <v>107</v>
      </c>
      <c r="B112" s="5" t="s">
        <v>76</v>
      </c>
      <c r="C112" s="5" t="s">
        <v>25</v>
      </c>
      <c r="D112" s="11" t="n">
        <v>44274</v>
      </c>
      <c r="E112" s="11" t="n">
        <v>44284</v>
      </c>
      <c r="F112" s="5" t="s">
        <v>73</v>
      </c>
      <c r="G112" s="12" t="n">
        <v>61959.9984790035</v>
      </c>
      <c r="H112" s="13" t="n">
        <v>62.87</v>
      </c>
      <c r="I112" s="13" t="n">
        <v>64.4</v>
      </c>
      <c r="K112" s="8" t="n">
        <v>3.98194146958893</v>
      </c>
      <c r="L112" s="8" t="n">
        <v>17674.8489713056</v>
      </c>
      <c r="M112" s="8" t="n">
        <f aca="false">M111+L112</f>
        <v>1479425.0135753</v>
      </c>
      <c r="N112" s="5" t="str">
        <f aca="false">IF(L112&gt;0,"прибыль",IF(L112&lt;0,"убыток","ноль"))</f>
        <v>прибыль</v>
      </c>
      <c r="O112" s="6" t="n">
        <f aca="false">IF(L112&lt;0,O111+1,0)</f>
        <v>0</v>
      </c>
      <c r="P112" s="6" t="n">
        <v>6</v>
      </c>
    </row>
    <row r="113" customFormat="false" ht="15" hidden="false" customHeight="false" outlineLevel="0" collapsed="false">
      <c r="A113" s="6" t="n">
        <v>108</v>
      </c>
      <c r="B113" s="5" t="s">
        <v>76</v>
      </c>
      <c r="C113" s="5" t="s">
        <v>25</v>
      </c>
      <c r="D113" s="11" t="n">
        <v>44284</v>
      </c>
      <c r="E113" s="11" t="n">
        <v>44340</v>
      </c>
      <c r="F113" s="5" t="s">
        <v>73</v>
      </c>
      <c r="G113" s="12" t="n">
        <v>135717.078940722</v>
      </c>
      <c r="H113" s="13" t="n">
        <v>64.4</v>
      </c>
      <c r="I113" s="13" t="n">
        <v>66.74</v>
      </c>
      <c r="J113" s="5" t="s">
        <v>74</v>
      </c>
      <c r="K113" s="8" t="n">
        <v>25.5301137863569</v>
      </c>
      <c r="L113" s="8" t="n">
        <v>17353.3698234585</v>
      </c>
      <c r="M113" s="8" t="n">
        <f aca="false">M112+L113</f>
        <v>1496778.38339876</v>
      </c>
      <c r="N113" s="5" t="str">
        <f aca="false">IF(L113&gt;0,"прибыль",IF(L113&lt;0,"убыток","ноль"))</f>
        <v>прибыль</v>
      </c>
      <c r="O113" s="6" t="n">
        <f aca="false">IF(L113&lt;0,O112+1,0)</f>
        <v>0</v>
      </c>
      <c r="P113" s="6" t="n">
        <v>39</v>
      </c>
    </row>
    <row r="114" customFormat="false" ht="15" hidden="false" customHeight="false" outlineLevel="0" collapsed="false">
      <c r="A114" s="6" t="n">
        <v>109</v>
      </c>
      <c r="B114" s="5" t="s">
        <v>76</v>
      </c>
      <c r="C114" s="5" t="s">
        <v>25</v>
      </c>
      <c r="D114" s="11" t="n">
        <v>44340</v>
      </c>
      <c r="E114" s="11" t="n">
        <v>44384</v>
      </c>
      <c r="F114" s="5" t="s">
        <v>73</v>
      </c>
      <c r="G114" s="12" t="n">
        <v>364939.734484414</v>
      </c>
      <c r="H114" s="13" t="n">
        <v>66.74</v>
      </c>
      <c r="I114" s="13" t="n">
        <v>74.85</v>
      </c>
      <c r="J114" s="5" t="s">
        <v>74</v>
      </c>
      <c r="K114" s="8" t="n">
        <v>53.1615233487617</v>
      </c>
      <c r="L114" s="8" t="n">
        <v>39275.3196599829</v>
      </c>
      <c r="M114" s="8" t="n">
        <f aca="false">M113+L114</f>
        <v>1536053.70305874</v>
      </c>
      <c r="N114" s="5" t="str">
        <f aca="false">IF(L114&gt;0,"прибыль",IF(L114&lt;0,"убыток","ноль"))</f>
        <v>прибыль</v>
      </c>
      <c r="O114" s="6" t="n">
        <f aca="false">IF(L114&lt;0,O113+1,0)</f>
        <v>0</v>
      </c>
      <c r="P114" s="6" t="n">
        <v>32</v>
      </c>
    </row>
    <row r="115" customFormat="false" ht="15" hidden="false" customHeight="false" outlineLevel="0" collapsed="false">
      <c r="A115" s="6" t="n">
        <v>110</v>
      </c>
      <c r="B115" s="5" t="s">
        <v>76</v>
      </c>
      <c r="C115" s="5" t="s">
        <v>25</v>
      </c>
      <c r="D115" s="11" t="n">
        <v>44384</v>
      </c>
      <c r="E115" s="11" t="n">
        <v>44397</v>
      </c>
      <c r="F115" s="5" t="s">
        <v>73</v>
      </c>
      <c r="G115" s="12" t="n">
        <v>232695.388888243</v>
      </c>
      <c r="H115" s="13" t="n">
        <v>74.85</v>
      </c>
      <c r="I115" s="13" t="n">
        <v>68.71</v>
      </c>
      <c r="K115" s="8" t="n">
        <v>11.8271184255834</v>
      </c>
      <c r="L115" s="8" t="n">
        <v>3835.1525049998</v>
      </c>
      <c r="M115" s="8" t="n">
        <f aca="false">M114+L115</f>
        <v>1539888.85556374</v>
      </c>
      <c r="N115" s="5" t="str">
        <f aca="false">IF(L115&gt;0,"прибыль",IF(L115&lt;0,"убыток","ноль"))</f>
        <v>прибыль</v>
      </c>
      <c r="O115" s="6" t="n">
        <f aca="false">IF(L115&lt;0,O114+1,0)</f>
        <v>0</v>
      </c>
      <c r="P115" s="6" t="n">
        <v>9</v>
      </c>
    </row>
    <row r="116" customFormat="false" ht="15" hidden="false" customHeight="false" outlineLevel="0" collapsed="false">
      <c r="A116" s="6" t="n">
        <v>111</v>
      </c>
      <c r="B116" s="5" t="s">
        <v>76</v>
      </c>
      <c r="C116" s="5" t="s">
        <v>25</v>
      </c>
      <c r="D116" s="11" t="n">
        <v>44397</v>
      </c>
      <c r="E116" s="11" t="n">
        <v>44400</v>
      </c>
      <c r="F116" s="5" t="s">
        <v>73</v>
      </c>
      <c r="G116" s="12" t="n">
        <v>109145.428236015</v>
      </c>
      <c r="H116" s="13" t="n">
        <v>68.71</v>
      </c>
      <c r="I116" s="13" t="n">
        <v>73.62</v>
      </c>
      <c r="K116" s="8" t="n">
        <v>5.94276568137018</v>
      </c>
      <c r="L116" s="8" t="n">
        <v>9703.94262570735</v>
      </c>
      <c r="M116" s="8" t="n">
        <f aca="false">M115+L116</f>
        <v>1549592.79818945</v>
      </c>
      <c r="N116" s="5" t="str">
        <f aca="false">IF(L116&gt;0,"прибыль",IF(L116&lt;0,"убыток","ноль"))</f>
        <v>прибыль</v>
      </c>
      <c r="O116" s="6" t="n">
        <f aca="false">IF(L116&lt;0,O115+1,0)</f>
        <v>0</v>
      </c>
      <c r="P116" s="6" t="n">
        <v>3</v>
      </c>
    </row>
    <row r="117" customFormat="false" ht="15" hidden="false" customHeight="false" outlineLevel="0" collapsed="false">
      <c r="A117" s="6" t="n">
        <v>112</v>
      </c>
      <c r="B117" s="5" t="s">
        <v>76</v>
      </c>
      <c r="C117" s="5" t="s">
        <v>25</v>
      </c>
      <c r="D117" s="11" t="n">
        <v>44400</v>
      </c>
      <c r="E117" s="11" t="n">
        <v>44431</v>
      </c>
      <c r="F117" s="5" t="s">
        <v>73</v>
      </c>
      <c r="G117" s="12" t="n">
        <v>634137.480287694</v>
      </c>
      <c r="H117" s="13" t="n">
        <v>73.62</v>
      </c>
      <c r="I117" s="13" t="n">
        <v>65.15</v>
      </c>
      <c r="J117" s="5" t="s">
        <v>74</v>
      </c>
      <c r="K117" s="8" t="n">
        <v>76.8610061176102</v>
      </c>
      <c r="L117" s="8" t="n">
        <v>-11160.5103701277</v>
      </c>
      <c r="M117" s="8" t="n">
        <f aca="false">M116+L117</f>
        <v>1538432.28781932</v>
      </c>
      <c r="N117" s="5" t="str">
        <f aca="false">IF(L117&gt;0,"прибыль",IF(L117&lt;0,"убыток","ноль"))</f>
        <v>убыток</v>
      </c>
      <c r="O117" s="6" t="n">
        <f aca="false">IF(L117&lt;0,O116+1,0)</f>
        <v>1</v>
      </c>
      <c r="P117" s="6" t="n">
        <v>21</v>
      </c>
    </row>
    <row r="118" customFormat="false" ht="15" hidden="false" customHeight="false" outlineLevel="0" collapsed="false">
      <c r="A118" s="6" t="n">
        <v>113</v>
      </c>
      <c r="B118" s="5" t="s">
        <v>76</v>
      </c>
      <c r="C118" s="5" t="s">
        <v>25</v>
      </c>
      <c r="D118" s="11" t="n">
        <v>44431</v>
      </c>
      <c r="E118" s="11" t="n">
        <v>44432</v>
      </c>
      <c r="F118" s="5" t="s">
        <v>75</v>
      </c>
      <c r="G118" s="12" t="n">
        <v>203359.751978414</v>
      </c>
      <c r="H118" s="13" t="n">
        <v>65.15</v>
      </c>
      <c r="I118" s="13" t="n">
        <v>68.78</v>
      </c>
      <c r="K118" s="8" t="n">
        <v>10.7590607205128</v>
      </c>
      <c r="L118" s="8" t="n">
        <v>-11832.2214925619</v>
      </c>
      <c r="M118" s="8" t="n">
        <f aca="false">M117+L118</f>
        <v>1526600.06632676</v>
      </c>
      <c r="N118" s="5" t="str">
        <f aca="false">IF(L118&gt;0,"прибыль",IF(L118&lt;0,"убыток","ноль"))</f>
        <v>убыток</v>
      </c>
      <c r="O118" s="6" t="n">
        <f aca="false">IF(L118&lt;0,O117+1,0)</f>
        <v>2</v>
      </c>
      <c r="P118" s="6" t="n">
        <v>1</v>
      </c>
    </row>
    <row r="119" customFormat="false" ht="15" hidden="false" customHeight="false" outlineLevel="0" collapsed="false">
      <c r="A119" s="6" t="n">
        <v>114</v>
      </c>
      <c r="B119" s="5" t="s">
        <v>76</v>
      </c>
      <c r="C119" s="5" t="s">
        <v>25</v>
      </c>
      <c r="D119" s="11" t="n">
        <v>44432</v>
      </c>
      <c r="E119" s="11" t="n">
        <v>44452</v>
      </c>
      <c r="F119" s="5" t="s">
        <v>75</v>
      </c>
      <c r="G119" s="12" t="n">
        <v>453080.367127288</v>
      </c>
      <c r="H119" s="13" t="n">
        <v>68.78</v>
      </c>
      <c r="I119" s="13" t="n">
        <v>72.9</v>
      </c>
      <c r="J119" s="5" t="s">
        <v>74</v>
      </c>
      <c r="K119" s="8" t="n">
        <v>48.9714273524059</v>
      </c>
      <c r="L119" s="8" t="n">
        <v>-66885.6226428195</v>
      </c>
      <c r="M119" s="8" t="n">
        <f aca="false">M118+L119</f>
        <v>1459714.44368394</v>
      </c>
      <c r="N119" s="5" t="str">
        <f aca="false">IF(L119&gt;0,"прибыль",IF(L119&lt;0,"убыток","ноль"))</f>
        <v>убыток</v>
      </c>
      <c r="O119" s="6" t="n">
        <f aca="false">IF(L119&lt;0,O118+1,0)</f>
        <v>3</v>
      </c>
      <c r="P119" s="6" t="n">
        <v>14</v>
      </c>
    </row>
    <row r="120" customFormat="false" ht="15" hidden="false" customHeight="false" outlineLevel="0" collapsed="false">
      <c r="A120" s="6" t="n">
        <v>115</v>
      </c>
      <c r="B120" s="5" t="s">
        <v>76</v>
      </c>
      <c r="C120" s="5" t="s">
        <v>25</v>
      </c>
      <c r="D120" s="11" t="n">
        <v>44452</v>
      </c>
      <c r="E120" s="11" t="n">
        <v>44524</v>
      </c>
      <c r="F120" s="5" t="s">
        <v>73</v>
      </c>
      <c r="G120" s="12" t="n">
        <v>191086.202574265</v>
      </c>
      <c r="H120" s="13" t="n">
        <v>72.9</v>
      </c>
      <c r="I120" s="13" t="n">
        <v>82.49</v>
      </c>
      <c r="J120" s="5" t="s">
        <v>74</v>
      </c>
      <c r="K120" s="8" t="n">
        <v>19.304493912528</v>
      </c>
      <c r="L120" s="8" t="n">
        <v>20974.1719041409</v>
      </c>
      <c r="M120" s="8" t="n">
        <f aca="false">M119+L120</f>
        <v>1480688.61558808</v>
      </c>
      <c r="N120" s="5" t="str">
        <f aca="false">IF(L120&gt;0,"прибыль",IF(L120&lt;0,"убыток","ноль"))</f>
        <v>прибыль</v>
      </c>
      <c r="O120" s="6" t="n">
        <f aca="false">IF(L120&lt;0,O119+1,0)</f>
        <v>0</v>
      </c>
      <c r="P120" s="6" t="n">
        <v>51</v>
      </c>
    </row>
    <row r="121" customFormat="false" ht="15" hidden="false" customHeight="false" outlineLevel="0" collapsed="false">
      <c r="A121" s="6" t="n">
        <v>116</v>
      </c>
      <c r="B121" s="5" t="s">
        <v>76</v>
      </c>
      <c r="C121" s="5" t="s">
        <v>25</v>
      </c>
      <c r="D121" s="11" t="n">
        <v>44524</v>
      </c>
      <c r="E121" s="11" t="n">
        <v>44529</v>
      </c>
      <c r="F121" s="5" t="s">
        <v>73</v>
      </c>
      <c r="G121" s="12" t="n">
        <v>145369.346384604</v>
      </c>
      <c r="H121" s="13" t="n">
        <v>82.49</v>
      </c>
      <c r="I121" s="13" t="n">
        <v>72.53</v>
      </c>
      <c r="K121" s="8" t="n">
        <v>7.08827776910712</v>
      </c>
      <c r="L121" s="8" t="n">
        <v>-3610.87928023044</v>
      </c>
      <c r="M121" s="8" t="n">
        <f aca="false">M120+L121</f>
        <v>1477077.73630785</v>
      </c>
      <c r="N121" s="5" t="str">
        <f aca="false">IF(L121&gt;0,"прибыль",IF(L121&lt;0,"убыток","ноль"))</f>
        <v>убыток</v>
      </c>
      <c r="O121" s="6" t="n">
        <f aca="false">IF(L121&lt;0,O120+1,0)</f>
        <v>1</v>
      </c>
      <c r="P121" s="6" t="n">
        <v>3</v>
      </c>
    </row>
    <row r="122" customFormat="false" ht="15" hidden="false" customHeight="false" outlineLevel="0" collapsed="false">
      <c r="A122" s="6" t="n">
        <v>117</v>
      </c>
      <c r="B122" s="5" t="s">
        <v>76</v>
      </c>
      <c r="C122" s="5" t="s">
        <v>25</v>
      </c>
      <c r="D122" s="11" t="n">
        <v>44529</v>
      </c>
      <c r="E122" s="11" t="n">
        <v>44532</v>
      </c>
      <c r="F122" s="5" t="s">
        <v>73</v>
      </c>
      <c r="G122" s="12" t="n">
        <v>297066.179024736</v>
      </c>
      <c r="H122" s="13" t="n">
        <v>72.53</v>
      </c>
      <c r="I122" s="13" t="n">
        <v>68.82</v>
      </c>
      <c r="J122" s="5" t="s">
        <v>74</v>
      </c>
      <c r="K122" s="8" t="n">
        <v>28.2376139912057</v>
      </c>
      <c r="L122" s="8" t="n">
        <v>-15350.8486233416</v>
      </c>
      <c r="M122" s="8" t="n">
        <f aca="false">M121+L122</f>
        <v>1461726.88768451</v>
      </c>
      <c r="N122" s="5" t="str">
        <f aca="false">IF(L122&gt;0,"прибыль",IF(L122&lt;0,"убыток","ноль"))</f>
        <v>убыток</v>
      </c>
      <c r="O122" s="6" t="n">
        <f aca="false">IF(L122&lt;0,O121+1,0)</f>
        <v>2</v>
      </c>
      <c r="P122" s="6" t="n">
        <v>3</v>
      </c>
    </row>
    <row r="123" customFormat="false" ht="15" hidden="false" customHeight="false" outlineLevel="0" collapsed="false">
      <c r="A123" s="6" t="n">
        <v>118</v>
      </c>
      <c r="B123" s="5" t="s">
        <v>76</v>
      </c>
      <c r="C123" s="5" t="s">
        <v>25</v>
      </c>
      <c r="D123" s="11" t="n">
        <v>44532</v>
      </c>
      <c r="E123" s="11" t="n">
        <v>44575</v>
      </c>
      <c r="F123" s="5" t="s">
        <v>75</v>
      </c>
      <c r="G123" s="12" t="n">
        <v>492494.363526619</v>
      </c>
      <c r="H123" s="13" t="n">
        <v>68.82</v>
      </c>
      <c r="I123" s="13" t="n">
        <v>84</v>
      </c>
      <c r="J123" s="5" t="s">
        <v>74</v>
      </c>
      <c r="K123" s="8" t="n">
        <v>66.5969992655797</v>
      </c>
      <c r="L123" s="8" t="n">
        <v>-82440.3773515485</v>
      </c>
      <c r="M123" s="8" t="n">
        <f aca="false">M122+L123</f>
        <v>1379286.51033296</v>
      </c>
      <c r="N123" s="5" t="str">
        <f aca="false">IF(L123&gt;0,"прибыль",IF(L123&lt;0,"убыток","ноль"))</f>
        <v>убыток</v>
      </c>
      <c r="O123" s="6" t="n">
        <f aca="false">IF(L123&lt;0,O122+1,0)</f>
        <v>3</v>
      </c>
      <c r="P123" s="6" t="n">
        <v>30</v>
      </c>
    </row>
    <row r="124" customFormat="false" ht="15" hidden="false" customHeight="false" outlineLevel="0" collapsed="false">
      <c r="A124" s="6" t="n">
        <v>119</v>
      </c>
      <c r="B124" s="5" t="s">
        <v>76</v>
      </c>
      <c r="C124" s="5" t="s">
        <v>25</v>
      </c>
      <c r="D124" s="11" t="n">
        <v>44575</v>
      </c>
      <c r="E124" s="11" t="n">
        <v>44608</v>
      </c>
      <c r="F124" s="5" t="s">
        <v>73</v>
      </c>
      <c r="G124" s="12" t="n">
        <v>166581.561575301</v>
      </c>
      <c r="H124" s="13" t="n">
        <v>84</v>
      </c>
      <c r="I124" s="13" t="n">
        <v>93.12</v>
      </c>
      <c r="J124" s="5" t="s">
        <v>74</v>
      </c>
      <c r="K124" s="8" t="n">
        <v>17.1742398249377</v>
      </c>
      <c r="L124" s="8" t="n">
        <v>19813.0268983523</v>
      </c>
      <c r="M124" s="8" t="n">
        <f aca="false">M123+L124</f>
        <v>1399099.53723131</v>
      </c>
      <c r="N124" s="5" t="str">
        <f aca="false">IF(L124&gt;0,"прибыль",IF(L124&lt;0,"убыток","ноль"))</f>
        <v>прибыль</v>
      </c>
      <c r="O124" s="6" t="n">
        <f aca="false">IF(L124&lt;0,O123+1,0)</f>
        <v>0</v>
      </c>
      <c r="P124" s="6" t="n">
        <v>23</v>
      </c>
    </row>
    <row r="125" customFormat="false" ht="15" hidden="false" customHeight="false" outlineLevel="0" collapsed="false">
      <c r="A125" s="6" t="n">
        <v>120</v>
      </c>
      <c r="B125" s="5" t="s">
        <v>76</v>
      </c>
      <c r="C125" s="5" t="s">
        <v>25</v>
      </c>
      <c r="D125" s="11" t="n">
        <v>44608</v>
      </c>
      <c r="E125" s="11" t="n">
        <v>44623</v>
      </c>
      <c r="F125" s="5" t="s">
        <v>73</v>
      </c>
      <c r="G125" s="12" t="n">
        <v>353315.269788742</v>
      </c>
      <c r="H125" s="13" t="n">
        <v>93.12</v>
      </c>
      <c r="I125" s="13" t="n">
        <v>114.46</v>
      </c>
      <c r="J125" s="5" t="s">
        <v>74</v>
      </c>
      <c r="K125" s="8" t="n">
        <v>25.413766042889</v>
      </c>
      <c r="L125" s="8" t="n">
        <v>154934.637302995</v>
      </c>
      <c r="M125" s="8" t="n">
        <f aca="false">M124+L125</f>
        <v>1554034.1745343</v>
      </c>
      <c r="N125" s="5" t="str">
        <f aca="false">IF(L125&gt;0,"прибыль",IF(L125&lt;0,"убыток","ноль"))</f>
        <v>прибыль</v>
      </c>
      <c r="O125" s="6" t="n">
        <f aca="false">IF(L125&lt;0,O124+1,0)</f>
        <v>0</v>
      </c>
      <c r="P125" s="6" t="n">
        <v>9</v>
      </c>
    </row>
    <row r="126" customFormat="false" ht="15" hidden="false" customHeight="false" outlineLevel="0" collapsed="false">
      <c r="A126" s="6" t="n">
        <v>121</v>
      </c>
      <c r="B126" s="5" t="s">
        <v>76</v>
      </c>
      <c r="C126" s="5" t="s">
        <v>25</v>
      </c>
      <c r="D126" s="11" t="n">
        <v>44623</v>
      </c>
      <c r="E126" s="11" t="n">
        <v>44630</v>
      </c>
      <c r="F126" s="5" t="s">
        <v>73</v>
      </c>
      <c r="G126" s="12" t="n">
        <v>42193.0610714771</v>
      </c>
      <c r="H126" s="13" t="n">
        <v>114.46</v>
      </c>
      <c r="I126" s="13" t="n">
        <v>120</v>
      </c>
      <c r="K126" s="8" t="n">
        <v>3.18087895130485</v>
      </c>
      <c r="L126" s="8" t="n">
        <v>21421.3370756686</v>
      </c>
      <c r="M126" s="8" t="n">
        <f aca="false">M125+L126</f>
        <v>1575455.51160997</v>
      </c>
      <c r="N126" s="5" t="str">
        <f aca="false">IF(L126&gt;0,"прибыль",IF(L126&lt;0,"убыток","ноль"))</f>
        <v>прибыль</v>
      </c>
      <c r="O126" s="6" t="n">
        <f aca="false">IF(L126&lt;0,O125+1,0)</f>
        <v>0</v>
      </c>
      <c r="P126" s="6" t="n">
        <v>3</v>
      </c>
    </row>
    <row r="127" customFormat="false" ht="15" hidden="false" customHeight="false" outlineLevel="0" collapsed="false">
      <c r="A127" s="6" t="n">
        <v>122</v>
      </c>
      <c r="B127" s="5" t="s">
        <v>76</v>
      </c>
      <c r="C127" s="5" t="s">
        <v>25</v>
      </c>
      <c r="D127" s="11" t="n">
        <v>44630</v>
      </c>
      <c r="E127" s="11" t="n">
        <v>44644</v>
      </c>
      <c r="F127" s="5" t="s">
        <v>73</v>
      </c>
      <c r="G127" s="12" t="n">
        <v>31546.0724935542</v>
      </c>
      <c r="H127" s="13" t="n">
        <v>120</v>
      </c>
      <c r="I127" s="13" t="n">
        <v>121.45</v>
      </c>
      <c r="K127" s="8" t="n">
        <v>2.40554488657787</v>
      </c>
      <c r="L127" s="8" t="n">
        <v>16562.4196931166</v>
      </c>
      <c r="M127" s="8" t="n">
        <f aca="false">M126+L127</f>
        <v>1592017.93130309</v>
      </c>
      <c r="N127" s="5" t="str">
        <f aca="false">IF(L127&gt;0,"прибыль",IF(L127&lt;0,"убыток","ноль"))</f>
        <v>прибыль</v>
      </c>
      <c r="O127" s="6" t="n">
        <f aca="false">IF(L127&lt;0,O126+1,0)</f>
        <v>0</v>
      </c>
      <c r="P127" s="6" t="n">
        <v>10</v>
      </c>
    </row>
    <row r="128" customFormat="false" ht="15" hidden="false" customHeight="false" outlineLevel="0" collapsed="false">
      <c r="A128" s="6" t="n">
        <v>123</v>
      </c>
      <c r="B128" s="5" t="s">
        <v>76</v>
      </c>
      <c r="C128" s="5" t="s">
        <v>25</v>
      </c>
      <c r="D128" s="11" t="n">
        <v>44644</v>
      </c>
      <c r="E128" s="11" t="n">
        <v>44748</v>
      </c>
      <c r="F128" s="5" t="s">
        <v>73</v>
      </c>
      <c r="G128" s="12" t="n">
        <v>149519.065419846</v>
      </c>
      <c r="H128" s="13" t="n">
        <v>121.45</v>
      </c>
      <c r="I128" s="13" t="n">
        <v>105.83</v>
      </c>
      <c r="J128" s="5" t="s">
        <v>74</v>
      </c>
      <c r="K128" s="8" t="n">
        <v>27.419158932131</v>
      </c>
      <c r="L128" s="8" t="n">
        <v>15554.6064232484</v>
      </c>
      <c r="M128" s="8" t="n">
        <f aca="false">M127+L128</f>
        <v>1607572.53772634</v>
      </c>
      <c r="N128" s="5" t="str">
        <f aca="false">IF(L128&gt;0,"прибыль",IF(L128&lt;0,"убыток","ноль"))</f>
        <v>прибыль</v>
      </c>
      <c r="O128" s="6" t="n">
        <f aca="false">IF(L128&lt;0,O127+1,0)</f>
        <v>0</v>
      </c>
      <c r="P128" s="6" t="n">
        <v>69</v>
      </c>
    </row>
    <row r="129" customFormat="false" ht="15" hidden="false" customHeight="false" outlineLevel="0" collapsed="false">
      <c r="A129" s="6" t="n">
        <v>124</v>
      </c>
      <c r="B129" s="5" t="s">
        <v>76</v>
      </c>
      <c r="C129" s="5" t="s">
        <v>25</v>
      </c>
      <c r="D129" s="11" t="n">
        <v>44748</v>
      </c>
      <c r="E129" s="11" t="n">
        <v>44761</v>
      </c>
      <c r="F129" s="5" t="s">
        <v>73</v>
      </c>
      <c r="G129" s="12" t="n">
        <v>73221.9470928202</v>
      </c>
      <c r="H129" s="13" t="n">
        <v>105.83</v>
      </c>
      <c r="I129" s="13" t="n">
        <v>106.05</v>
      </c>
      <c r="K129" s="8" t="n">
        <v>4.04971872745851</v>
      </c>
      <c r="L129" s="8" t="n">
        <v>7768.37773762247</v>
      </c>
      <c r="M129" s="8" t="n">
        <f aca="false">M128+L129</f>
        <v>1615340.91546396</v>
      </c>
      <c r="N129" s="5" t="str">
        <f aca="false">IF(L129&gt;0,"прибыль",IF(L129&lt;0,"убыток","ноль"))</f>
        <v>прибыль</v>
      </c>
      <c r="O129" s="6" t="n">
        <f aca="false">IF(L129&lt;0,O128+1,0)</f>
        <v>0</v>
      </c>
      <c r="P129" s="6" t="n">
        <v>9</v>
      </c>
    </row>
    <row r="130" customFormat="false" ht="15" hidden="false" customHeight="false" outlineLevel="0" collapsed="false">
      <c r="A130" s="6" t="n">
        <v>125</v>
      </c>
      <c r="B130" s="5" t="s">
        <v>76</v>
      </c>
      <c r="C130" s="5" t="s">
        <v>25</v>
      </c>
      <c r="D130" s="11" t="n">
        <v>44761</v>
      </c>
      <c r="E130" s="11" t="n">
        <v>44764</v>
      </c>
      <c r="F130" s="5" t="s">
        <v>73</v>
      </c>
      <c r="G130" s="12" t="n">
        <v>271564.333698929</v>
      </c>
      <c r="H130" s="13" t="n">
        <v>106.05</v>
      </c>
      <c r="I130" s="13" t="n">
        <v>104.01</v>
      </c>
      <c r="K130" s="8" t="n">
        <v>29.569120374065</v>
      </c>
      <c r="L130" s="8" t="n">
        <v>23012.6997377938</v>
      </c>
      <c r="M130" s="8" t="n">
        <f aca="false">M129+L130</f>
        <v>1638353.61520175</v>
      </c>
      <c r="N130" s="5" t="str">
        <f aca="false">IF(L130&gt;0,"прибыль",IF(L130&lt;0,"убыток","ноль"))</f>
        <v>прибыль</v>
      </c>
      <c r="O130" s="6" t="n">
        <f aca="false">IF(L130&lt;0,O129+1,0)</f>
        <v>0</v>
      </c>
      <c r="P130" s="6" t="n">
        <v>3</v>
      </c>
    </row>
    <row r="131" customFormat="false" ht="15" hidden="false" customHeight="false" outlineLevel="0" collapsed="false">
      <c r="A131" s="6" t="n">
        <v>126</v>
      </c>
      <c r="B131" s="5" t="s">
        <v>76</v>
      </c>
      <c r="C131" s="5" t="s">
        <v>25</v>
      </c>
      <c r="D131" s="11" t="n">
        <v>44764</v>
      </c>
      <c r="E131" s="11" t="n">
        <v>44803</v>
      </c>
      <c r="F131" s="5" t="s">
        <v>75</v>
      </c>
      <c r="G131" s="12" t="n">
        <v>107409.213983313</v>
      </c>
      <c r="H131" s="13" t="n">
        <v>104.01</v>
      </c>
      <c r="I131" s="13" t="n">
        <v>104.77</v>
      </c>
      <c r="J131" s="5" t="s">
        <v>74</v>
      </c>
      <c r="K131" s="8" t="n">
        <v>17.7492680168529</v>
      </c>
      <c r="L131" s="8" t="n">
        <v>-9585.0866537647</v>
      </c>
      <c r="M131" s="8" t="n">
        <f aca="false">M130+L131</f>
        <v>1628768.52854799</v>
      </c>
      <c r="N131" s="5" t="str">
        <f aca="false">IF(L131&gt;0,"прибыль",IF(L131&lt;0,"убыток","ноль"))</f>
        <v>убыток</v>
      </c>
      <c r="O131" s="6" t="n">
        <f aca="false">IF(L131&lt;0,O130+1,0)</f>
        <v>1</v>
      </c>
      <c r="P131" s="6" t="n">
        <v>27</v>
      </c>
    </row>
    <row r="132" customFormat="false" ht="15" hidden="false" customHeight="false" outlineLevel="0" collapsed="false">
      <c r="A132" s="6" t="n">
        <v>127</v>
      </c>
      <c r="B132" s="5" t="s">
        <v>76</v>
      </c>
      <c r="C132" s="5" t="s">
        <v>25</v>
      </c>
      <c r="D132" s="11" t="n">
        <v>44803</v>
      </c>
      <c r="E132" s="11" t="n">
        <v>45013</v>
      </c>
      <c r="F132" s="5" t="s">
        <v>75</v>
      </c>
      <c r="G132" s="12" t="n">
        <v>196669.067763416</v>
      </c>
      <c r="H132" s="13" t="n">
        <v>104.77</v>
      </c>
      <c r="I132" s="13" t="n">
        <v>77.93</v>
      </c>
      <c r="J132" s="5" t="s">
        <v>74</v>
      </c>
      <c r="K132" s="8" t="n">
        <v>27.8094718400861</v>
      </c>
      <c r="L132" s="8" t="n">
        <v>51916.2000967004</v>
      </c>
      <c r="M132" s="8" t="n">
        <f aca="false">M131+L132</f>
        <v>1680684.72864469</v>
      </c>
      <c r="N132" s="5" t="str">
        <f aca="false">IF(L132&gt;0,"прибыль",IF(L132&lt;0,"убыток","ноль"))</f>
        <v>прибыль</v>
      </c>
      <c r="O132" s="6" t="n">
        <f aca="false">IF(L132&lt;0,O131+1,0)</f>
        <v>0</v>
      </c>
      <c r="P132" s="6" t="n">
        <v>146</v>
      </c>
    </row>
    <row r="133" customFormat="false" ht="15" hidden="false" customHeight="false" outlineLevel="0" collapsed="false">
      <c r="A133" s="6" t="n">
        <v>128</v>
      </c>
      <c r="B133" s="5" t="s">
        <v>76</v>
      </c>
      <c r="C133" s="5" t="s">
        <v>25</v>
      </c>
      <c r="D133" s="11" t="n">
        <v>45013</v>
      </c>
      <c r="E133" s="11" t="n">
        <v>45054</v>
      </c>
      <c r="F133" s="5" t="s">
        <v>75</v>
      </c>
      <c r="G133" s="12" t="n">
        <v>250155.221261626</v>
      </c>
      <c r="H133" s="13" t="n">
        <v>77.93</v>
      </c>
      <c r="I133" s="13" t="n">
        <v>76.75</v>
      </c>
      <c r="J133" s="5" t="s">
        <v>74</v>
      </c>
      <c r="K133" s="8" t="n">
        <v>26.6594902031671</v>
      </c>
      <c r="L133" s="8" t="n">
        <v>59422.8230206521</v>
      </c>
      <c r="M133" s="8" t="n">
        <f aca="false">M132+L133</f>
        <v>1740107.55166534</v>
      </c>
      <c r="N133" s="5" t="str">
        <f aca="false">IF(L133&gt;0,"прибыль",IF(L133&lt;0,"убыток","ноль"))</f>
        <v>прибыль</v>
      </c>
      <c r="O133" s="6" t="n">
        <f aca="false">IF(L133&lt;0,O132+1,0)</f>
        <v>0</v>
      </c>
      <c r="P133" s="6" t="n">
        <v>28</v>
      </c>
    </row>
    <row r="134" customFormat="false" ht="15" hidden="false" customHeight="false" outlineLevel="0" collapsed="false">
      <c r="A134" s="6" t="n">
        <v>129</v>
      </c>
      <c r="B134" s="5" t="s">
        <v>76</v>
      </c>
      <c r="C134" s="5" t="s">
        <v>25</v>
      </c>
      <c r="D134" s="11" t="n">
        <v>45054</v>
      </c>
      <c r="E134" s="11" t="n">
        <v>45133</v>
      </c>
      <c r="F134" s="5" t="s">
        <v>75</v>
      </c>
      <c r="G134" s="12" t="n">
        <v>874466.548229746</v>
      </c>
      <c r="H134" s="13" t="n">
        <v>76.75</v>
      </c>
      <c r="I134" s="13" t="n">
        <v>83.18</v>
      </c>
      <c r="J134" s="5" t="s">
        <v>74</v>
      </c>
      <c r="K134" s="8" t="n">
        <v>84.523163526325</v>
      </c>
      <c r="L134" s="8" t="n">
        <v>142688.617414744</v>
      </c>
      <c r="M134" s="8" t="n">
        <f aca="false">M133+L134</f>
        <v>1882796.16908009</v>
      </c>
      <c r="N134" s="5" t="str">
        <f aca="false">IF(L134&gt;0,"прибыль",IF(L134&lt;0,"убыток","ноль"))</f>
        <v>прибыль</v>
      </c>
      <c r="O134" s="6" t="n">
        <f aca="false">IF(L134&lt;0,O133+1,0)</f>
        <v>0</v>
      </c>
      <c r="P134" s="6" t="n">
        <v>55</v>
      </c>
    </row>
    <row r="135" customFormat="false" ht="15" hidden="false" customHeight="false" outlineLevel="0" collapsed="false">
      <c r="A135" s="6" t="n">
        <v>130</v>
      </c>
      <c r="B135" s="5" t="s">
        <v>76</v>
      </c>
      <c r="C135" s="5" t="s">
        <v>25</v>
      </c>
      <c r="D135" s="11" t="n">
        <v>45133</v>
      </c>
      <c r="E135" s="11" t="n">
        <v>45198</v>
      </c>
      <c r="F135" s="5" t="s">
        <v>73</v>
      </c>
      <c r="G135" s="12" t="n">
        <v>254209.606015991</v>
      </c>
      <c r="H135" s="13" t="n">
        <v>83.18</v>
      </c>
      <c r="I135" s="13" t="n">
        <v>95.12</v>
      </c>
      <c r="J135" s="5" t="s">
        <v>74</v>
      </c>
      <c r="K135" s="8" t="n">
        <v>26.903318046418</v>
      </c>
      <c r="L135" s="8" t="n">
        <v>23590.3923152106</v>
      </c>
      <c r="M135" s="8" t="n">
        <f aca="false">M134+L135</f>
        <v>1906386.5613953</v>
      </c>
      <c r="N135" s="5" t="str">
        <f aca="false">IF(L135&gt;0,"прибыль",IF(L135&lt;0,"убыток","ноль"))</f>
        <v>прибыль</v>
      </c>
      <c r="O135" s="6" t="n">
        <f aca="false">IF(L135&lt;0,O134+1,0)</f>
        <v>0</v>
      </c>
      <c r="P135" s="6" t="n">
        <v>47</v>
      </c>
    </row>
    <row r="136" customFormat="false" ht="15" hidden="false" customHeight="false" outlineLevel="0" collapsed="false">
      <c r="A136" s="6" t="n">
        <v>131</v>
      </c>
      <c r="B136" s="5" t="s">
        <v>76</v>
      </c>
      <c r="C136" s="5" t="s">
        <v>25</v>
      </c>
      <c r="D136" s="11" t="n">
        <v>45198</v>
      </c>
      <c r="E136" s="11" t="n">
        <v>45204</v>
      </c>
      <c r="F136" s="5" t="s">
        <v>73</v>
      </c>
      <c r="G136" s="12" t="n">
        <v>266646.531441739</v>
      </c>
      <c r="H136" s="13" t="n">
        <v>95.12</v>
      </c>
      <c r="I136" s="13" t="n">
        <v>86.64</v>
      </c>
      <c r="J136" s="5" t="s">
        <v>74</v>
      </c>
      <c r="K136" s="8" t="n">
        <v>13.8983953616217</v>
      </c>
      <c r="L136" s="8" t="n">
        <v>11307.4773953342</v>
      </c>
      <c r="M136" s="8" t="n">
        <f aca="false">M135+L136</f>
        <v>1917694.03879063</v>
      </c>
      <c r="N136" s="5" t="str">
        <f aca="false">IF(L136&gt;0,"прибыль",IF(L136&lt;0,"убыток","ноль"))</f>
        <v>прибыль</v>
      </c>
      <c r="O136" s="6" t="n">
        <f aca="false">IF(L136&lt;0,O135+1,0)</f>
        <v>0</v>
      </c>
      <c r="P136" s="6" t="n">
        <v>4</v>
      </c>
    </row>
    <row r="137" customFormat="false" ht="15" hidden="false" customHeight="false" outlineLevel="0" collapsed="false">
      <c r="A137" s="6" t="n">
        <v>132</v>
      </c>
      <c r="B137" s="5" t="s">
        <v>76</v>
      </c>
      <c r="C137" s="5" t="s">
        <v>25</v>
      </c>
      <c r="D137" s="11" t="n">
        <v>45204</v>
      </c>
      <c r="E137" s="11" t="n">
        <v>45215</v>
      </c>
      <c r="F137" s="5" t="s">
        <v>73</v>
      </c>
      <c r="G137" s="12" t="n">
        <v>182431.393822207</v>
      </c>
      <c r="H137" s="13" t="n">
        <v>86.64</v>
      </c>
      <c r="I137" s="13" t="n">
        <v>91.13</v>
      </c>
      <c r="K137" s="8" t="n">
        <v>9.99834854354585</v>
      </c>
      <c r="L137" s="8" t="n">
        <v>17525.5787001669</v>
      </c>
      <c r="M137" s="8" t="n">
        <f aca="false">M136+L137</f>
        <v>1935219.6174908</v>
      </c>
      <c r="N137" s="5" t="str">
        <f aca="false">IF(L137&gt;0,"прибыль",IF(L137&lt;0,"убыток","ноль"))</f>
        <v>прибыль</v>
      </c>
      <c r="O137" s="6" t="n">
        <f aca="false">IF(L137&lt;0,O136+1,0)</f>
        <v>0</v>
      </c>
      <c r="P137" s="6" t="n">
        <v>7</v>
      </c>
    </row>
    <row r="138" customFormat="false" ht="15" hidden="false" customHeight="false" outlineLevel="0" collapsed="false">
      <c r="A138" s="6" t="n">
        <v>133</v>
      </c>
      <c r="B138" s="5" t="s">
        <v>76</v>
      </c>
      <c r="C138" s="5" t="s">
        <v>25</v>
      </c>
      <c r="D138" s="11" t="n">
        <v>45215</v>
      </c>
      <c r="E138" s="11" t="n">
        <v>45246</v>
      </c>
      <c r="F138" s="5" t="s">
        <v>73</v>
      </c>
      <c r="G138" s="12" t="n">
        <v>558601.422199992</v>
      </c>
      <c r="H138" s="13" t="n">
        <v>91.13</v>
      </c>
      <c r="I138" s="13" t="n">
        <v>81.49</v>
      </c>
      <c r="J138" s="5" t="s">
        <v>74</v>
      </c>
      <c r="K138" s="8" t="n">
        <v>64.9190787277193</v>
      </c>
      <c r="L138" s="8" t="n">
        <v>-3081.68033649696</v>
      </c>
      <c r="M138" s="8" t="n">
        <f aca="false">M137+L138</f>
        <v>1932137.9371543</v>
      </c>
      <c r="N138" s="5" t="str">
        <f aca="false">IF(L138&gt;0,"прибыль",IF(L138&lt;0,"убыток","ноль"))</f>
        <v>убыток</v>
      </c>
      <c r="O138" s="6" t="n">
        <f aca="false">IF(L138&lt;0,O137+1,0)</f>
        <v>1</v>
      </c>
      <c r="P138" s="6" t="n">
        <v>23</v>
      </c>
    </row>
    <row r="139" customFormat="false" ht="15" hidden="false" customHeight="false" outlineLevel="0" collapsed="false">
      <c r="A139" s="6" t="n">
        <v>134</v>
      </c>
      <c r="B139" s="5" t="s">
        <v>76</v>
      </c>
      <c r="C139" s="5" t="s">
        <v>25</v>
      </c>
      <c r="D139" s="11" t="n">
        <v>45246</v>
      </c>
      <c r="E139" s="11" t="n">
        <v>45247</v>
      </c>
      <c r="F139" s="5" t="s">
        <v>75</v>
      </c>
      <c r="G139" s="12" t="n">
        <v>1.02906748617674E-010</v>
      </c>
      <c r="H139" s="13" t="n">
        <v>81.49</v>
      </c>
      <c r="I139" s="13" t="n">
        <v>78.86</v>
      </c>
      <c r="K139" s="8" t="n">
        <v>4.99061450729627E-015</v>
      </c>
      <c r="L139" s="8" t="n">
        <v>3.08946785724097E-012</v>
      </c>
      <c r="M139" s="8" t="n">
        <f aca="false">M138+L139</f>
        <v>1932137.9371543</v>
      </c>
      <c r="N139" s="5" t="str">
        <f aca="false">IF(L139&gt;0,"прибыль",IF(L139&lt;0,"убыток","ноль"))</f>
        <v>прибыль</v>
      </c>
      <c r="O139" s="6" t="n">
        <f aca="false">IF(L139&lt;0,O138+1,0)</f>
        <v>0</v>
      </c>
      <c r="P139" s="6" t="n">
        <v>1</v>
      </c>
    </row>
    <row r="140" customFormat="false" ht="15" hidden="false" customHeight="false" outlineLevel="0" collapsed="false">
      <c r="A140" s="6" t="n">
        <v>135</v>
      </c>
      <c r="B140" s="5" t="s">
        <v>76</v>
      </c>
      <c r="C140" s="5" t="s">
        <v>25</v>
      </c>
      <c r="D140" s="11" t="n">
        <v>45247</v>
      </c>
      <c r="E140" s="11" t="n">
        <v>45309</v>
      </c>
      <c r="F140" s="5" t="s">
        <v>75</v>
      </c>
      <c r="G140" s="12" t="n">
        <v>559950.288859888</v>
      </c>
      <c r="H140" s="13" t="n">
        <v>78.86</v>
      </c>
      <c r="I140" s="13" t="n">
        <v>78.32</v>
      </c>
      <c r="J140" s="5" t="s">
        <v>74</v>
      </c>
      <c r="K140" s="8" t="n">
        <v>62.8374355797621</v>
      </c>
      <c r="L140" s="8" t="n">
        <v>-10637.9085212964</v>
      </c>
      <c r="M140" s="8" t="n">
        <f aca="false">M139+L140</f>
        <v>1921500.028633</v>
      </c>
      <c r="N140" s="5" t="str">
        <f aca="false">IF(L140&gt;0,"прибыль",IF(L140&lt;0,"убыток","ноль"))</f>
        <v>убыток</v>
      </c>
      <c r="O140" s="6" t="n">
        <f aca="false">IF(L140&lt;0,O139+1,0)</f>
        <v>1</v>
      </c>
      <c r="P140" s="6" t="n">
        <v>42</v>
      </c>
    </row>
    <row r="141" customFormat="false" ht="15" hidden="false" customHeight="false" outlineLevel="0" collapsed="false">
      <c r="A141" s="6" t="n">
        <v>136</v>
      </c>
      <c r="B141" s="5" t="s">
        <v>76</v>
      </c>
      <c r="C141" s="5" t="s">
        <v>25</v>
      </c>
      <c r="D141" s="11" t="n">
        <v>45309</v>
      </c>
      <c r="E141" s="11" t="n">
        <v>45400</v>
      </c>
      <c r="F141" s="5" t="s">
        <v>73</v>
      </c>
      <c r="G141" s="12" t="n">
        <v>226934.238937654</v>
      </c>
      <c r="H141" s="13" t="n">
        <v>78.32</v>
      </c>
      <c r="I141" s="13" t="n">
        <v>87.78</v>
      </c>
      <c r="J141" s="5" t="s">
        <v>74</v>
      </c>
      <c r="K141" s="8" t="n">
        <v>29.2034526400327</v>
      </c>
      <c r="L141" s="8" t="n">
        <v>22926.8146887266</v>
      </c>
      <c r="M141" s="8" t="n">
        <f aca="false">M140+L141</f>
        <v>1944426.84332173</v>
      </c>
      <c r="N141" s="5" t="str">
        <f aca="false">IF(L141&gt;0,"прибыль",IF(L141&lt;0,"убыток","ноль"))</f>
        <v>прибыль</v>
      </c>
      <c r="O141" s="6" t="n">
        <f aca="false">IF(L141&lt;0,O140+1,0)</f>
        <v>0</v>
      </c>
      <c r="P141" s="6" t="n">
        <v>63</v>
      </c>
    </row>
    <row r="142" customFormat="false" ht="15" hidden="false" customHeight="false" outlineLevel="0" collapsed="false">
      <c r="A142" s="6" t="n">
        <v>137</v>
      </c>
      <c r="B142" s="5" t="s">
        <v>76</v>
      </c>
      <c r="C142" s="5" t="s">
        <v>25</v>
      </c>
      <c r="D142" s="11" t="n">
        <v>45400</v>
      </c>
      <c r="E142" s="11" t="n">
        <v>45439</v>
      </c>
      <c r="F142" s="5" t="s">
        <v>73</v>
      </c>
      <c r="G142" s="12" t="n">
        <v>1064108.9396334</v>
      </c>
      <c r="H142" s="13" t="n">
        <v>87.78</v>
      </c>
      <c r="I142" s="13" t="n">
        <v>82.4</v>
      </c>
      <c r="J142" s="5" t="s">
        <v>74</v>
      </c>
      <c r="K142" s="8" t="n">
        <v>129.771872750152</v>
      </c>
      <c r="L142" s="8" t="n">
        <v>57950.0800424</v>
      </c>
      <c r="M142" s="8" t="n">
        <f aca="false">M141+L142</f>
        <v>2002376.92336413</v>
      </c>
      <c r="N142" s="5" t="str">
        <f aca="false">IF(L142&gt;0,"прибыль",IF(L142&lt;0,"убыток","ноль"))</f>
        <v>прибыль</v>
      </c>
      <c r="O142" s="6" t="n">
        <f aca="false">IF(L142&lt;0,O141+1,0)</f>
        <v>0</v>
      </c>
      <c r="P142" s="6" t="n">
        <v>26</v>
      </c>
    </row>
    <row r="143" customFormat="false" ht="15" hidden="false" customHeight="false" outlineLevel="0" collapsed="false">
      <c r="A143" s="6" t="n">
        <v>138</v>
      </c>
      <c r="B143" s="5" t="s">
        <v>76</v>
      </c>
      <c r="C143" s="5" t="s">
        <v>25</v>
      </c>
      <c r="D143" s="11" t="n">
        <v>45439</v>
      </c>
      <c r="E143" s="11" t="n">
        <v>45440</v>
      </c>
      <c r="F143" s="5" t="s">
        <v>75</v>
      </c>
      <c r="G143" s="12" t="n">
        <v>2.32255461373036E-010</v>
      </c>
      <c r="H143" s="13" t="n">
        <v>82.4</v>
      </c>
      <c r="I143" s="13" t="n">
        <v>83.08</v>
      </c>
      <c r="K143" s="8" t="n">
        <v>1.17249342234665E-014</v>
      </c>
      <c r="L143" s="8" t="n">
        <v>-2.25494803051695E-012</v>
      </c>
      <c r="M143" s="8" t="n">
        <f aca="false">M142+L143</f>
        <v>2002376.92336413</v>
      </c>
      <c r="N143" s="5" t="str">
        <f aca="false">IF(L143&gt;0,"прибыль",IF(L143&lt;0,"убыток","ноль"))</f>
        <v>убыток</v>
      </c>
      <c r="O143" s="6" t="n">
        <f aca="false">IF(L143&lt;0,O142+1,0)</f>
        <v>1</v>
      </c>
      <c r="P143" s="6" t="n">
        <v>1</v>
      </c>
    </row>
    <row r="144" customFormat="false" ht="15" hidden="false" customHeight="false" outlineLevel="0" collapsed="false">
      <c r="A144" s="6" t="n">
        <v>139</v>
      </c>
      <c r="B144" s="5" t="s">
        <v>76</v>
      </c>
      <c r="C144" s="5" t="s">
        <v>25</v>
      </c>
      <c r="D144" s="11" t="n">
        <v>45440</v>
      </c>
      <c r="E144" s="11" t="n">
        <v>45441</v>
      </c>
      <c r="F144" s="5" t="s">
        <v>75</v>
      </c>
      <c r="G144" s="12" t="n">
        <v>241512.261175215</v>
      </c>
      <c r="H144" s="13" t="n">
        <v>83.08</v>
      </c>
      <c r="I144" s="13" t="n">
        <v>84.49</v>
      </c>
      <c r="K144" s="8" t="n">
        <v>12.3999980566345</v>
      </c>
      <c r="L144" s="8" t="n">
        <v>-6500.09995553204</v>
      </c>
      <c r="M144" s="8" t="n">
        <f aca="false">M143+L144</f>
        <v>1995876.8234086</v>
      </c>
      <c r="N144" s="5" t="str">
        <f aca="false">IF(L144&gt;0,"прибыль",IF(L144&lt;0,"убыток","ноль"))</f>
        <v>убыток</v>
      </c>
      <c r="O144" s="6" t="n">
        <f aca="false">IF(L144&lt;0,O143+1,0)</f>
        <v>2</v>
      </c>
      <c r="P144" s="6" t="n">
        <v>1</v>
      </c>
    </row>
    <row r="145" customFormat="false" ht="15" hidden="false" customHeight="false" outlineLevel="0" collapsed="false">
      <c r="A145" s="6" t="n">
        <v>140</v>
      </c>
      <c r="B145" s="5" t="s">
        <v>76</v>
      </c>
      <c r="C145" s="5" t="s">
        <v>25</v>
      </c>
      <c r="D145" s="11" t="n">
        <v>45441</v>
      </c>
      <c r="E145" s="11" t="n">
        <v>45454</v>
      </c>
      <c r="F145" s="5" t="s">
        <v>75</v>
      </c>
      <c r="G145" s="12" t="n">
        <v>253951.866912449</v>
      </c>
      <c r="H145" s="13" t="n">
        <v>84.49</v>
      </c>
      <c r="I145" s="13" t="n">
        <v>81.42</v>
      </c>
      <c r="J145" s="5" t="s">
        <v>74</v>
      </c>
      <c r="K145" s="8" t="n">
        <v>13.1436707331407</v>
      </c>
      <c r="L145" s="8" t="n">
        <v>-8934.69142109823</v>
      </c>
      <c r="M145" s="8" t="n">
        <f aca="false">M144+L145</f>
        <v>1986942.1319875</v>
      </c>
      <c r="N145" s="5" t="str">
        <f aca="false">IF(L145&gt;0,"прибыль",IF(L145&lt;0,"убыток","ноль"))</f>
        <v>убыток</v>
      </c>
      <c r="O145" s="6" t="n">
        <f aca="false">IF(L145&lt;0,O144+1,0)</f>
        <v>3</v>
      </c>
      <c r="P145" s="6" t="n">
        <v>9</v>
      </c>
    </row>
    <row r="146" customFormat="false" ht="15" hidden="false" customHeight="false" outlineLevel="0" collapsed="false">
      <c r="A146" s="6" t="n">
        <v>141</v>
      </c>
      <c r="B146" s="5" t="s">
        <v>76</v>
      </c>
      <c r="C146" s="5" t="s">
        <v>25</v>
      </c>
      <c r="D146" s="11" t="n">
        <v>45454</v>
      </c>
      <c r="E146" s="11" t="n">
        <v>45467</v>
      </c>
      <c r="F146" s="5" t="s">
        <v>75</v>
      </c>
      <c r="G146" s="12" t="n">
        <v>707143.504167043</v>
      </c>
      <c r="H146" s="13" t="n">
        <v>81.42</v>
      </c>
      <c r="I146" s="13" t="n">
        <v>85.11</v>
      </c>
      <c r="K146" s="8" t="n">
        <v>75.6805842290236</v>
      </c>
      <c r="L146" s="8" t="n">
        <v>-58083.4610562167</v>
      </c>
      <c r="M146" s="8" t="n">
        <f aca="false">M145+L146</f>
        <v>1928858.67093128</v>
      </c>
      <c r="N146" s="5" t="str">
        <f aca="false">IF(L146&gt;0,"прибыль",IF(L146&lt;0,"убыток","ноль"))</f>
        <v>убыток</v>
      </c>
      <c r="O146" s="6" t="n">
        <f aca="false">IF(L146&lt;0,O145+1,0)</f>
        <v>4</v>
      </c>
      <c r="P146" s="6" t="n">
        <v>8</v>
      </c>
    </row>
    <row r="147" customFormat="false" ht="15" hidden="false" customHeight="false" outlineLevel="0" collapsed="false">
      <c r="A147" s="6" t="n">
        <v>142</v>
      </c>
      <c r="B147" s="5" t="s">
        <v>76</v>
      </c>
      <c r="C147" s="5" t="s">
        <v>25</v>
      </c>
      <c r="D147" s="11" t="n">
        <v>45467</v>
      </c>
      <c r="E147" s="11" t="n">
        <v>45495</v>
      </c>
      <c r="F147" s="5" t="s">
        <v>73</v>
      </c>
      <c r="G147" s="12" t="n">
        <v>250401.08389364</v>
      </c>
      <c r="H147" s="13" t="n">
        <v>85.11</v>
      </c>
      <c r="I147" s="13" t="n">
        <v>83.1</v>
      </c>
      <c r="J147" s="5" t="s">
        <v>74</v>
      </c>
      <c r="K147" s="8" t="n">
        <v>35.1589723630167</v>
      </c>
      <c r="L147" s="8" t="n">
        <v>-7844.46866684975</v>
      </c>
      <c r="M147" s="8" t="n">
        <f aca="false">M146+L147</f>
        <v>1921014.20226443</v>
      </c>
      <c r="N147" s="5" t="str">
        <f aca="false">IF(L147&gt;0,"прибыль",IF(L147&lt;0,"убыток","ноль"))</f>
        <v>убыток</v>
      </c>
      <c r="O147" s="6" t="n">
        <f aca="false">IF(L147&lt;0,O146+1,0)</f>
        <v>5</v>
      </c>
      <c r="P147" s="6" t="n">
        <v>20</v>
      </c>
    </row>
    <row r="148" customFormat="false" ht="15" hidden="false" customHeight="false" outlineLevel="0" collapsed="false">
      <c r="A148" s="6" t="n">
        <v>143</v>
      </c>
      <c r="B148" s="5" t="s">
        <v>76</v>
      </c>
      <c r="C148" s="5" t="s">
        <v>25</v>
      </c>
      <c r="D148" s="11" t="n">
        <v>45495</v>
      </c>
      <c r="E148" s="11" t="n">
        <v>45510</v>
      </c>
      <c r="F148" s="5" t="s">
        <v>73</v>
      </c>
      <c r="G148" s="12" t="n">
        <v>958646.989108981</v>
      </c>
      <c r="H148" s="13" t="n">
        <v>83.1</v>
      </c>
      <c r="I148" s="13" t="n">
        <v>78.28</v>
      </c>
      <c r="J148" s="5" t="s">
        <v>74</v>
      </c>
      <c r="K148" s="8" t="n">
        <v>83.5534303438138</v>
      </c>
      <c r="L148" s="8" t="n">
        <v>-83272.4510648196</v>
      </c>
      <c r="M148" s="8" t="n">
        <f aca="false">M147+L148</f>
        <v>1837741.75119961</v>
      </c>
      <c r="N148" s="5" t="str">
        <f aca="false">IF(L148&gt;0,"прибыль",IF(L148&lt;0,"убыток","ноль"))</f>
        <v>убыток</v>
      </c>
      <c r="O148" s="6" t="n">
        <f aca="false">IF(L148&lt;0,O147+1,0)</f>
        <v>6</v>
      </c>
      <c r="P148" s="6" t="n">
        <v>11</v>
      </c>
    </row>
    <row r="149" customFormat="false" ht="15" hidden="false" customHeight="false" outlineLevel="0" collapsed="false">
      <c r="A149" s="6" t="n">
        <v>144</v>
      </c>
      <c r="B149" s="5" t="s">
        <v>76</v>
      </c>
      <c r="C149" s="5" t="s">
        <v>25</v>
      </c>
      <c r="D149" s="11" t="n">
        <v>45510</v>
      </c>
      <c r="E149" s="11" t="n">
        <v>45511</v>
      </c>
      <c r="F149" s="5" t="s">
        <v>75</v>
      </c>
      <c r="G149" s="12" t="n">
        <v>1.14664361262074E-010</v>
      </c>
      <c r="H149" s="13" t="n">
        <v>78.28</v>
      </c>
      <c r="I149" s="13" t="n">
        <v>77.2</v>
      </c>
      <c r="K149" s="8" t="n">
        <v>5.66420204432372E-015</v>
      </c>
      <c r="L149" s="8" t="n">
        <v>1.37465617355481E-012</v>
      </c>
      <c r="M149" s="8" t="n">
        <f aca="false">M148+L149</f>
        <v>1837741.75119961</v>
      </c>
      <c r="N149" s="5" t="str">
        <f aca="false">IF(L149&gt;0,"прибыль",IF(L149&lt;0,"убыток","ноль"))</f>
        <v>прибыль</v>
      </c>
      <c r="O149" s="6" t="n">
        <f aca="false">IF(L149&lt;0,O148+1,0)</f>
        <v>0</v>
      </c>
      <c r="P149" s="6" t="n">
        <v>1</v>
      </c>
    </row>
    <row r="150" customFormat="false" ht="15" hidden="false" customHeight="false" outlineLevel="0" collapsed="false">
      <c r="A150" s="6" t="n">
        <v>145</v>
      </c>
      <c r="B150" s="5" t="s">
        <v>76</v>
      </c>
      <c r="C150" s="5" t="s">
        <v>25</v>
      </c>
      <c r="D150" s="11" t="n">
        <v>45511</v>
      </c>
      <c r="E150" s="11" t="n">
        <v>45517</v>
      </c>
      <c r="F150" s="5" t="s">
        <v>75</v>
      </c>
      <c r="G150" s="12" t="n">
        <v>214113.303069606</v>
      </c>
      <c r="H150" s="13" t="n">
        <v>77.2</v>
      </c>
      <c r="I150" s="13" t="n">
        <v>82.08</v>
      </c>
      <c r="K150" s="8" t="n">
        <v>11.2472478808102</v>
      </c>
      <c r="L150" s="8" t="n">
        <v>-10842.901794479</v>
      </c>
      <c r="M150" s="8" t="n">
        <f aca="false">M149+L150</f>
        <v>1826898.84940513</v>
      </c>
      <c r="N150" s="5" t="str">
        <f aca="false">IF(L150&gt;0,"прибыль",IF(L150&lt;0,"убыток","ноль"))</f>
        <v>убыток</v>
      </c>
      <c r="O150" s="6" t="n">
        <f aca="false">IF(L150&lt;0,O149+1,0)</f>
        <v>1</v>
      </c>
      <c r="P150" s="6" t="n">
        <v>4</v>
      </c>
    </row>
    <row r="151" customFormat="false" ht="15" hidden="false" customHeight="false" outlineLevel="0" collapsed="false">
      <c r="A151" s="6" t="n">
        <v>146</v>
      </c>
      <c r="B151" s="5" t="s">
        <v>76</v>
      </c>
      <c r="C151" s="5" t="s">
        <v>25</v>
      </c>
      <c r="D151" s="11" t="n">
        <v>45517</v>
      </c>
      <c r="E151" s="11" t="n">
        <v>45576</v>
      </c>
      <c r="F151" s="5" t="s">
        <v>75</v>
      </c>
      <c r="G151" s="12" t="n">
        <v>128196.902287172</v>
      </c>
      <c r="H151" s="13" t="n">
        <v>82.08</v>
      </c>
      <c r="I151" s="13" t="n">
        <v>78.58</v>
      </c>
      <c r="J151" s="5" t="s">
        <v>74</v>
      </c>
      <c r="K151" s="8" t="n">
        <v>6.26442743101737</v>
      </c>
      <c r="L151" s="8" t="n">
        <v>2902.08923939317</v>
      </c>
      <c r="M151" s="8" t="n">
        <f aca="false">M150+L151</f>
        <v>1829800.93864453</v>
      </c>
      <c r="N151" s="5" t="str">
        <f aca="false">IF(L151&gt;0,"прибыль",IF(L151&lt;0,"убыток","ноль"))</f>
        <v>прибыль</v>
      </c>
      <c r="O151" s="6" t="n">
        <f aca="false">IF(L151&lt;0,O150+1,0)</f>
        <v>0</v>
      </c>
      <c r="P151" s="6" t="n">
        <v>43</v>
      </c>
    </row>
    <row r="152" customFormat="false" ht="15" hidden="false" customHeight="false" outlineLevel="0" collapsed="false">
      <c r="A152" s="6" t="n">
        <v>147</v>
      </c>
      <c r="B152" s="5" t="s">
        <v>76</v>
      </c>
      <c r="C152" s="5" t="s">
        <v>25</v>
      </c>
      <c r="D152" s="11" t="n">
        <v>45576</v>
      </c>
      <c r="E152" s="11" t="n">
        <v>45665</v>
      </c>
      <c r="F152" s="5" t="s">
        <v>75</v>
      </c>
      <c r="G152" s="12" t="n">
        <v>1058780.91336833</v>
      </c>
      <c r="H152" s="13" t="n">
        <v>78.58</v>
      </c>
      <c r="I152" s="13" t="n">
        <v>77.29</v>
      </c>
      <c r="J152" s="5" t="s">
        <v>74</v>
      </c>
      <c r="K152" s="8" t="n">
        <v>135.997954293626</v>
      </c>
      <c r="L152" s="8" t="n">
        <v>6633.70944813177</v>
      </c>
      <c r="M152" s="8" t="n">
        <f aca="false">M151+L152</f>
        <v>1836434.64809266</v>
      </c>
      <c r="N152" s="5" t="str">
        <f aca="false">IF(L152&gt;0,"прибыль",IF(L152&lt;0,"убыток","ноль"))</f>
        <v>прибыль</v>
      </c>
      <c r="O152" s="6" t="n">
        <f aca="false">IF(L152&lt;0,O151+1,0)</f>
        <v>0</v>
      </c>
      <c r="P152" s="6" t="n">
        <v>60</v>
      </c>
    </row>
    <row r="153" customFormat="false" ht="15" hidden="false" customHeight="false" outlineLevel="0" collapsed="false">
      <c r="A153" s="6" t="n">
        <v>148</v>
      </c>
      <c r="B153" s="5" t="s">
        <v>76</v>
      </c>
      <c r="C153" s="5" t="s">
        <v>25</v>
      </c>
      <c r="D153" s="11" t="n">
        <v>45665</v>
      </c>
      <c r="E153" s="11" t="n">
        <v>45666</v>
      </c>
      <c r="F153" s="5" t="s">
        <v>73</v>
      </c>
      <c r="G153" s="12" t="n">
        <v>2.15934652612526E-010</v>
      </c>
      <c r="H153" s="13" t="n">
        <v>77.29</v>
      </c>
      <c r="I153" s="13" t="n">
        <v>76.27</v>
      </c>
      <c r="K153" s="8" t="n">
        <v>1.0638904588761E-014</v>
      </c>
      <c r="L153" s="8" t="n">
        <v>-3.16719974189427E-012</v>
      </c>
      <c r="M153" s="8" t="n">
        <f aca="false">M152+L153</f>
        <v>1836434.64809266</v>
      </c>
      <c r="N153" s="5" t="str">
        <f aca="false">IF(L153&gt;0,"прибыль",IF(L153&lt;0,"убыток","ноль"))</f>
        <v>убыток</v>
      </c>
      <c r="O153" s="6" t="n">
        <f aca="false">IF(L153&lt;0,O152+1,0)</f>
        <v>1</v>
      </c>
      <c r="P153" s="6" t="n">
        <v>1</v>
      </c>
    </row>
    <row r="154" customFormat="false" ht="15" hidden="false" customHeight="false" outlineLevel="0" collapsed="false">
      <c r="A154" s="6" t="n">
        <v>149</v>
      </c>
      <c r="B154" s="5" t="s">
        <v>76</v>
      </c>
      <c r="C154" s="5" t="s">
        <v>25</v>
      </c>
      <c r="D154" s="11" t="n">
        <v>45666</v>
      </c>
      <c r="E154" s="11" t="n">
        <v>45673</v>
      </c>
      <c r="F154" s="5" t="s">
        <v>73</v>
      </c>
      <c r="G154" s="12" t="n">
        <v>288458.452960375</v>
      </c>
      <c r="H154" s="13" t="n">
        <v>76.27</v>
      </c>
      <c r="I154" s="13" t="n">
        <v>82.17</v>
      </c>
      <c r="K154" s="8" t="n">
        <v>15.3088783064923</v>
      </c>
      <c r="L154" s="8" t="n">
        <v>17703.804291164</v>
      </c>
      <c r="M154" s="8" t="n">
        <f aca="false">M153+L154</f>
        <v>1854138.45238382</v>
      </c>
      <c r="N154" s="5" t="str">
        <f aca="false">IF(L154&gt;0,"прибыль",IF(L154&lt;0,"убыток","ноль"))</f>
        <v>прибыль</v>
      </c>
      <c r="O154" s="6" t="n">
        <f aca="false">IF(L154&lt;0,O153+1,0)</f>
        <v>0</v>
      </c>
      <c r="P154" s="6" t="n">
        <v>5</v>
      </c>
    </row>
    <row r="155" customFormat="false" ht="15" hidden="false" customHeight="false" outlineLevel="0" collapsed="false">
      <c r="A155" s="6" t="n">
        <v>150</v>
      </c>
      <c r="B155" s="5" t="s">
        <v>76</v>
      </c>
      <c r="C155" s="5" t="s">
        <v>25</v>
      </c>
      <c r="D155" s="11" t="n">
        <v>45673</v>
      </c>
      <c r="E155" s="11" t="n">
        <v>45715</v>
      </c>
      <c r="F155" s="5" t="s">
        <v>73</v>
      </c>
      <c r="G155" s="12" t="n">
        <v>774008.823622901</v>
      </c>
      <c r="H155" s="13" t="n">
        <v>82.17</v>
      </c>
      <c r="I155" s="13" t="n">
        <v>72.83</v>
      </c>
      <c r="J155" s="5" t="s">
        <v>74</v>
      </c>
      <c r="K155" s="8" t="n">
        <v>75.5424909381019</v>
      </c>
      <c r="L155" s="8" t="n">
        <v>-31529.4860638998</v>
      </c>
      <c r="M155" s="8" t="n">
        <f aca="false">M154+L155</f>
        <v>1822608.96631992</v>
      </c>
      <c r="N155" s="5" t="str">
        <f aca="false">IF(L155&gt;0,"прибыль",IF(L155&lt;0,"убыток","ноль"))</f>
        <v>убыток</v>
      </c>
      <c r="O155" s="6" t="n">
        <f aca="false">IF(L155&lt;0,O154+1,0)</f>
        <v>1</v>
      </c>
      <c r="P155" s="6" t="n">
        <v>30</v>
      </c>
    </row>
    <row r="156" customFormat="false" ht="15" hidden="false" customHeight="false" outlineLevel="0" collapsed="false">
      <c r="A156" s="6" t="n">
        <v>151</v>
      </c>
      <c r="B156" s="5" t="s">
        <v>76</v>
      </c>
      <c r="C156" s="5" t="s">
        <v>25</v>
      </c>
      <c r="D156" s="11" t="n">
        <v>45715</v>
      </c>
      <c r="E156" s="11" t="n">
        <v>45751</v>
      </c>
      <c r="F156" s="5" t="s">
        <v>75</v>
      </c>
      <c r="G156" s="12" t="n">
        <v>221636.983040557</v>
      </c>
      <c r="H156" s="13" t="n">
        <v>72.83</v>
      </c>
      <c r="I156" s="13" t="n">
        <v>69.61</v>
      </c>
      <c r="J156" s="5" t="s">
        <v>74</v>
      </c>
      <c r="K156" s="8" t="n">
        <v>10.9817193647464</v>
      </c>
      <c r="L156" s="8" t="n">
        <v>1991.61402626455</v>
      </c>
      <c r="M156" s="8" t="n">
        <f aca="false">M155+L156</f>
        <v>1824600.58034619</v>
      </c>
      <c r="N156" s="5" t="str">
        <f aca="false">IF(L156&gt;0,"прибыль",IF(L156&lt;0,"убыток","ноль"))</f>
        <v>прибыль</v>
      </c>
      <c r="O156" s="6" t="n">
        <f aca="false">IF(L156&lt;0,O155+1,0)</f>
        <v>0</v>
      </c>
      <c r="P156" s="6" t="n">
        <v>26</v>
      </c>
    </row>
    <row r="157" customFormat="false" ht="15" hidden="false" customHeight="false" outlineLevel="0" collapsed="false">
      <c r="A157" s="6" t="n">
        <v>152</v>
      </c>
      <c r="B157" s="5" t="s">
        <v>76</v>
      </c>
      <c r="C157" s="5" t="s">
        <v>25</v>
      </c>
      <c r="D157" s="11" t="n">
        <v>45751</v>
      </c>
      <c r="E157" s="11" t="n">
        <v>45757</v>
      </c>
      <c r="F157" s="5" t="s">
        <v>75</v>
      </c>
      <c r="G157" s="12" t="n">
        <v>191446.159580971</v>
      </c>
      <c r="H157" s="13" t="n">
        <v>69.61</v>
      </c>
      <c r="I157" s="13" t="n">
        <v>65.08</v>
      </c>
      <c r="K157" s="8" t="n">
        <v>8.87332398440054</v>
      </c>
      <c r="L157" s="8" t="n">
        <v>13970.8065689754</v>
      </c>
      <c r="M157" s="8" t="n">
        <f aca="false">M156+L157</f>
        <v>1838571.38691516</v>
      </c>
      <c r="N157" s="5" t="str">
        <f aca="false">IF(L157&gt;0,"прибыль",IF(L157&lt;0,"убыток","ноль"))</f>
        <v>прибыль</v>
      </c>
      <c r="O157" s="6" t="n">
        <f aca="false">IF(L157&lt;0,O156+1,0)</f>
        <v>0</v>
      </c>
      <c r="P157" s="6" t="n">
        <v>4</v>
      </c>
    </row>
    <row r="158" customFormat="false" ht="15" hidden="false" customHeight="false" outlineLevel="0" collapsed="false">
      <c r="A158" s="6" t="n">
        <v>153</v>
      </c>
      <c r="B158" s="5" t="s">
        <v>76</v>
      </c>
      <c r="C158" s="5" t="s">
        <v>25</v>
      </c>
      <c r="D158" s="11" t="n">
        <v>45757</v>
      </c>
      <c r="E158" s="11" t="n">
        <v>45814</v>
      </c>
      <c r="F158" s="5" t="s">
        <v>75</v>
      </c>
      <c r="G158" s="12" t="n">
        <v>520566.929400793</v>
      </c>
      <c r="H158" s="13" t="n">
        <v>65.08</v>
      </c>
      <c r="I158" s="13" t="n">
        <v>65.06</v>
      </c>
      <c r="J158" s="5" t="s">
        <v>74</v>
      </c>
      <c r="K158" s="8" t="n">
        <v>65.1947225573829</v>
      </c>
      <c r="L158" s="8" t="n">
        <v>9248.63863788234</v>
      </c>
      <c r="M158" s="8" t="n">
        <f aca="false">M157+L158</f>
        <v>1847820.02555305</v>
      </c>
      <c r="N158" s="5" t="str">
        <f aca="false">IF(L158&gt;0,"прибыль",IF(L158&lt;0,"убыток","ноль"))</f>
        <v>прибыль</v>
      </c>
      <c r="O158" s="6" t="n">
        <f aca="false">IF(L158&lt;0,O157+1,0)</f>
        <v>0</v>
      </c>
      <c r="P158" s="6" t="n">
        <v>39</v>
      </c>
    </row>
    <row r="159" customFormat="false" ht="15" hidden="false" customHeight="false" outlineLevel="0" collapsed="false">
      <c r="A159" s="6" t="n">
        <v>154</v>
      </c>
      <c r="B159" s="5" t="s">
        <v>76</v>
      </c>
      <c r="C159" s="5" t="s">
        <v>25</v>
      </c>
      <c r="D159" s="11" t="n">
        <v>45814</v>
      </c>
      <c r="E159" s="11" t="n">
        <v>45821</v>
      </c>
      <c r="F159" s="5" t="s">
        <v>73</v>
      </c>
      <c r="G159" s="12" t="n">
        <v>253782.662174051</v>
      </c>
      <c r="H159" s="13" t="n">
        <v>65.06</v>
      </c>
      <c r="I159" s="13" t="n">
        <v>73.76</v>
      </c>
      <c r="K159" s="8" t="n">
        <v>23.8906886824686</v>
      </c>
      <c r="L159" s="8" t="n">
        <v>31698.8381210024</v>
      </c>
      <c r="M159" s="8" t="n">
        <f aca="false">M158+L159</f>
        <v>1879518.86367405</v>
      </c>
      <c r="N159" s="5" t="str">
        <f aca="false">IF(L159&gt;0,"прибыль",IF(L159&lt;0,"убыток","ноль"))</f>
        <v>прибыль</v>
      </c>
      <c r="O159" s="6" t="n">
        <f aca="false">IF(L159&lt;0,O158+1,0)</f>
        <v>0</v>
      </c>
      <c r="P159" s="6" t="n">
        <v>4</v>
      </c>
    </row>
    <row r="160" customFormat="false" ht="15" hidden="false" customHeight="false" outlineLevel="0" collapsed="false">
      <c r="A160" s="6" t="n">
        <v>155</v>
      </c>
      <c r="B160" s="5" t="s">
        <v>76</v>
      </c>
      <c r="C160" s="5" t="s">
        <v>25</v>
      </c>
      <c r="D160" s="11" t="n">
        <v>45821</v>
      </c>
      <c r="E160" s="11" t="n">
        <v>45824</v>
      </c>
      <c r="F160" s="5" t="s">
        <v>73</v>
      </c>
      <c r="G160" s="12" t="n">
        <v>178933.93463231</v>
      </c>
      <c r="H160" s="13" t="n">
        <v>73.76</v>
      </c>
      <c r="I160" s="13" t="n">
        <v>74.63</v>
      </c>
      <c r="K160" s="8" t="n">
        <v>10.1808686582702</v>
      </c>
      <c r="L160" s="8" t="n">
        <v>24673.2576644362</v>
      </c>
      <c r="M160" s="8" t="n">
        <f aca="false">M159+L160</f>
        <v>1904192.12133848</v>
      </c>
      <c r="N160" s="5" t="str">
        <f aca="false">IF(L160&gt;0,"прибыль",IF(L160&lt;0,"убыток","ноль"))</f>
        <v>прибыль</v>
      </c>
      <c r="O160" s="6" t="n">
        <f aca="false">IF(L160&lt;0,O159+1,0)</f>
        <v>0</v>
      </c>
      <c r="P160" s="6" t="n">
        <v>1</v>
      </c>
    </row>
    <row r="161" customFormat="false" ht="15" hidden="false" customHeight="false" outlineLevel="0" collapsed="false">
      <c r="A161" s="6" t="n">
        <v>156</v>
      </c>
      <c r="B161" s="5" t="s">
        <v>76</v>
      </c>
      <c r="C161" s="5" t="s">
        <v>25</v>
      </c>
      <c r="D161" s="11" t="n">
        <v>45824</v>
      </c>
      <c r="E161" s="11" t="n">
        <v>45832</v>
      </c>
      <c r="F161" s="5" t="s">
        <v>73</v>
      </c>
      <c r="G161" s="12" t="n">
        <v>120496.418511601</v>
      </c>
      <c r="H161" s="13" t="n">
        <v>74.63</v>
      </c>
      <c r="I161" s="13" t="n">
        <v>68.78</v>
      </c>
      <c r="K161" s="8" t="n">
        <v>6.31486662152615</v>
      </c>
      <c r="L161" s="8" t="n">
        <v>5794.59905230015</v>
      </c>
      <c r="M161" s="8" t="n">
        <f aca="false">M160+L161</f>
        <v>1909986.72039079</v>
      </c>
      <c r="N161" s="5" t="str">
        <f aca="false">IF(L161&gt;0,"прибыль",IF(L161&lt;0,"убыток","ноль"))</f>
        <v>прибыль</v>
      </c>
      <c r="O161" s="6" t="n">
        <f aca="false">IF(L161&lt;0,O160+1,0)</f>
        <v>0</v>
      </c>
      <c r="P161" s="6" t="n">
        <v>6</v>
      </c>
    </row>
    <row r="162" customFormat="false" ht="15" hidden="false" customHeight="false" outlineLevel="0" collapsed="false">
      <c r="A162" s="6" t="n">
        <v>157</v>
      </c>
      <c r="B162" s="5" t="s">
        <v>76</v>
      </c>
      <c r="C162" s="5" t="s">
        <v>25</v>
      </c>
      <c r="D162" s="11" t="n">
        <v>45832</v>
      </c>
      <c r="E162" s="11" t="n">
        <v>45895</v>
      </c>
      <c r="F162" s="5" t="s">
        <v>73</v>
      </c>
      <c r="G162" s="12" t="n">
        <v>953399.848869891</v>
      </c>
      <c r="H162" s="13" t="n">
        <v>68.78</v>
      </c>
      <c r="I162" s="13" t="n">
        <v>68.5</v>
      </c>
      <c r="J162" s="5" t="s">
        <v>74</v>
      </c>
      <c r="K162" s="8" t="n">
        <v>134.272679282787</v>
      </c>
      <c r="L162" s="8" t="n">
        <v>42515.7359175669</v>
      </c>
      <c r="M162" s="8" t="n">
        <f aca="false">M161+L162</f>
        <v>1952502.45630835</v>
      </c>
      <c r="N162" s="5" t="str">
        <f aca="false">IF(L162&gt;0,"прибыль",IF(L162&lt;0,"убыток","ноль"))</f>
        <v>прибыль</v>
      </c>
      <c r="O162" s="6" t="n">
        <f aca="false">IF(L162&lt;0,O161+1,0)</f>
        <v>0</v>
      </c>
      <c r="P162" s="6" t="n">
        <v>49</v>
      </c>
    </row>
    <row r="163" customFormat="false" ht="15" hidden="false" customHeight="false" outlineLevel="0" collapsed="false">
      <c r="A163" s="6" t="n">
        <v>158</v>
      </c>
      <c r="B163" s="5" t="s">
        <v>76</v>
      </c>
      <c r="C163" s="5" t="s">
        <v>25</v>
      </c>
      <c r="D163" s="11" t="n">
        <v>45895</v>
      </c>
      <c r="E163" s="11" t="n">
        <v>45896</v>
      </c>
      <c r="F163" s="5" t="s">
        <v>75</v>
      </c>
      <c r="G163" s="12" t="n">
        <v>2.20731229858768E-010</v>
      </c>
      <c r="H163" s="13" t="n">
        <v>68.5</v>
      </c>
      <c r="I163" s="13" t="n">
        <v>67.28</v>
      </c>
      <c r="K163" s="8" t="n">
        <v>1.08568908004435E-014</v>
      </c>
      <c r="L163" s="8" t="n">
        <v>3.58255695909696E-012</v>
      </c>
      <c r="M163" s="8" t="n">
        <f aca="false">M162+L163</f>
        <v>1952502.45630835</v>
      </c>
      <c r="N163" s="5" t="str">
        <f aca="false">IF(L163&gt;0,"прибыль",IF(L163&lt;0,"убыток","ноль"))</f>
        <v>прибыль</v>
      </c>
      <c r="O163" s="6" t="n">
        <f aca="false">IF(L163&lt;0,O162+1,0)</f>
        <v>0</v>
      </c>
      <c r="P163" s="6" t="n">
        <v>1</v>
      </c>
    </row>
    <row r="164" customFormat="false" ht="15" hidden="false" customHeight="false" outlineLevel="0" collapsed="false">
      <c r="A164" s="6" t="n">
        <v>159</v>
      </c>
      <c r="B164" s="5" t="s">
        <v>76</v>
      </c>
      <c r="C164" s="5" t="s">
        <v>25</v>
      </c>
      <c r="D164" s="11" t="n">
        <v>45896</v>
      </c>
      <c r="E164" s="11" t="n">
        <v>45901</v>
      </c>
      <c r="F164" s="5" t="s">
        <v>75</v>
      </c>
      <c r="G164" s="12" t="n">
        <v>1002385.46846386</v>
      </c>
      <c r="H164" s="13" t="n">
        <v>67.28</v>
      </c>
      <c r="I164" s="13" t="n">
        <v>68.15</v>
      </c>
      <c r="K164" s="8" t="n">
        <v>103.08310016571</v>
      </c>
      <c r="L164" s="8" t="n">
        <v>3519.61425546706</v>
      </c>
      <c r="M164" s="8" t="n">
        <f aca="false">M163+L164</f>
        <v>1956022.07056382</v>
      </c>
      <c r="N164" s="5" t="str">
        <f aca="false">IF(L164&gt;0,"прибыль",IF(L164&lt;0,"убыток","ноль"))</f>
        <v>прибыль</v>
      </c>
      <c r="O164" s="6" t="n">
        <f aca="false">IF(L164&lt;0,O163+1,0)</f>
        <v>0</v>
      </c>
      <c r="P164" s="6" t="n">
        <v>5</v>
      </c>
    </row>
    <row r="165" customFormat="false" ht="15" hidden="false" customHeight="false" outlineLevel="0" collapsed="false">
      <c r="A165" s="6" t="n">
        <v>160</v>
      </c>
      <c r="B165" s="5" t="s">
        <v>76</v>
      </c>
      <c r="C165" s="5" t="s">
        <v>25</v>
      </c>
      <c r="D165" s="11" t="n">
        <v>45901</v>
      </c>
      <c r="E165" s="11" t="n">
        <v>45913</v>
      </c>
      <c r="F165" s="5" t="s">
        <v>73</v>
      </c>
      <c r="G165" s="12" t="n">
        <v>227307.335643017</v>
      </c>
      <c r="H165" s="13" t="n">
        <v>68.15</v>
      </c>
      <c r="I165" s="13" t="n">
        <v>66.9</v>
      </c>
      <c r="J165" s="5" t="s">
        <v>74</v>
      </c>
      <c r="K165" s="8" t="n">
        <v>11.1242839766641</v>
      </c>
      <c r="L165" s="8" t="n">
        <v>-4832.780393712</v>
      </c>
      <c r="M165" s="8" t="n">
        <f aca="false">M164+L165</f>
        <v>1951189.29017011</v>
      </c>
      <c r="N165" s="5" t="str">
        <f aca="false">IF(L165&gt;0,"прибыль",IF(L165&lt;0,"убыток","ноль"))</f>
        <v>убыток</v>
      </c>
      <c r="O165" s="6" t="n">
        <f aca="false">IF(L165&lt;0,O164+1,0)</f>
        <v>1</v>
      </c>
      <c r="P165" s="6" t="n">
        <v>12</v>
      </c>
    </row>
    <row r="166" customFormat="false" ht="15" hidden="false" customHeight="false" outlineLevel="0" collapsed="false">
      <c r="A166" s="6" t="n">
        <v>161</v>
      </c>
      <c r="B166" s="5" t="s">
        <v>76</v>
      </c>
      <c r="C166" s="5" t="s">
        <v>25</v>
      </c>
      <c r="D166" s="11" t="n">
        <v>45913</v>
      </c>
      <c r="E166" s="11" t="n">
        <v>45919</v>
      </c>
      <c r="F166" s="5" t="s">
        <v>73</v>
      </c>
      <c r="G166" s="12" t="n">
        <v>835591.896562951</v>
      </c>
      <c r="H166" s="13" t="n">
        <v>66.9</v>
      </c>
      <c r="I166" s="13" t="n">
        <v>67.25</v>
      </c>
      <c r="K166" s="8" t="n">
        <v>84.2561089205091</v>
      </c>
      <c r="L166" s="8" t="n">
        <v>-13504.2014815736</v>
      </c>
      <c r="M166" s="8" t="n">
        <f aca="false">M165+L166</f>
        <v>1937685.08868853</v>
      </c>
      <c r="N166" s="5" t="str">
        <f aca="false">IF(L166&gt;0,"прибыль",IF(L166&lt;0,"убыток","ноль"))</f>
        <v>убыток</v>
      </c>
      <c r="O166" s="6" t="n">
        <f aca="false">IF(L166&lt;0,O165+1,0)</f>
        <v>2</v>
      </c>
      <c r="P166" s="6" t="n">
        <v>6</v>
      </c>
    </row>
    <row r="167" customFormat="false" ht="15" hidden="false" customHeight="false" outlineLevel="0" collapsed="false">
      <c r="A167" s="6" t="n">
        <v>162</v>
      </c>
      <c r="B167" s="5" t="s">
        <v>76</v>
      </c>
      <c r="C167" s="5" t="s">
        <v>25</v>
      </c>
      <c r="D167" s="11" t="n">
        <v>45919</v>
      </c>
      <c r="E167" s="11" t="n">
        <v>45928</v>
      </c>
      <c r="F167" s="5" t="s">
        <v>75</v>
      </c>
      <c r="G167" s="12" t="n">
        <v>862950.227219883</v>
      </c>
      <c r="H167" s="13" t="n">
        <v>67.25</v>
      </c>
      <c r="I167" s="13" t="n">
        <v>70</v>
      </c>
      <c r="K167" s="8" t="n">
        <v>91.0011108259914</v>
      </c>
      <c r="L167" s="8" t="n">
        <v>-36857.8111157998</v>
      </c>
      <c r="M167" s="8" t="n">
        <f aca="false">M166+L167</f>
        <v>1900827.27757273</v>
      </c>
      <c r="N167" s="5" t="str">
        <f aca="false">IF(L167&gt;0,"прибыль",IF(L167&lt;0,"убыток","ноль"))</f>
        <v>убыток</v>
      </c>
      <c r="O167" s="6" t="n">
        <f aca="false">IF(L167&lt;0,O166+1,0)</f>
        <v>3</v>
      </c>
      <c r="P167" s="6" t="n">
        <v>7</v>
      </c>
    </row>
    <row r="168" customFormat="false" ht="15" hidden="false" customHeight="false" outlineLevel="0" collapsed="false">
      <c r="A168" s="6" t="n">
        <v>163</v>
      </c>
      <c r="B168" s="5" t="s">
        <v>76</v>
      </c>
      <c r="C168" s="5" t="s">
        <v>25</v>
      </c>
      <c r="D168" s="11" t="n">
        <v>45928</v>
      </c>
      <c r="E168" s="11" t="n">
        <v>45930</v>
      </c>
      <c r="F168" s="5" t="s">
        <v>73</v>
      </c>
      <c r="G168" s="12" t="n">
        <v>192151.037477149</v>
      </c>
      <c r="H168" s="13" t="n">
        <v>70</v>
      </c>
      <c r="I168" s="13" t="n">
        <v>67.65</v>
      </c>
      <c r="K168" s="8" t="n">
        <v>9.2685854228532</v>
      </c>
      <c r="L168" s="8" t="n">
        <v>-6788.59760550757</v>
      </c>
      <c r="M168" s="8" t="n">
        <f aca="false">M167+L168</f>
        <v>1894038.67996723</v>
      </c>
      <c r="N168" s="5" t="str">
        <f aca="false">IF(L168&gt;0,"прибыль",IF(L168&lt;0,"убыток","ноль"))</f>
        <v>убыток</v>
      </c>
      <c r="O168" s="6" t="n">
        <f aca="false">IF(L168&lt;0,O167+1,0)</f>
        <v>4</v>
      </c>
      <c r="P168" s="6" t="n">
        <v>2</v>
      </c>
    </row>
    <row r="169" customFormat="false" ht="15" hidden="false" customHeight="false" outlineLevel="0" collapsed="false">
      <c r="A169" s="6" t="n">
        <v>164</v>
      </c>
      <c r="B169" s="5" t="s">
        <v>76</v>
      </c>
      <c r="C169" s="5" t="s">
        <v>25</v>
      </c>
      <c r="D169" s="11" t="n">
        <v>45930</v>
      </c>
      <c r="E169" s="11" t="n">
        <v>45942</v>
      </c>
      <c r="F169" s="5" t="s">
        <v>73</v>
      </c>
      <c r="G169" s="12" t="n">
        <v>728154.141817821</v>
      </c>
      <c r="H169" s="13" t="n">
        <v>67.65</v>
      </c>
      <c r="I169" s="13" t="n">
        <v>62.36</v>
      </c>
      <c r="J169" s="5" t="s">
        <v>74</v>
      </c>
      <c r="K169" s="8" t="n">
        <v>63.8105206835689</v>
      </c>
      <c r="L169" s="8" t="n">
        <v>-68039.0273577376</v>
      </c>
      <c r="M169" s="8" t="n">
        <f aca="false">M168+L169</f>
        <v>1825999.65260949</v>
      </c>
      <c r="N169" s="5" t="str">
        <f aca="false">IF(L169&gt;0,"прибыль",IF(L169&lt;0,"убыток","ноль"))</f>
        <v>убыток</v>
      </c>
      <c r="O169" s="6" t="n">
        <f aca="false">IF(L169&lt;0,O168+1,0)</f>
        <v>5</v>
      </c>
      <c r="P169" s="6" t="n">
        <v>12</v>
      </c>
    </row>
    <row r="170" customFormat="false" ht="15" hidden="false" customHeight="false" outlineLevel="0" collapsed="false">
      <c r="A170" s="6" t="n">
        <v>165</v>
      </c>
      <c r="B170" s="5" t="s">
        <v>76</v>
      </c>
      <c r="C170" s="5" t="s">
        <v>25</v>
      </c>
      <c r="D170" s="11" t="n">
        <v>45942</v>
      </c>
      <c r="E170" s="11" t="n">
        <v>46014</v>
      </c>
      <c r="F170" s="5" t="s">
        <v>75</v>
      </c>
      <c r="G170" s="12" t="n">
        <v>208996.154322234</v>
      </c>
      <c r="H170" s="13" t="n">
        <v>62.36</v>
      </c>
      <c r="I170" s="13" t="n">
        <v>61.89</v>
      </c>
      <c r="J170" s="5" t="s">
        <v>74</v>
      </c>
      <c r="K170" s="8" t="n">
        <v>25.6362755945289</v>
      </c>
      <c r="L170" s="8" t="n">
        <v>1589.15619330296</v>
      </c>
      <c r="M170" s="8" t="n">
        <f aca="false">M169+L170</f>
        <v>1827588.80880279</v>
      </c>
      <c r="N170" s="5" t="str">
        <f aca="false">IF(L170&gt;0,"прибыль",IF(L170&lt;0,"убыток","ноль"))</f>
        <v>прибыль</v>
      </c>
      <c r="O170" s="6" t="n">
        <f aca="false">IF(L170&lt;0,O169+1,0)</f>
        <v>0</v>
      </c>
      <c r="P170" s="6" t="n">
        <v>64</v>
      </c>
    </row>
    <row r="171" customFormat="false" ht="15" hidden="false" customHeight="false" outlineLevel="0" collapsed="false">
      <c r="A171" s="6" t="n">
        <v>166</v>
      </c>
      <c r="B171" s="5" t="s">
        <v>76</v>
      </c>
      <c r="C171" s="5" t="s">
        <v>25</v>
      </c>
      <c r="D171" s="11" t="n">
        <v>46014</v>
      </c>
      <c r="E171" s="11" t="n">
        <v>46041</v>
      </c>
      <c r="F171" s="5" t="s">
        <v>75</v>
      </c>
      <c r="G171" s="12" t="n">
        <v>712379.484405619</v>
      </c>
      <c r="H171" s="13" t="n">
        <v>61.89</v>
      </c>
      <c r="I171" s="13" t="n">
        <v>64.03</v>
      </c>
      <c r="J171" s="5" t="s">
        <v>74</v>
      </c>
      <c r="K171" s="8" t="n">
        <v>69.0748328038658</v>
      </c>
      <c r="L171" s="8" t="n">
        <v>-23328.6348996725</v>
      </c>
      <c r="M171" s="8" t="n">
        <f aca="false">M170+L171</f>
        <v>1804260.17390312</v>
      </c>
      <c r="N171" s="5" t="str">
        <f aca="false">IF(L171&gt;0,"прибыль",IF(L171&lt;0,"убыток","ноль"))</f>
        <v>убыток</v>
      </c>
      <c r="O171" s="6" t="n">
        <f aca="false">IF(L171&lt;0,O170+1,0)</f>
        <v>1</v>
      </c>
      <c r="P171" s="6" t="n">
        <v>19</v>
      </c>
    </row>
    <row r="172" customFormat="false" ht="15" hidden="false" customHeight="false" outlineLevel="0" collapsed="false">
      <c r="A172" s="6" t="n">
        <v>167</v>
      </c>
      <c r="B172" s="5" t="s">
        <v>76</v>
      </c>
      <c r="C172" s="5" t="s">
        <v>25</v>
      </c>
      <c r="D172" s="11" t="n">
        <v>46041</v>
      </c>
      <c r="E172" s="11" t="n">
        <v>46052</v>
      </c>
      <c r="F172" s="5" t="s">
        <v>73</v>
      </c>
      <c r="G172" s="12" t="n">
        <v>138281.430051438</v>
      </c>
      <c r="H172" s="13" t="n">
        <v>64.03</v>
      </c>
      <c r="I172" s="13" t="n">
        <v>70.03</v>
      </c>
      <c r="K172" s="8" t="n">
        <v>7.54569664222628</v>
      </c>
      <c r="L172" s="8" t="n">
        <v>12624.9570964451</v>
      </c>
      <c r="M172" s="8" t="n">
        <f aca="false">M171+L172</f>
        <v>1816885.13099956</v>
      </c>
      <c r="N172" s="5" t="str">
        <f aca="false">IF(L172&gt;0,"прибыль",IF(L172&lt;0,"убыток","ноль"))</f>
        <v>прибыль</v>
      </c>
      <c r="O172" s="6" t="n">
        <f aca="false">IF(L172&lt;0,O171+1,0)</f>
        <v>0</v>
      </c>
      <c r="P172" s="6" t="n">
        <v>11</v>
      </c>
    </row>
    <row r="173" customFormat="false" ht="15" hidden="false" customHeight="false" outlineLevel="0" collapsed="false">
      <c r="A173" s="6" t="n">
        <v>168</v>
      </c>
      <c r="B173" s="5" t="s">
        <v>76</v>
      </c>
      <c r="C173" s="5" t="s">
        <v>25</v>
      </c>
      <c r="D173" s="11" t="n">
        <v>46052</v>
      </c>
      <c r="E173" s="11" t="n">
        <v>46090</v>
      </c>
      <c r="F173" s="5" t="s">
        <v>73</v>
      </c>
      <c r="G173" s="12" t="n">
        <v>218681.92320888</v>
      </c>
      <c r="H173" s="13" t="n">
        <v>70.03</v>
      </c>
      <c r="I173" s="13" t="n">
        <v>105.61</v>
      </c>
      <c r="J173" s="5" t="s">
        <v>74</v>
      </c>
      <c r="K173" s="8" t="n">
        <v>17.3772571851765</v>
      </c>
      <c r="L173" s="8" t="n">
        <v>128845.843237465</v>
      </c>
      <c r="M173" s="8" t="n">
        <f aca="false">M172+L173</f>
        <v>1945730.97423703</v>
      </c>
      <c r="N173" s="5" t="str">
        <f aca="false">IF(L173&gt;0,"прибыль",IF(L173&lt;0,"убыток","ноль"))</f>
        <v>прибыль</v>
      </c>
      <c r="O173" s="6" t="n">
        <f aca="false">IF(L173&lt;0,O172+1,0)</f>
        <v>0</v>
      </c>
      <c r="P173" s="6" t="n">
        <v>34</v>
      </c>
    </row>
    <row r="174" customFormat="false" ht="15" hidden="false" customHeight="false" outlineLevel="0" collapsed="false">
      <c r="A174" s="6" t="n">
        <v>169</v>
      </c>
      <c r="B174" s="5" t="s">
        <v>76</v>
      </c>
      <c r="C174" s="5" t="s">
        <v>25</v>
      </c>
      <c r="D174" s="11" t="n">
        <v>46090</v>
      </c>
      <c r="E174" s="11" t="n">
        <v>46094</v>
      </c>
      <c r="F174" s="5" t="s">
        <v>73</v>
      </c>
      <c r="G174" s="12" t="n">
        <v>95930.0053299051</v>
      </c>
      <c r="H174" s="13" t="n">
        <v>105.61</v>
      </c>
      <c r="I174" s="13" t="n">
        <v>101.16</v>
      </c>
      <c r="K174" s="8" t="n">
        <v>7.29874814945939</v>
      </c>
      <c r="L174" s="8" t="n">
        <v>50037.6589111332</v>
      </c>
      <c r="M174" s="8" t="n">
        <f aca="false">M173+L174</f>
        <v>1995768.63314816</v>
      </c>
      <c r="N174" s="5" t="str">
        <f aca="false">IF(L174&gt;0,"прибыль",IF(L174&lt;0,"убыток","ноль"))</f>
        <v>прибыль</v>
      </c>
      <c r="O174" s="6" t="n">
        <f aca="false">IF(L174&lt;0,O173+1,0)</f>
        <v>0</v>
      </c>
      <c r="P174" s="6" t="n">
        <v>4</v>
      </c>
    </row>
    <row r="175" customFormat="false" ht="15" hidden="false" customHeight="false" outlineLevel="0" collapsed="false">
      <c r="A175" s="6" t="n">
        <v>170</v>
      </c>
      <c r="B175" s="5" t="s">
        <v>76</v>
      </c>
      <c r="C175" s="5" t="s">
        <v>25</v>
      </c>
      <c r="D175" s="11" t="n">
        <v>46094</v>
      </c>
      <c r="E175" s="11" t="n">
        <v>46105</v>
      </c>
      <c r="F175" s="5" t="s">
        <v>73</v>
      </c>
      <c r="G175" s="12" t="n">
        <v>46353.3119600981</v>
      </c>
      <c r="H175" s="13" t="n">
        <v>101.16</v>
      </c>
      <c r="I175" s="13" t="n">
        <v>103.95</v>
      </c>
      <c r="K175" s="8" t="n">
        <v>3.62211716392975</v>
      </c>
      <c r="L175" s="8" t="n">
        <v>26085.409201333</v>
      </c>
      <c r="M175" s="8" t="n">
        <f aca="false">M174+L175</f>
        <v>2021854.0423495</v>
      </c>
      <c r="N175" s="5" t="str">
        <f aca="false">IF(L175&gt;0,"прибыль",IF(L175&lt;0,"убыток","ноль"))</f>
        <v>прибыль</v>
      </c>
      <c r="O175" s="6" t="n">
        <f aca="false">IF(L175&lt;0,O174+1,0)</f>
        <v>0</v>
      </c>
      <c r="P175" s="6" t="n">
        <v>9</v>
      </c>
    </row>
    <row r="176" customFormat="false" ht="15" hidden="false" customHeight="false" outlineLevel="0" collapsed="false">
      <c r="A176" s="6" t="n">
        <v>171</v>
      </c>
      <c r="B176" s="5" t="s">
        <v>76</v>
      </c>
      <c r="C176" s="5" t="s">
        <v>25</v>
      </c>
      <c r="D176" s="11" t="n">
        <v>46105</v>
      </c>
      <c r="E176" s="11" t="n">
        <v>46170</v>
      </c>
      <c r="F176" s="5" t="s">
        <v>73</v>
      </c>
      <c r="G176" s="12" t="n">
        <v>215463.643975834</v>
      </c>
      <c r="H176" s="13" t="n">
        <v>103.95</v>
      </c>
      <c r="I176" s="13" t="n">
        <v>97.36</v>
      </c>
      <c r="J176" s="5" t="s">
        <v>74</v>
      </c>
      <c r="K176" s="8" t="n">
        <v>33.487000673238</v>
      </c>
      <c r="L176" s="8" t="n">
        <v>83358.934662055</v>
      </c>
      <c r="M176" s="8" t="n">
        <f aca="false">M175+L176</f>
        <v>2105212.97701155</v>
      </c>
      <c r="N176" s="5" t="str">
        <f aca="false">IF(L176&gt;0,"прибыль",IF(L176&lt;0,"убыток","ноль"))</f>
        <v>прибыль</v>
      </c>
      <c r="O176" s="6" t="n">
        <f aca="false">IF(L176&lt;0,O175+1,0)</f>
        <v>0</v>
      </c>
      <c r="P176" s="6" t="n">
        <v>63</v>
      </c>
    </row>
    <row r="177" customFormat="false" ht="15" hidden="false" customHeight="false" outlineLevel="0" collapsed="false">
      <c r="A177" s="6" t="n">
        <v>172</v>
      </c>
      <c r="B177" s="5" t="s">
        <v>76</v>
      </c>
      <c r="C177" s="5" t="s">
        <v>25</v>
      </c>
      <c r="D177" s="11" t="n">
        <v>46170</v>
      </c>
      <c r="E177" s="11" t="n">
        <v>46217</v>
      </c>
      <c r="F177" s="5" t="s">
        <v>75</v>
      </c>
      <c r="G177" s="12" t="n">
        <v>104673.465921945</v>
      </c>
      <c r="H177" s="13" t="n">
        <v>97.36</v>
      </c>
      <c r="I177" s="13" t="n">
        <v>84.72</v>
      </c>
      <c r="J177" s="5" t="s">
        <v>74</v>
      </c>
      <c r="K177" s="8" t="n">
        <v>13.531924507605</v>
      </c>
      <c r="L177" s="8" t="n">
        <v>9615.4523901193</v>
      </c>
      <c r="M177" s="8" t="n">
        <f aca="false">M176+L177</f>
        <v>2114828.42940167</v>
      </c>
      <c r="N177" s="5" t="str">
        <f aca="false">IF(L177&gt;0,"прибыль",IF(L177&lt;0,"убыток","ноль"))</f>
        <v>прибыль</v>
      </c>
      <c r="O177" s="6" t="n">
        <f aca="false">IF(L177&lt;0,O176+1,0)</f>
        <v>0</v>
      </c>
      <c r="P177" s="6" t="n">
        <v>45</v>
      </c>
    </row>
    <row r="178" customFormat="false" ht="15" hidden="false" customHeight="false" outlineLevel="0" collapsed="false">
      <c r="A178" s="6" t="n">
        <v>173</v>
      </c>
      <c r="B178" s="5" t="s">
        <v>76</v>
      </c>
      <c r="C178" s="5" t="s">
        <v>25</v>
      </c>
      <c r="D178" s="11" t="n">
        <v>46217</v>
      </c>
      <c r="E178" s="11" t="n">
        <v>46228</v>
      </c>
      <c r="F178" s="5" t="s">
        <v>75</v>
      </c>
      <c r="G178" s="12" t="n">
        <v>372951.787527708</v>
      </c>
      <c r="H178" s="13" t="n">
        <v>84.72</v>
      </c>
      <c r="I178" s="13" t="n">
        <v>97.91</v>
      </c>
      <c r="K178" s="8" t="n">
        <v>35.95368541063</v>
      </c>
      <c r="L178" s="8" t="n">
        <v>-18459.1828549807</v>
      </c>
      <c r="M178" s="8" t="n">
        <f aca="false">M177+L178</f>
        <v>2096369.24654669</v>
      </c>
      <c r="N178" s="5" t="str">
        <f aca="false">IF(L178&gt;0,"прибыль",IF(L178&lt;0,"убыток","ноль"))</f>
        <v>убыток</v>
      </c>
      <c r="O178" s="6" t="n">
        <f aca="false">IF(L178&lt;0,O177+1,0)</f>
        <v>1</v>
      </c>
      <c r="P178" s="6" t="n">
        <v>11</v>
      </c>
    </row>
    <row r="179" customFormat="false" ht="15" hidden="false" customHeight="false" outlineLevel="0" collapsed="false">
      <c r="A179" s="6" t="n">
        <v>174</v>
      </c>
      <c r="B179" s="5" t="s">
        <v>76</v>
      </c>
      <c r="C179" s="5" t="s">
        <v>25</v>
      </c>
      <c r="D179" s="11" t="n">
        <v>46228</v>
      </c>
      <c r="E179" s="11" t="n">
        <v>46241</v>
      </c>
      <c r="F179" s="5" t="s">
        <v>73</v>
      </c>
      <c r="G179" s="12" t="n">
        <v>67833.0775470926</v>
      </c>
      <c r="H179" s="13" t="n">
        <v>97.91</v>
      </c>
      <c r="I179" s="13" t="n">
        <v>83.85</v>
      </c>
      <c r="J179" s="5" t="s">
        <v>74</v>
      </c>
      <c r="K179" s="8" t="n">
        <v>3.05183456889778</v>
      </c>
      <c r="L179" s="8" t="n">
        <v>-6799.43800370596</v>
      </c>
      <c r="M179" s="8" t="n">
        <f aca="false">M178+L179</f>
        <v>2089569.80854298</v>
      </c>
      <c r="N179" s="5" t="str">
        <f aca="false">IF(L179&gt;0,"прибыль",IF(L179&lt;0,"убыток","ноль"))</f>
        <v>убыток</v>
      </c>
      <c r="O179" s="6" t="n">
        <f aca="false">IF(L179&lt;0,O178+1,0)</f>
        <v>2</v>
      </c>
      <c r="P179" s="6" t="n">
        <v>11</v>
      </c>
    </row>
    <row r="180" customFormat="false" ht="15" hidden="false" customHeight="false" outlineLevel="0" collapsed="false">
      <c r="A180" s="6" t="n">
        <v>175</v>
      </c>
      <c r="B180" s="5" t="s">
        <v>76</v>
      </c>
      <c r="C180" s="5" t="s">
        <v>25</v>
      </c>
      <c r="D180" s="11" t="n">
        <v>46241</v>
      </c>
      <c r="E180" s="11" t="n">
        <v>46276</v>
      </c>
      <c r="F180" s="5" t="s">
        <v>73</v>
      </c>
      <c r="G180" s="12" t="n">
        <v>98026.6130838549</v>
      </c>
      <c r="H180" s="13" t="n">
        <v>83.85</v>
      </c>
      <c r="I180" s="13" t="n">
        <v>108.66</v>
      </c>
      <c r="J180" s="5" t="s">
        <v>74</v>
      </c>
      <c r="K180" s="8" t="n">
        <v>14.1969044849576</v>
      </c>
      <c r="L180" s="8" t="n">
        <v>14376.1432428196</v>
      </c>
      <c r="M180" s="8" t="n">
        <f aca="false">M179+L180</f>
        <v>2103945.9517858</v>
      </c>
      <c r="N180" s="5" t="str">
        <f aca="false">IF(L180&gt;0,"прибыль",IF(L180&lt;0,"убыток","ноль"))</f>
        <v>прибыль</v>
      </c>
      <c r="O180" s="6" t="n">
        <f aca="false">IF(L180&lt;0,O179+1,0)</f>
        <v>0</v>
      </c>
      <c r="P180" s="6" t="n">
        <v>33</v>
      </c>
    </row>
    <row r="181" customFormat="false" ht="15" hidden="false" customHeight="false" outlineLevel="0" collapsed="false">
      <c r="A181" s="6" t="n">
        <v>176</v>
      </c>
      <c r="B181" s="5" t="s">
        <v>76</v>
      </c>
      <c r="C181" s="5" t="s">
        <v>25</v>
      </c>
      <c r="E181" s="11" t="n">
        <v>46298</v>
      </c>
      <c r="F181" s="5" t="s">
        <v>73</v>
      </c>
      <c r="I181" s="13" t="n">
        <v>102.44</v>
      </c>
      <c r="L181" s="8" t="n">
        <v>31940.486120292</v>
      </c>
      <c r="M181" s="8" t="n">
        <f aca="false">M180+L181</f>
        <v>2135886.43790609</v>
      </c>
      <c r="N181" s="5" t="str">
        <f aca="false">IF(L181&gt;0,"прибыль",IF(L181&lt;0,"убыток","ноль"))</f>
        <v>прибыль</v>
      </c>
      <c r="O181" s="6" t="n">
        <f aca="false">IF(L181&lt;0,O180+1,0)</f>
        <v>0</v>
      </c>
      <c r="Q181" s="5" t="s">
        <v>77</v>
      </c>
    </row>
  </sheetData>
  <autoFilter ref="A5:Q1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5" min="4" style="0" width="17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9" min="8" style="0" width="12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7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60"/>
  </cols>
  <sheetData>
    <row r="1" customFormat="false" ht="15" hidden="false" customHeight="false" outlineLevel="0" collapsed="false">
      <c r="A1" s="10" t="s">
        <v>35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A3" s="2" t="s">
        <v>54</v>
      </c>
    </row>
    <row r="5" customFormat="false" ht="30" hidden="false" customHeight="true" outlineLevel="0" collapsed="false">
      <c r="A5" s="3" t="s">
        <v>55</v>
      </c>
      <c r="B5" s="3" t="s">
        <v>56</v>
      </c>
      <c r="C5" s="3" t="s">
        <v>57</v>
      </c>
      <c r="D5" s="3" t="s">
        <v>58</v>
      </c>
      <c r="E5" s="3" t="s">
        <v>59</v>
      </c>
      <c r="F5" s="3" t="s">
        <v>60</v>
      </c>
      <c r="G5" s="3" t="s">
        <v>61</v>
      </c>
      <c r="H5" s="3" t="s">
        <v>62</v>
      </c>
      <c r="I5" s="3" t="s">
        <v>63</v>
      </c>
      <c r="J5" s="3" t="s">
        <v>64</v>
      </c>
      <c r="K5" s="3" t="s">
        <v>65</v>
      </c>
      <c r="L5" s="3" t="s">
        <v>66</v>
      </c>
      <c r="M5" s="3" t="s">
        <v>67</v>
      </c>
      <c r="N5" s="3" t="s">
        <v>68</v>
      </c>
      <c r="O5" s="3" t="s">
        <v>69</v>
      </c>
      <c r="P5" s="3" t="s">
        <v>70</v>
      </c>
      <c r="Q5" s="3" t="s">
        <v>71</v>
      </c>
    </row>
    <row r="6" customFormat="false" ht="15" hidden="false" customHeight="false" outlineLevel="0" collapsed="false">
      <c r="A6" s="6" t="n">
        <v>1</v>
      </c>
      <c r="B6" s="5" t="s">
        <v>72</v>
      </c>
      <c r="C6" s="5" t="s">
        <v>30</v>
      </c>
      <c r="D6" s="11" t="n">
        <v>44083</v>
      </c>
      <c r="E6" s="11" t="n">
        <v>44098</v>
      </c>
      <c r="F6" s="5" t="s">
        <v>73</v>
      </c>
      <c r="G6" s="12" t="n">
        <v>125056.856229903</v>
      </c>
      <c r="H6" s="13" t="n">
        <v>2.358</v>
      </c>
      <c r="I6" s="13" t="n">
        <v>2.199</v>
      </c>
      <c r="K6" s="8" t="n">
        <v>20.1081219555215</v>
      </c>
      <c r="L6" s="8" t="n">
        <v>-9065.19145836169</v>
      </c>
      <c r="M6" s="8" t="n">
        <f aca="false">L6</f>
        <v>-9065.19145836169</v>
      </c>
      <c r="N6" s="5" t="str">
        <f aca="false">IF(L6&gt;0,"прибыль",IF(L6&lt;0,"убыток","ноль"))</f>
        <v>убыток</v>
      </c>
      <c r="O6" s="6" t="n">
        <f aca="false">IF(L6&lt;0,1,0)</f>
        <v>1</v>
      </c>
      <c r="P6" s="6" t="n">
        <v>11</v>
      </c>
    </row>
    <row r="7" customFormat="false" ht="15" hidden="false" customHeight="false" outlineLevel="0" collapsed="false">
      <c r="A7" s="6" t="n">
        <v>2</v>
      </c>
      <c r="B7" s="5" t="s">
        <v>72</v>
      </c>
      <c r="C7" s="5" t="s">
        <v>30</v>
      </c>
      <c r="D7" s="11" t="n">
        <v>44098</v>
      </c>
      <c r="E7" s="11" t="n">
        <v>44103</v>
      </c>
      <c r="F7" s="5" t="s">
        <v>73</v>
      </c>
      <c r="G7" s="12" t="n">
        <v>161093.809987031</v>
      </c>
      <c r="H7" s="13" t="n">
        <v>2.199</v>
      </c>
      <c r="I7" s="13" t="n">
        <v>2.768</v>
      </c>
      <c r="J7" s="5" t="s">
        <v>74</v>
      </c>
      <c r="K7" s="8" t="n">
        <v>14.7258654767592</v>
      </c>
      <c r="L7" s="8" t="n">
        <v>-15812.2490711589</v>
      </c>
      <c r="M7" s="8" t="n">
        <f aca="false">M6+L7</f>
        <v>-24877.4405295206</v>
      </c>
      <c r="N7" s="5" t="str">
        <f aca="false">IF(L7&gt;0,"прибыль",IF(L7&lt;0,"убыток","ноль"))</f>
        <v>убыток</v>
      </c>
      <c r="O7" s="6" t="n">
        <f aca="false">IF(L7&lt;0,O6+1,0)</f>
        <v>2</v>
      </c>
      <c r="P7" s="6" t="n">
        <v>3</v>
      </c>
    </row>
    <row r="8" customFormat="false" ht="15" hidden="false" customHeight="false" outlineLevel="0" collapsed="false">
      <c r="A8" s="6" t="n">
        <v>3</v>
      </c>
      <c r="B8" s="5" t="s">
        <v>72</v>
      </c>
      <c r="C8" s="5" t="s">
        <v>30</v>
      </c>
      <c r="D8" s="11" t="n">
        <v>44103</v>
      </c>
      <c r="E8" s="11" t="n">
        <v>44232</v>
      </c>
      <c r="F8" s="5" t="s">
        <v>75</v>
      </c>
      <c r="G8" s="12" t="n">
        <v>81810.4415570925</v>
      </c>
      <c r="H8" s="13" t="n">
        <v>2.768</v>
      </c>
      <c r="I8" s="13" t="n">
        <v>2.968</v>
      </c>
      <c r="J8" s="5" t="s">
        <v>74</v>
      </c>
      <c r="K8" s="8" t="n">
        <v>13.7662798914059</v>
      </c>
      <c r="L8" s="8" t="n">
        <v>9402.24244138262</v>
      </c>
      <c r="M8" s="8" t="n">
        <f aca="false">M7+L8</f>
        <v>-15475.198088138</v>
      </c>
      <c r="N8" s="5" t="str">
        <f aca="false">IF(L8&gt;0,"прибыль",IF(L8&lt;0,"убыток","ноль"))</f>
        <v>прибыль</v>
      </c>
      <c r="O8" s="6" t="n">
        <f aca="false">IF(L8&lt;0,O7+1,0)</f>
        <v>0</v>
      </c>
      <c r="P8" s="6" t="n">
        <v>89</v>
      </c>
    </row>
    <row r="9" customFormat="false" ht="15" hidden="false" customHeight="false" outlineLevel="0" collapsed="false">
      <c r="A9" s="6" t="n">
        <v>4</v>
      </c>
      <c r="B9" s="5" t="s">
        <v>72</v>
      </c>
      <c r="C9" s="5" t="s">
        <v>30</v>
      </c>
      <c r="D9" s="11" t="n">
        <v>44232</v>
      </c>
      <c r="E9" s="11" t="n">
        <v>44335</v>
      </c>
      <c r="F9" s="5" t="s">
        <v>75</v>
      </c>
      <c r="G9" s="12" t="n">
        <v>160138.090369447</v>
      </c>
      <c r="H9" s="13" t="n">
        <v>2.968</v>
      </c>
      <c r="I9" s="13" t="n">
        <v>3.003</v>
      </c>
      <c r="J9" s="5" t="s">
        <v>74</v>
      </c>
      <c r="K9" s="8" t="n">
        <v>26.6874847630528</v>
      </c>
      <c r="L9" s="8" t="n">
        <v>2960.27726844703</v>
      </c>
      <c r="M9" s="8" t="n">
        <f aca="false">M8+L9</f>
        <v>-12514.920819691</v>
      </c>
      <c r="N9" s="5" t="str">
        <f aca="false">IF(L9&gt;0,"прибыль",IF(L9&lt;0,"убыток","ноль"))</f>
        <v>прибыль</v>
      </c>
      <c r="O9" s="6" t="n">
        <f aca="false">IF(L9&lt;0,O8+1,0)</f>
        <v>0</v>
      </c>
      <c r="P9" s="6" t="n">
        <v>71</v>
      </c>
    </row>
    <row r="10" customFormat="false" ht="15" hidden="false" customHeight="false" outlineLevel="0" collapsed="false">
      <c r="A10" s="6" t="n">
        <v>5</v>
      </c>
      <c r="B10" s="5" t="s">
        <v>72</v>
      </c>
      <c r="C10" s="5" t="s">
        <v>30</v>
      </c>
      <c r="D10" s="11" t="n">
        <v>44335</v>
      </c>
      <c r="E10" s="11" t="n">
        <v>44349</v>
      </c>
      <c r="F10" s="5" t="s">
        <v>75</v>
      </c>
      <c r="G10" s="12" t="n">
        <v>486802.225464413</v>
      </c>
      <c r="H10" s="13" t="n">
        <v>3.003</v>
      </c>
      <c r="I10" s="13" t="n">
        <v>3.092</v>
      </c>
      <c r="J10" s="5" t="s">
        <v>74</v>
      </c>
      <c r="K10" s="8" t="n">
        <v>49.3136328374091</v>
      </c>
      <c r="L10" s="8" t="n">
        <v>12015.8339523937</v>
      </c>
      <c r="M10" s="8" t="n">
        <f aca="false">M9+L10</f>
        <v>-499.086867297239</v>
      </c>
      <c r="N10" s="5" t="str">
        <f aca="false">IF(L10&gt;0,"прибыль",IF(L10&lt;0,"убыток","ноль"))</f>
        <v>прибыль</v>
      </c>
      <c r="O10" s="6" t="n">
        <f aca="false">IF(L10&lt;0,O9+1,0)</f>
        <v>0</v>
      </c>
      <c r="P10" s="6" t="n">
        <v>10</v>
      </c>
    </row>
    <row r="11" customFormat="false" ht="15" hidden="false" customHeight="false" outlineLevel="0" collapsed="false">
      <c r="A11" s="6" t="n">
        <v>6</v>
      </c>
      <c r="B11" s="5" t="s">
        <v>72</v>
      </c>
      <c r="C11" s="5" t="s">
        <v>30</v>
      </c>
      <c r="D11" s="11" t="n">
        <v>44349</v>
      </c>
      <c r="E11" s="11" t="n">
        <v>44384</v>
      </c>
      <c r="F11" s="5" t="s">
        <v>73</v>
      </c>
      <c r="G11" s="12" t="n">
        <v>118003.197439952</v>
      </c>
      <c r="H11" s="13" t="n">
        <v>3.092</v>
      </c>
      <c r="I11" s="13" t="n">
        <v>3.679</v>
      </c>
      <c r="J11" s="5" t="s">
        <v>74</v>
      </c>
      <c r="K11" s="8" t="n">
        <v>6.84611155206818</v>
      </c>
      <c r="L11" s="8" t="n">
        <v>18912.1874898592</v>
      </c>
      <c r="M11" s="8" t="n">
        <f aca="false">M10+L11</f>
        <v>18413.100622562</v>
      </c>
      <c r="N11" s="5" t="str">
        <f aca="false">IF(L11&gt;0,"прибыль",IF(L11&lt;0,"убыток","ноль"))</f>
        <v>прибыль</v>
      </c>
      <c r="O11" s="6" t="n">
        <f aca="false">IF(L11&lt;0,O10+1,0)</f>
        <v>0</v>
      </c>
      <c r="P11" s="6" t="n">
        <v>25</v>
      </c>
    </row>
    <row r="12" customFormat="false" ht="15" hidden="false" customHeight="false" outlineLevel="0" collapsed="false">
      <c r="A12" s="6" t="n">
        <v>7</v>
      </c>
      <c r="B12" s="5" t="s">
        <v>72</v>
      </c>
      <c r="C12" s="5" t="s">
        <v>30</v>
      </c>
      <c r="D12" s="11" t="n">
        <v>44384</v>
      </c>
      <c r="E12" s="11" t="n">
        <v>44435</v>
      </c>
      <c r="F12" s="5" t="s">
        <v>73</v>
      </c>
      <c r="G12" s="12" t="n">
        <v>112751.241262179</v>
      </c>
      <c r="H12" s="13" t="n">
        <v>3.679</v>
      </c>
      <c r="I12" s="13" t="n">
        <v>4.184</v>
      </c>
      <c r="J12" s="5" t="s">
        <v>74</v>
      </c>
      <c r="K12" s="8" t="n">
        <v>7.49999402887515</v>
      </c>
      <c r="L12" s="8" t="n">
        <v>37241.1393212949</v>
      </c>
      <c r="M12" s="8" t="n">
        <f aca="false">M11+L12</f>
        <v>55654.2399438569</v>
      </c>
      <c r="N12" s="5" t="str">
        <f aca="false">IF(L12&gt;0,"прибыль",IF(L12&lt;0,"убыток","ноль"))</f>
        <v>прибыль</v>
      </c>
      <c r="O12" s="6" t="n">
        <f aca="false">IF(L12&lt;0,O11+1,0)</f>
        <v>0</v>
      </c>
      <c r="P12" s="6" t="n">
        <v>37</v>
      </c>
    </row>
    <row r="13" customFormat="false" ht="15" hidden="false" customHeight="false" outlineLevel="0" collapsed="false">
      <c r="A13" s="6" t="n">
        <v>8</v>
      </c>
      <c r="B13" s="5" t="s">
        <v>72</v>
      </c>
      <c r="C13" s="5" t="s">
        <v>30</v>
      </c>
      <c r="D13" s="11" t="n">
        <v>44435</v>
      </c>
      <c r="E13" s="11" t="n">
        <v>44448</v>
      </c>
      <c r="F13" s="5" t="s">
        <v>73</v>
      </c>
      <c r="G13" s="12" t="n">
        <v>69904.1986428466</v>
      </c>
      <c r="H13" s="13" t="n">
        <v>4.184</v>
      </c>
      <c r="I13" s="13" t="n">
        <v>4.924</v>
      </c>
      <c r="J13" s="5" t="s">
        <v>74</v>
      </c>
      <c r="K13" s="8" t="n">
        <v>5.19657021902101</v>
      </c>
      <c r="L13" s="8" t="n">
        <v>34022.0091673545</v>
      </c>
      <c r="M13" s="8" t="n">
        <f aca="false">M12+L13</f>
        <v>89676.2491112114</v>
      </c>
      <c r="N13" s="5" t="str">
        <f aca="false">IF(L13&gt;0,"прибыль",IF(L13&lt;0,"убыток","ноль"))</f>
        <v>прибыль</v>
      </c>
      <c r="O13" s="6" t="n">
        <f aca="false">IF(L13&lt;0,O12+1,0)</f>
        <v>0</v>
      </c>
      <c r="P13" s="6" t="n">
        <v>9</v>
      </c>
    </row>
    <row r="14" customFormat="false" ht="15" hidden="false" customHeight="false" outlineLevel="0" collapsed="false">
      <c r="A14" s="6" t="n">
        <v>9</v>
      </c>
      <c r="B14" s="5" t="s">
        <v>72</v>
      </c>
      <c r="C14" s="5" t="s">
        <v>30</v>
      </c>
      <c r="D14" s="11" t="n">
        <v>44448</v>
      </c>
      <c r="E14" s="11" t="n">
        <v>44467</v>
      </c>
      <c r="F14" s="5" t="s">
        <v>73</v>
      </c>
      <c r="G14" s="12" t="n">
        <v>66036.7339160893</v>
      </c>
      <c r="H14" s="13" t="n">
        <v>4.924</v>
      </c>
      <c r="I14" s="13" t="n">
        <v>5.707</v>
      </c>
      <c r="K14" s="8" t="n">
        <v>5.68758038740354</v>
      </c>
      <c r="L14" s="8" t="n">
        <v>47709.1862515942</v>
      </c>
      <c r="M14" s="8" t="n">
        <f aca="false">M13+L14</f>
        <v>137385.435362806</v>
      </c>
      <c r="N14" s="5" t="str">
        <f aca="false">IF(L14&gt;0,"прибыль",IF(L14&lt;0,"убыток","ноль"))</f>
        <v>прибыль</v>
      </c>
      <c r="O14" s="6" t="n">
        <f aca="false">IF(L14&lt;0,O13+1,0)</f>
        <v>0</v>
      </c>
      <c r="P14" s="6" t="n">
        <v>13</v>
      </c>
    </row>
    <row r="15" customFormat="false" ht="15" hidden="false" customHeight="false" outlineLevel="0" collapsed="false">
      <c r="A15" s="6" t="n">
        <v>10</v>
      </c>
      <c r="B15" s="5" t="s">
        <v>72</v>
      </c>
      <c r="C15" s="5" t="s">
        <v>30</v>
      </c>
      <c r="D15" s="11" t="n">
        <v>44467</v>
      </c>
      <c r="E15" s="11" t="n">
        <v>44474</v>
      </c>
      <c r="F15" s="5" t="s">
        <v>73</v>
      </c>
      <c r="G15" s="12" t="n">
        <v>32120.3384930114</v>
      </c>
      <c r="H15" s="13" t="n">
        <v>5.707</v>
      </c>
      <c r="I15" s="13" t="n">
        <v>5.82</v>
      </c>
      <c r="J15" s="5" t="s">
        <v>74</v>
      </c>
      <c r="K15" s="8" t="n">
        <v>2.76832650409442</v>
      </c>
      <c r="L15" s="8" t="n">
        <v>23243.423262373</v>
      </c>
      <c r="M15" s="8" t="n">
        <f aca="false">M14+L15</f>
        <v>160628.858625179</v>
      </c>
      <c r="N15" s="5" t="str">
        <f aca="false">IF(L15&gt;0,"прибыль",IF(L15&lt;0,"убыток","ноль"))</f>
        <v>прибыль</v>
      </c>
      <c r="O15" s="6" t="n">
        <f aca="false">IF(L15&lt;0,O14+1,0)</f>
        <v>0</v>
      </c>
      <c r="P15" s="6" t="n">
        <v>5</v>
      </c>
    </row>
    <row r="16" customFormat="false" ht="15" hidden="false" customHeight="false" outlineLevel="0" collapsed="false">
      <c r="A16" s="6" t="n">
        <v>11</v>
      </c>
      <c r="B16" s="5" t="s">
        <v>72</v>
      </c>
      <c r="C16" s="5" t="s">
        <v>30</v>
      </c>
      <c r="D16" s="11" t="n">
        <v>44474</v>
      </c>
      <c r="E16" s="11" t="n">
        <v>44495</v>
      </c>
      <c r="F16" s="5" t="s">
        <v>73</v>
      </c>
      <c r="G16" s="12" t="n">
        <v>22952.4270998812</v>
      </c>
      <c r="H16" s="13" t="n">
        <v>5.82</v>
      </c>
      <c r="I16" s="13" t="n">
        <v>6</v>
      </c>
      <c r="K16" s="8" t="n">
        <v>2.03829173441457</v>
      </c>
      <c r="L16" s="8" t="n">
        <v>17811.3692966757</v>
      </c>
      <c r="M16" s="8" t="n">
        <f aca="false">M15+L16</f>
        <v>178440.227921854</v>
      </c>
      <c r="N16" s="5" t="str">
        <f aca="false">IF(L16&gt;0,"прибыль",IF(L16&lt;0,"убыток","ноль"))</f>
        <v>прибыль</v>
      </c>
      <c r="O16" s="6" t="n">
        <f aca="false">IF(L16&lt;0,O15+1,0)</f>
        <v>0</v>
      </c>
      <c r="P16" s="6" t="n">
        <v>15</v>
      </c>
    </row>
    <row r="17" customFormat="false" ht="15" hidden="false" customHeight="false" outlineLevel="0" collapsed="false">
      <c r="A17" s="6" t="n">
        <v>12</v>
      </c>
      <c r="B17" s="5" t="s">
        <v>72</v>
      </c>
      <c r="C17" s="5" t="s">
        <v>30</v>
      </c>
      <c r="D17" s="11" t="n">
        <v>44495</v>
      </c>
      <c r="E17" s="11" t="n">
        <v>44539</v>
      </c>
      <c r="F17" s="5" t="s">
        <v>73</v>
      </c>
      <c r="G17" s="12" t="n">
        <v>187547.729525055</v>
      </c>
      <c r="H17" s="13" t="n">
        <v>6</v>
      </c>
      <c r="I17" s="13" t="n">
        <v>3.816</v>
      </c>
      <c r="J17" s="5" t="s">
        <v>74</v>
      </c>
      <c r="K17" s="8" t="n">
        <v>22.5746364088414</v>
      </c>
      <c r="L17" s="8" t="n">
        <v>-23058.8793436917</v>
      </c>
      <c r="M17" s="8" t="n">
        <f aca="false">M16+L17</f>
        <v>155381.348578163</v>
      </c>
      <c r="N17" s="5" t="str">
        <f aca="false">IF(L17&gt;0,"прибыль",IF(L17&lt;0,"убыток","ноль"))</f>
        <v>убыток</v>
      </c>
      <c r="O17" s="6" t="n">
        <f aca="false">IF(L17&lt;0,O16+1,0)</f>
        <v>1</v>
      </c>
      <c r="P17" s="6" t="n">
        <v>31</v>
      </c>
    </row>
    <row r="18" customFormat="false" ht="15" hidden="false" customHeight="false" outlineLevel="0" collapsed="false">
      <c r="A18" s="6" t="n">
        <v>13</v>
      </c>
      <c r="B18" s="5" t="s">
        <v>72</v>
      </c>
      <c r="C18" s="5" t="s">
        <v>30</v>
      </c>
      <c r="D18" s="11" t="n">
        <v>44539</v>
      </c>
      <c r="E18" s="11" t="n">
        <v>44574</v>
      </c>
      <c r="F18" s="5" t="s">
        <v>75</v>
      </c>
      <c r="G18" s="12" t="n">
        <v>94672.3613297395</v>
      </c>
      <c r="H18" s="13" t="n">
        <v>3.816</v>
      </c>
      <c r="I18" s="13" t="n">
        <v>4.817</v>
      </c>
      <c r="J18" s="5" t="s">
        <v>74</v>
      </c>
      <c r="K18" s="8" t="n">
        <v>8.83372310085364</v>
      </c>
      <c r="L18" s="8" t="n">
        <v>-32806.1048059855</v>
      </c>
      <c r="M18" s="8" t="n">
        <f aca="false">M17+L18</f>
        <v>122575.243772177</v>
      </c>
      <c r="N18" s="5" t="str">
        <f aca="false">IF(L18&gt;0,"прибыль",IF(L18&lt;0,"убыток","ноль"))</f>
        <v>убыток</v>
      </c>
      <c r="O18" s="6" t="n">
        <f aca="false">IF(L18&lt;0,O17+1,0)</f>
        <v>2</v>
      </c>
      <c r="P18" s="6" t="n">
        <v>24</v>
      </c>
    </row>
    <row r="19" customFormat="false" ht="15" hidden="false" customHeight="false" outlineLevel="0" collapsed="false">
      <c r="A19" s="6" t="n">
        <v>14</v>
      </c>
      <c r="B19" s="5" t="s">
        <v>72</v>
      </c>
      <c r="C19" s="5" t="s">
        <v>30</v>
      </c>
      <c r="D19" s="11" t="n">
        <v>44574</v>
      </c>
      <c r="E19" s="11" t="n">
        <v>44595</v>
      </c>
      <c r="F19" s="5" t="s">
        <v>75</v>
      </c>
      <c r="G19" s="12" t="n">
        <v>33368.2954875989</v>
      </c>
      <c r="H19" s="13" t="n">
        <v>4.817</v>
      </c>
      <c r="I19" s="13" t="n">
        <v>5.433</v>
      </c>
      <c r="J19" s="5" t="s">
        <v>74</v>
      </c>
      <c r="K19" s="8" t="n">
        <v>2.48761326538433</v>
      </c>
      <c r="L19" s="8" t="n">
        <v>-16386.457433353</v>
      </c>
      <c r="M19" s="8" t="n">
        <f aca="false">M18+L19</f>
        <v>106188.786338824</v>
      </c>
      <c r="N19" s="5" t="str">
        <f aca="false">IF(L19&gt;0,"прибыль",IF(L19&lt;0,"убыток","ноль"))</f>
        <v>убыток</v>
      </c>
      <c r="O19" s="6" t="n">
        <f aca="false">IF(L19&lt;0,O18+1,0)</f>
        <v>3</v>
      </c>
      <c r="P19" s="6" t="n">
        <v>15</v>
      </c>
    </row>
    <row r="20" customFormat="false" ht="15" hidden="false" customHeight="false" outlineLevel="0" collapsed="false">
      <c r="A20" s="6" t="n">
        <v>15</v>
      </c>
      <c r="B20" s="5" t="s">
        <v>72</v>
      </c>
      <c r="C20" s="5" t="s">
        <v>30</v>
      </c>
      <c r="D20" s="11" t="n">
        <v>44595</v>
      </c>
      <c r="E20" s="11" t="n">
        <v>44652</v>
      </c>
      <c r="F20" s="5" t="s">
        <v>75</v>
      </c>
      <c r="G20" s="12" t="n">
        <v>192038.690365299</v>
      </c>
      <c r="H20" s="13" t="n">
        <v>5.433</v>
      </c>
      <c r="I20" s="13" t="n">
        <v>5.456</v>
      </c>
      <c r="J20" s="5" t="s">
        <v>74</v>
      </c>
      <c r="K20" s="8" t="n">
        <v>34.0346575165374</v>
      </c>
      <c r="L20" s="8" t="n">
        <v>-89415.0911026432</v>
      </c>
      <c r="M20" s="8" t="n">
        <f aca="false">M19+L20</f>
        <v>16773.6952361809</v>
      </c>
      <c r="N20" s="5" t="str">
        <f aca="false">IF(L20&gt;0,"прибыль",IF(L20&lt;0,"убыток","ноль"))</f>
        <v>убыток</v>
      </c>
      <c r="O20" s="6" t="n">
        <f aca="false">IF(L20&lt;0,O19+1,0)</f>
        <v>4</v>
      </c>
      <c r="P20" s="6" t="n">
        <v>37</v>
      </c>
    </row>
    <row r="21" customFormat="false" ht="15" hidden="false" customHeight="false" outlineLevel="0" collapsed="false">
      <c r="A21" s="6" t="n">
        <v>16</v>
      </c>
      <c r="B21" s="5" t="s">
        <v>72</v>
      </c>
      <c r="C21" s="5" t="s">
        <v>30</v>
      </c>
      <c r="D21" s="11" t="n">
        <v>44652</v>
      </c>
      <c r="E21" s="11" t="n">
        <v>44670</v>
      </c>
      <c r="F21" s="5" t="s">
        <v>73</v>
      </c>
      <c r="G21" s="12" t="n">
        <v>92875.5010761974</v>
      </c>
      <c r="H21" s="13" t="n">
        <v>5.456</v>
      </c>
      <c r="I21" s="13" t="n">
        <v>7.2</v>
      </c>
      <c r="K21" s="8" t="n">
        <v>9.82405026349874</v>
      </c>
      <c r="L21" s="8" t="n">
        <v>28168.7955221948</v>
      </c>
      <c r="M21" s="8" t="n">
        <f aca="false">M20+L21</f>
        <v>44942.4907583757</v>
      </c>
      <c r="N21" s="5" t="str">
        <f aca="false">IF(L21&gt;0,"прибыль",IF(L21&lt;0,"убыток","ноль"))</f>
        <v>прибыль</v>
      </c>
      <c r="O21" s="6" t="n">
        <f aca="false">IF(L21&lt;0,O20+1,0)</f>
        <v>0</v>
      </c>
      <c r="P21" s="6" t="n">
        <v>12</v>
      </c>
    </row>
    <row r="22" customFormat="false" ht="15" hidden="false" customHeight="false" outlineLevel="0" collapsed="false">
      <c r="A22" s="6" t="n">
        <v>17</v>
      </c>
      <c r="B22" s="5" t="s">
        <v>72</v>
      </c>
      <c r="C22" s="5" t="s">
        <v>30</v>
      </c>
      <c r="D22" s="11" t="n">
        <v>44670</v>
      </c>
      <c r="E22" s="11" t="n">
        <v>44678</v>
      </c>
      <c r="F22" s="5" t="s">
        <v>73</v>
      </c>
      <c r="G22" s="12" t="n">
        <v>79896.2638740813</v>
      </c>
      <c r="H22" s="13" t="n">
        <v>7.2</v>
      </c>
      <c r="I22" s="13" t="n">
        <v>6.849</v>
      </c>
      <c r="K22" s="8" t="n">
        <v>4.95056523731711</v>
      </c>
      <c r="L22" s="8" t="n">
        <v>19110.0903070235</v>
      </c>
      <c r="M22" s="8" t="n">
        <f aca="false">M21+L22</f>
        <v>64052.5810653992</v>
      </c>
      <c r="N22" s="5" t="str">
        <f aca="false">IF(L22&gt;0,"прибыль",IF(L22&lt;0,"убыток","ноль"))</f>
        <v>прибыль</v>
      </c>
      <c r="O22" s="6" t="n">
        <f aca="false">IF(L22&lt;0,O21+1,0)</f>
        <v>0</v>
      </c>
      <c r="P22" s="6" t="n">
        <v>6</v>
      </c>
    </row>
    <row r="23" customFormat="false" ht="15" hidden="false" customHeight="false" outlineLevel="0" collapsed="false">
      <c r="A23" s="6" t="n">
        <v>18</v>
      </c>
      <c r="B23" s="5" t="s">
        <v>72</v>
      </c>
      <c r="C23" s="5" t="s">
        <v>30</v>
      </c>
      <c r="D23" s="11" t="n">
        <v>44678</v>
      </c>
      <c r="E23" s="11" t="n">
        <v>44686</v>
      </c>
      <c r="F23" s="5" t="s">
        <v>73</v>
      </c>
      <c r="G23" s="12" t="n">
        <v>58285.3718057602</v>
      </c>
      <c r="H23" s="13" t="n">
        <v>6.849</v>
      </c>
      <c r="I23" s="13" t="n">
        <v>7.65</v>
      </c>
      <c r="J23" s="5" t="s">
        <v>74</v>
      </c>
      <c r="K23" s="8" t="n">
        <v>3.88994268479363</v>
      </c>
      <c r="L23" s="8" t="n">
        <v>19509.5919474277</v>
      </c>
      <c r="M23" s="8" t="n">
        <f aca="false">M22+L23</f>
        <v>83562.1730128269</v>
      </c>
      <c r="N23" s="5" t="str">
        <f aca="false">IF(L23&gt;0,"прибыль",IF(L23&lt;0,"убыток","ноль"))</f>
        <v>прибыль</v>
      </c>
      <c r="O23" s="6" t="n">
        <f aca="false">IF(L23&lt;0,O22+1,0)</f>
        <v>0</v>
      </c>
      <c r="P23" s="6" t="n">
        <v>4</v>
      </c>
    </row>
    <row r="24" customFormat="false" ht="15" hidden="false" customHeight="false" outlineLevel="0" collapsed="false">
      <c r="A24" s="6" t="n">
        <v>19</v>
      </c>
      <c r="B24" s="5" t="s">
        <v>72</v>
      </c>
      <c r="C24" s="5" t="s">
        <v>30</v>
      </c>
      <c r="D24" s="11" t="n">
        <v>44686</v>
      </c>
      <c r="E24" s="11" t="n">
        <v>44727</v>
      </c>
      <c r="F24" s="5" t="s">
        <v>73</v>
      </c>
      <c r="G24" s="12" t="n">
        <v>52158.0898437385</v>
      </c>
      <c r="H24" s="13" t="n">
        <v>7.65</v>
      </c>
      <c r="I24" s="13" t="n">
        <v>7.513</v>
      </c>
      <c r="J24" s="5" t="s">
        <v>74</v>
      </c>
      <c r="K24" s="8" t="n">
        <v>7.28618686482577</v>
      </c>
      <c r="L24" s="8" t="n">
        <v>8721.29378389972</v>
      </c>
      <c r="M24" s="8" t="n">
        <f aca="false">M23+L24</f>
        <v>92283.4667967267</v>
      </c>
      <c r="N24" s="5" t="str">
        <f aca="false">IF(L24&gt;0,"прибыль",IF(L24&lt;0,"убыток","ноль"))</f>
        <v>прибыль</v>
      </c>
      <c r="O24" s="6" t="n">
        <f aca="false">IF(L24&lt;0,O23+1,0)</f>
        <v>0</v>
      </c>
      <c r="P24" s="6" t="n">
        <v>26</v>
      </c>
    </row>
    <row r="25" customFormat="false" ht="15" hidden="false" customHeight="false" outlineLevel="0" collapsed="false">
      <c r="A25" s="6" t="n">
        <v>20</v>
      </c>
      <c r="B25" s="5" t="s">
        <v>72</v>
      </c>
      <c r="C25" s="5" t="s">
        <v>30</v>
      </c>
      <c r="D25" s="11" t="n">
        <v>44727</v>
      </c>
      <c r="E25" s="11" t="n">
        <v>44760</v>
      </c>
      <c r="F25" s="5" t="s">
        <v>73</v>
      </c>
      <c r="G25" s="12" t="n">
        <v>50731.2227428086</v>
      </c>
      <c r="H25" s="13" t="n">
        <v>7.513</v>
      </c>
      <c r="I25" s="13" t="n">
        <v>6.99</v>
      </c>
      <c r="J25" s="5" t="s">
        <v>74</v>
      </c>
      <c r="K25" s="8" t="n">
        <v>4.7880684218994</v>
      </c>
      <c r="L25" s="8" t="n">
        <v>1979.15502538159</v>
      </c>
      <c r="M25" s="8" t="n">
        <f aca="false">M24+L25</f>
        <v>94262.6218221083</v>
      </c>
      <c r="N25" s="5" t="str">
        <f aca="false">IF(L25&gt;0,"прибыль",IF(L25&lt;0,"убыток","ноль"))</f>
        <v>прибыль</v>
      </c>
      <c r="O25" s="6" t="n">
        <f aca="false">IF(L25&lt;0,O24+1,0)</f>
        <v>0</v>
      </c>
      <c r="P25" s="6" t="n">
        <v>23</v>
      </c>
    </row>
    <row r="26" customFormat="false" ht="15" hidden="false" customHeight="false" outlineLevel="0" collapsed="false">
      <c r="A26" s="6" t="n">
        <v>21</v>
      </c>
      <c r="B26" s="5" t="s">
        <v>72</v>
      </c>
      <c r="C26" s="5" t="s">
        <v>30</v>
      </c>
      <c r="D26" s="11" t="n">
        <v>44760</v>
      </c>
      <c r="E26" s="11" t="n">
        <v>44769</v>
      </c>
      <c r="F26" s="5" t="s">
        <v>73</v>
      </c>
      <c r="G26" s="12" t="n">
        <v>40209.2211377208</v>
      </c>
      <c r="H26" s="13" t="n">
        <v>6.99</v>
      </c>
      <c r="I26" s="13" t="n">
        <v>8.993</v>
      </c>
      <c r="K26" s="8" t="n">
        <v>2.68778040951378</v>
      </c>
      <c r="L26" s="8" t="n">
        <v>13543.6992721453</v>
      </c>
      <c r="M26" s="8" t="n">
        <f aca="false">M25+L26</f>
        <v>107806.321094254</v>
      </c>
      <c r="N26" s="5" t="str">
        <f aca="false">IF(L26&gt;0,"прибыль",IF(L26&lt;0,"убыток","ноль"))</f>
        <v>прибыль</v>
      </c>
      <c r="O26" s="6" t="n">
        <f aca="false">IF(L26&lt;0,O25+1,0)</f>
        <v>0</v>
      </c>
      <c r="P26" s="6" t="n">
        <v>7</v>
      </c>
    </row>
    <row r="27" customFormat="false" ht="15" hidden="false" customHeight="false" outlineLevel="0" collapsed="false">
      <c r="A27" s="6" t="n">
        <v>22</v>
      </c>
      <c r="B27" s="5" t="s">
        <v>72</v>
      </c>
      <c r="C27" s="5" t="s">
        <v>30</v>
      </c>
      <c r="D27" s="11" t="n">
        <v>44769</v>
      </c>
      <c r="E27" s="11" t="n">
        <v>44845</v>
      </c>
      <c r="F27" s="5" t="s">
        <v>73</v>
      </c>
      <c r="G27" s="12" t="n">
        <v>251563.510901418</v>
      </c>
      <c r="H27" s="13" t="n">
        <v>8.993</v>
      </c>
      <c r="I27" s="13" t="n">
        <v>6.635</v>
      </c>
      <c r="J27" s="5" t="s">
        <v>74</v>
      </c>
      <c r="K27" s="8" t="n">
        <v>28.8760381640339</v>
      </c>
      <c r="L27" s="8" t="n">
        <v>-36127.3706251365</v>
      </c>
      <c r="M27" s="8" t="n">
        <f aca="false">M26+L27</f>
        <v>71678.9504691171</v>
      </c>
      <c r="N27" s="5" t="str">
        <f aca="false">IF(L27&gt;0,"прибыль",IF(L27&lt;0,"убыток","ноль"))</f>
        <v>убыток</v>
      </c>
      <c r="O27" s="6" t="n">
        <f aca="false">IF(L27&lt;0,O26+1,0)</f>
        <v>1</v>
      </c>
      <c r="P27" s="6" t="n">
        <v>54</v>
      </c>
    </row>
    <row r="28" customFormat="false" ht="15" hidden="false" customHeight="false" outlineLevel="0" collapsed="false">
      <c r="A28" s="6" t="n">
        <v>23</v>
      </c>
      <c r="B28" s="5" t="s">
        <v>72</v>
      </c>
      <c r="C28" s="5" t="s">
        <v>30</v>
      </c>
      <c r="D28" s="11" t="n">
        <v>44845</v>
      </c>
      <c r="E28" s="11" t="n">
        <v>44860</v>
      </c>
      <c r="F28" s="5" t="s">
        <v>75</v>
      </c>
      <c r="G28" s="12" t="n">
        <v>129981.404104163</v>
      </c>
      <c r="H28" s="13" t="n">
        <v>6.635</v>
      </c>
      <c r="I28" s="13" t="n">
        <v>5.709</v>
      </c>
      <c r="K28" s="8" t="n">
        <v>12.7392909900107</v>
      </c>
      <c r="L28" s="8" t="n">
        <v>13357.3764753401</v>
      </c>
      <c r="M28" s="8" t="n">
        <f aca="false">M27+L28</f>
        <v>85036.3269444571</v>
      </c>
      <c r="N28" s="5" t="str">
        <f aca="false">IF(L28&gt;0,"прибыль",IF(L28&lt;0,"убыток","ноль"))</f>
        <v>прибыль</v>
      </c>
      <c r="O28" s="6" t="n">
        <f aca="false">IF(L28&lt;0,O27+1,0)</f>
        <v>0</v>
      </c>
      <c r="P28" s="6" t="n">
        <v>11</v>
      </c>
    </row>
    <row r="29" customFormat="false" ht="15" hidden="false" customHeight="false" outlineLevel="0" collapsed="false">
      <c r="A29" s="6" t="n">
        <v>24</v>
      </c>
      <c r="B29" s="5" t="s">
        <v>72</v>
      </c>
      <c r="C29" s="5" t="s">
        <v>30</v>
      </c>
      <c r="D29" s="11" t="n">
        <v>44860</v>
      </c>
      <c r="E29" s="11" t="n">
        <v>44873</v>
      </c>
      <c r="F29" s="5" t="s">
        <v>75</v>
      </c>
      <c r="G29" s="12" t="n">
        <v>89921.6063220849</v>
      </c>
      <c r="H29" s="13" t="n">
        <v>5.709</v>
      </c>
      <c r="I29" s="13" t="n">
        <v>6.75</v>
      </c>
      <c r="J29" s="5" t="s">
        <v>74</v>
      </c>
      <c r="K29" s="8" t="n">
        <v>4.46869020404932</v>
      </c>
      <c r="L29" s="8" t="n">
        <v>543.333550894404</v>
      </c>
      <c r="M29" s="8" t="n">
        <f aca="false">M28+L29</f>
        <v>85579.6604953515</v>
      </c>
      <c r="N29" s="5" t="str">
        <f aca="false">IF(L29&gt;0,"прибыль",IF(L29&lt;0,"убыток","ноль"))</f>
        <v>прибыль</v>
      </c>
      <c r="O29" s="6" t="n">
        <f aca="false">IF(L29&lt;0,O28+1,0)</f>
        <v>0</v>
      </c>
      <c r="P29" s="6" t="n">
        <v>8</v>
      </c>
    </row>
    <row r="30" customFormat="false" ht="15" hidden="false" customHeight="false" outlineLevel="0" collapsed="false">
      <c r="A30" s="6" t="n">
        <v>25</v>
      </c>
      <c r="B30" s="5" t="s">
        <v>72</v>
      </c>
      <c r="C30" s="5" t="s">
        <v>30</v>
      </c>
      <c r="D30" s="11" t="n">
        <v>44873</v>
      </c>
      <c r="E30" s="11" t="n">
        <v>44911</v>
      </c>
      <c r="F30" s="5" t="s">
        <v>75</v>
      </c>
      <c r="G30" s="12" t="n">
        <v>65058.7343638153</v>
      </c>
      <c r="H30" s="13" t="n">
        <v>6.75</v>
      </c>
      <c r="I30" s="13" t="n">
        <v>6.855</v>
      </c>
      <c r="J30" s="5" t="s">
        <v>74</v>
      </c>
      <c r="K30" s="8" t="n">
        <v>8.19937227986535</v>
      </c>
      <c r="L30" s="8" t="n">
        <v>-248.705869499948</v>
      </c>
      <c r="M30" s="8" t="n">
        <f aca="false">M29+L30</f>
        <v>85330.9546258516</v>
      </c>
      <c r="N30" s="5" t="str">
        <f aca="false">IF(L30&gt;0,"прибыль",IF(L30&lt;0,"убыток","ноль"))</f>
        <v>убыток</v>
      </c>
      <c r="O30" s="6" t="n">
        <f aca="false">IF(L30&lt;0,O29+1,0)</f>
        <v>1</v>
      </c>
      <c r="P30" s="6" t="n">
        <v>28</v>
      </c>
    </row>
    <row r="31" customFormat="false" ht="15" hidden="false" customHeight="false" outlineLevel="0" collapsed="false">
      <c r="A31" s="6" t="n">
        <v>26</v>
      </c>
      <c r="B31" s="5" t="s">
        <v>72</v>
      </c>
      <c r="C31" s="5" t="s">
        <v>30</v>
      </c>
      <c r="D31" s="11" t="n">
        <v>44911</v>
      </c>
      <c r="E31" s="11" t="n">
        <v>44985</v>
      </c>
      <c r="F31" s="5" t="s">
        <v>75</v>
      </c>
      <c r="G31" s="12" t="n">
        <v>97636.8003725287</v>
      </c>
      <c r="H31" s="13" t="n">
        <v>6.855</v>
      </c>
      <c r="I31" s="13" t="n">
        <v>2.797</v>
      </c>
      <c r="J31" s="5" t="s">
        <v>74</v>
      </c>
      <c r="K31" s="8" t="n">
        <v>13.8112609292191</v>
      </c>
      <c r="L31" s="8" t="n">
        <v>43119.935023383</v>
      </c>
      <c r="M31" s="8" t="n">
        <f aca="false">M30+L31</f>
        <v>128450.889649235</v>
      </c>
      <c r="N31" s="5" t="str">
        <f aca="false">IF(L31&gt;0,"прибыль",IF(L31&lt;0,"убыток","ноль"))</f>
        <v>прибыль</v>
      </c>
      <c r="O31" s="6" t="n">
        <f aca="false">IF(L31&lt;0,O30+1,0)</f>
        <v>0</v>
      </c>
      <c r="P31" s="6" t="n">
        <v>50</v>
      </c>
    </row>
    <row r="32" customFormat="false" ht="15" hidden="false" customHeight="false" outlineLevel="0" collapsed="false">
      <c r="A32" s="6" t="n">
        <v>27</v>
      </c>
      <c r="B32" s="5" t="s">
        <v>72</v>
      </c>
      <c r="C32" s="5" t="s">
        <v>30</v>
      </c>
      <c r="D32" s="11" t="n">
        <v>44985</v>
      </c>
      <c r="E32" s="11" t="n">
        <v>45034</v>
      </c>
      <c r="F32" s="5" t="s">
        <v>75</v>
      </c>
      <c r="G32" s="12" t="n">
        <v>114041.155170252</v>
      </c>
      <c r="H32" s="13" t="n">
        <v>2.797</v>
      </c>
      <c r="I32" s="13" t="n">
        <v>2.327</v>
      </c>
      <c r="J32" s="5" t="s">
        <v>74</v>
      </c>
      <c r="K32" s="8" t="n">
        <v>13.5699816615189</v>
      </c>
      <c r="L32" s="8" t="n">
        <v>40836.9269497111</v>
      </c>
      <c r="M32" s="8" t="n">
        <f aca="false">M31+L32</f>
        <v>169287.816598946</v>
      </c>
      <c r="N32" s="5" t="str">
        <f aca="false">IF(L32&gt;0,"прибыль",IF(L32&lt;0,"убыток","ноль"))</f>
        <v>прибыль</v>
      </c>
      <c r="O32" s="6" t="n">
        <f aca="false">IF(L32&lt;0,O31+1,0)</f>
        <v>0</v>
      </c>
      <c r="P32" s="6" t="n">
        <v>34</v>
      </c>
    </row>
    <row r="33" customFormat="false" ht="15" hidden="false" customHeight="false" outlineLevel="0" collapsed="false">
      <c r="A33" s="6" t="n">
        <v>28</v>
      </c>
      <c r="B33" s="5" t="s">
        <v>72</v>
      </c>
      <c r="C33" s="5" t="s">
        <v>30</v>
      </c>
      <c r="D33" s="11" t="n">
        <v>45034</v>
      </c>
      <c r="E33" s="11" t="n">
        <v>45148</v>
      </c>
      <c r="F33" s="5" t="s">
        <v>75</v>
      </c>
      <c r="G33" s="12" t="n">
        <v>154360.626414882</v>
      </c>
      <c r="H33" s="13" t="n">
        <v>2.327</v>
      </c>
      <c r="I33" s="13" t="n">
        <v>2.98</v>
      </c>
      <c r="J33" s="5" t="s">
        <v>74</v>
      </c>
      <c r="K33" s="8" t="n">
        <v>13.1228118510028</v>
      </c>
      <c r="L33" s="8" t="n">
        <v>20667.9777484981</v>
      </c>
      <c r="M33" s="8" t="n">
        <f aca="false">M32+L33</f>
        <v>189955.794347444</v>
      </c>
      <c r="N33" s="5" t="str">
        <f aca="false">IF(L33&gt;0,"прибыль",IF(L33&lt;0,"убыток","ноль"))</f>
        <v>прибыль</v>
      </c>
      <c r="O33" s="6" t="n">
        <f aca="false">IF(L33&lt;0,O32+1,0)</f>
        <v>0</v>
      </c>
      <c r="P33" s="6" t="n">
        <v>79</v>
      </c>
    </row>
    <row r="34" customFormat="false" ht="15" hidden="false" customHeight="false" outlineLevel="0" collapsed="false">
      <c r="A34" s="6" t="n">
        <v>29</v>
      </c>
      <c r="B34" s="5" t="s">
        <v>72</v>
      </c>
      <c r="C34" s="5" t="s">
        <v>30</v>
      </c>
      <c r="D34" s="11" t="n">
        <v>45148</v>
      </c>
      <c r="E34" s="11" t="n">
        <v>45204</v>
      </c>
      <c r="F34" s="5" t="s">
        <v>75</v>
      </c>
      <c r="G34" s="12" t="n">
        <v>471032.361722422</v>
      </c>
      <c r="H34" s="13" t="n">
        <v>2.98</v>
      </c>
      <c r="I34" s="13" t="n">
        <v>2.996</v>
      </c>
      <c r="J34" s="5" t="s">
        <v>74</v>
      </c>
      <c r="K34" s="8" t="n">
        <v>42.4277359402963</v>
      </c>
      <c r="L34" s="8" t="n">
        <v>87659.0538812344</v>
      </c>
      <c r="M34" s="8" t="n">
        <f aca="false">M33+L34</f>
        <v>277614.848228678</v>
      </c>
      <c r="N34" s="5" t="str">
        <f aca="false">IF(L34&gt;0,"прибыль",IF(L34&lt;0,"убыток","ноль"))</f>
        <v>прибыль</v>
      </c>
      <c r="O34" s="6" t="n">
        <f aca="false">IF(L34&lt;0,O33+1,0)</f>
        <v>0</v>
      </c>
      <c r="P34" s="6" t="n">
        <v>40</v>
      </c>
    </row>
    <row r="35" customFormat="false" ht="15" hidden="false" customHeight="false" outlineLevel="0" collapsed="false">
      <c r="A35" s="6" t="n">
        <v>30</v>
      </c>
      <c r="B35" s="5" t="s">
        <v>72</v>
      </c>
      <c r="C35" s="5" t="s">
        <v>30</v>
      </c>
      <c r="D35" s="11" t="n">
        <v>45204</v>
      </c>
      <c r="E35" s="11" t="n">
        <v>45205</v>
      </c>
      <c r="F35" s="5" t="s">
        <v>73</v>
      </c>
      <c r="G35" s="12" t="n">
        <v>7.31100084223268E-011</v>
      </c>
      <c r="H35" s="13" t="n">
        <v>2.996</v>
      </c>
      <c r="I35" s="13" t="n">
        <v>3.171</v>
      </c>
      <c r="K35" s="8" t="n">
        <v>3.85698175553224E-015</v>
      </c>
      <c r="L35" s="8" t="n">
        <v>4.02576970656237E-012</v>
      </c>
      <c r="M35" s="8" t="n">
        <f aca="false">M34+L35</f>
        <v>277614.848228678</v>
      </c>
      <c r="N35" s="5" t="str">
        <f aca="false">IF(L35&gt;0,"прибыль",IF(L35&lt;0,"убыток","ноль"))</f>
        <v>прибыль</v>
      </c>
      <c r="O35" s="6" t="n">
        <f aca="false">IF(L35&lt;0,O34+1,0)</f>
        <v>0</v>
      </c>
      <c r="P35" s="6" t="n">
        <v>1</v>
      </c>
    </row>
    <row r="36" customFormat="false" ht="15" hidden="false" customHeight="false" outlineLevel="0" collapsed="false">
      <c r="A36" s="6" t="n">
        <v>31</v>
      </c>
      <c r="B36" s="5" t="s">
        <v>72</v>
      </c>
      <c r="C36" s="5" t="s">
        <v>30</v>
      </c>
      <c r="D36" s="11" t="n">
        <v>45205</v>
      </c>
      <c r="E36" s="11" t="n">
        <v>45208</v>
      </c>
      <c r="F36" s="5" t="s">
        <v>73</v>
      </c>
      <c r="G36" s="12" t="n">
        <v>90625.2225870157</v>
      </c>
      <c r="H36" s="13" t="n">
        <v>3.171</v>
      </c>
      <c r="I36" s="13" t="n">
        <v>3.32</v>
      </c>
      <c r="K36" s="8" t="n">
        <v>5.00526874280681</v>
      </c>
      <c r="L36" s="8" t="n">
        <v>9475.14700037781</v>
      </c>
      <c r="M36" s="8" t="n">
        <f aca="false">M35+L36</f>
        <v>287089.995229056</v>
      </c>
      <c r="N36" s="5" t="str">
        <f aca="false">IF(L36&gt;0,"прибыль",IF(L36&lt;0,"убыток","ноль"))</f>
        <v>прибыль</v>
      </c>
      <c r="O36" s="6" t="n">
        <f aca="false">IF(L36&lt;0,O35+1,0)</f>
        <v>0</v>
      </c>
      <c r="P36" s="6" t="n">
        <v>1</v>
      </c>
    </row>
    <row r="37" customFormat="false" ht="15" hidden="false" customHeight="false" outlineLevel="0" collapsed="false">
      <c r="A37" s="6" t="n">
        <v>32</v>
      </c>
      <c r="B37" s="5" t="s">
        <v>72</v>
      </c>
      <c r="C37" s="5" t="s">
        <v>30</v>
      </c>
      <c r="D37" s="11" t="n">
        <v>45208</v>
      </c>
      <c r="E37" s="11" t="n">
        <v>45231</v>
      </c>
      <c r="F37" s="5" t="s">
        <v>73</v>
      </c>
      <c r="G37" s="12" t="n">
        <v>104993.138493255</v>
      </c>
      <c r="H37" s="13" t="n">
        <v>3.32</v>
      </c>
      <c r="I37" s="13" t="n">
        <v>3.575</v>
      </c>
      <c r="J37" s="5" t="s">
        <v>74</v>
      </c>
      <c r="K37" s="8" t="n">
        <v>9.51506645492183</v>
      </c>
      <c r="L37" s="8" t="n">
        <v>13578.5188736504</v>
      </c>
      <c r="M37" s="8" t="n">
        <f aca="false">M36+L37</f>
        <v>300668.514102706</v>
      </c>
      <c r="N37" s="5" t="str">
        <f aca="false">IF(L37&gt;0,"прибыль",IF(L37&lt;0,"убыток","ноль"))</f>
        <v>прибыль</v>
      </c>
      <c r="O37" s="6" t="n">
        <f aca="false">IF(L37&lt;0,O36+1,0)</f>
        <v>0</v>
      </c>
      <c r="P37" s="6" t="n">
        <v>17</v>
      </c>
    </row>
    <row r="38" customFormat="false" ht="15" hidden="false" customHeight="false" outlineLevel="0" collapsed="false">
      <c r="A38" s="6" t="n">
        <v>33</v>
      </c>
      <c r="B38" s="5" t="s">
        <v>72</v>
      </c>
      <c r="C38" s="5" t="s">
        <v>30</v>
      </c>
      <c r="D38" s="11" t="n">
        <v>45231</v>
      </c>
      <c r="E38" s="11" t="n">
        <v>45260</v>
      </c>
      <c r="F38" s="5" t="s">
        <v>73</v>
      </c>
      <c r="G38" s="12" t="n">
        <v>459316.38846355</v>
      </c>
      <c r="H38" s="13" t="n">
        <v>3.575</v>
      </c>
      <c r="I38" s="13" t="n">
        <v>2.862</v>
      </c>
      <c r="J38" s="5" t="s">
        <v>74</v>
      </c>
      <c r="K38" s="8" t="n">
        <v>52.2406000837021</v>
      </c>
      <c r="L38" s="8" t="n">
        <v>-38501.6216746902</v>
      </c>
      <c r="M38" s="8" t="n">
        <f aca="false">M37+L38</f>
        <v>262166.892428016</v>
      </c>
      <c r="N38" s="5" t="str">
        <f aca="false">IF(L38&gt;0,"прибыль",IF(L38&lt;0,"убыток","ноль"))</f>
        <v>убыток</v>
      </c>
      <c r="O38" s="6" t="n">
        <f aca="false">IF(L38&lt;0,O37+1,0)</f>
        <v>1</v>
      </c>
      <c r="P38" s="6" t="n">
        <v>21</v>
      </c>
    </row>
    <row r="39" customFormat="false" ht="15" hidden="false" customHeight="false" outlineLevel="0" collapsed="false">
      <c r="A39" s="6" t="n">
        <v>34</v>
      </c>
      <c r="B39" s="5" t="s">
        <v>72</v>
      </c>
      <c r="C39" s="5" t="s">
        <v>30</v>
      </c>
      <c r="D39" s="11" t="n">
        <v>45260</v>
      </c>
      <c r="E39" s="11" t="n">
        <v>45278</v>
      </c>
      <c r="F39" s="5" t="s">
        <v>75</v>
      </c>
      <c r="G39" s="12" t="n">
        <v>128039.029361114</v>
      </c>
      <c r="H39" s="13" t="n">
        <v>2.862</v>
      </c>
      <c r="I39" s="13" t="n">
        <v>2.527</v>
      </c>
      <c r="K39" s="8" t="n">
        <v>11.3770962833456</v>
      </c>
      <c r="L39" s="8" t="n">
        <v>10721.6670199386</v>
      </c>
      <c r="M39" s="8" t="n">
        <f aca="false">M38+L39</f>
        <v>272888.559447955</v>
      </c>
      <c r="N39" s="5" t="str">
        <f aca="false">IF(L39&gt;0,"прибыль",IF(L39&lt;0,"убыток","ноль"))</f>
        <v>прибыль</v>
      </c>
      <c r="O39" s="6" t="n">
        <f aca="false">IF(L39&lt;0,O38+1,0)</f>
        <v>0</v>
      </c>
      <c r="P39" s="6" t="n">
        <v>12</v>
      </c>
    </row>
    <row r="40" customFormat="false" ht="15" hidden="false" customHeight="false" outlineLevel="0" collapsed="false">
      <c r="A40" s="6" t="n">
        <v>35</v>
      </c>
      <c r="B40" s="5" t="s">
        <v>72</v>
      </c>
      <c r="C40" s="5" t="s">
        <v>30</v>
      </c>
      <c r="D40" s="11" t="n">
        <v>45278</v>
      </c>
      <c r="E40" s="11" t="n">
        <v>45282</v>
      </c>
      <c r="F40" s="5" t="s">
        <v>75</v>
      </c>
      <c r="G40" s="12" t="n">
        <v>95578.0461475369</v>
      </c>
      <c r="H40" s="13" t="n">
        <v>2.527</v>
      </c>
      <c r="I40" s="13" t="n">
        <v>2.579</v>
      </c>
      <c r="K40" s="8" t="n">
        <v>4.46980779448258</v>
      </c>
      <c r="L40" s="8" t="n">
        <v>6177.42045009081</v>
      </c>
      <c r="M40" s="8" t="n">
        <f aca="false">M39+L40</f>
        <v>279065.979898046</v>
      </c>
      <c r="N40" s="5" t="str">
        <f aca="false">IF(L40&gt;0,"прибыль",IF(L40&lt;0,"убыток","ноль"))</f>
        <v>прибыль</v>
      </c>
      <c r="O40" s="6" t="n">
        <f aca="false">IF(L40&lt;0,O39+1,0)</f>
        <v>0</v>
      </c>
      <c r="P40" s="6" t="n">
        <v>4</v>
      </c>
    </row>
    <row r="41" customFormat="false" ht="15" hidden="false" customHeight="false" outlineLevel="0" collapsed="false">
      <c r="A41" s="6" t="n">
        <v>36</v>
      </c>
      <c r="B41" s="5" t="s">
        <v>72</v>
      </c>
      <c r="C41" s="5" t="s">
        <v>30</v>
      </c>
      <c r="D41" s="11" t="n">
        <v>45282</v>
      </c>
      <c r="E41" s="11" t="n">
        <v>45296</v>
      </c>
      <c r="F41" s="5" t="s">
        <v>75</v>
      </c>
      <c r="G41" s="12" t="n">
        <v>79675.8463694129</v>
      </c>
      <c r="H41" s="13" t="n">
        <v>2.579</v>
      </c>
      <c r="I41" s="13" t="n">
        <v>2.805</v>
      </c>
      <c r="J41" s="5" t="s">
        <v>74</v>
      </c>
      <c r="K41" s="8" t="n">
        <v>4.1548985746637</v>
      </c>
      <c r="L41" s="8" t="n">
        <v>-3426.28002243587</v>
      </c>
      <c r="M41" s="8" t="n">
        <f aca="false">M40+L41</f>
        <v>275639.69987561</v>
      </c>
      <c r="N41" s="5" t="str">
        <f aca="false">IF(L41&gt;0,"прибыль",IF(L41&lt;0,"убыток","ноль"))</f>
        <v>убыток</v>
      </c>
      <c r="O41" s="6" t="n">
        <f aca="false">IF(L41&lt;0,O40+1,0)</f>
        <v>1</v>
      </c>
      <c r="P41" s="6" t="n">
        <v>8</v>
      </c>
    </row>
    <row r="42" customFormat="false" ht="15" hidden="false" customHeight="false" outlineLevel="0" collapsed="false">
      <c r="A42" s="6" t="n">
        <v>37</v>
      </c>
      <c r="B42" s="5" t="s">
        <v>72</v>
      </c>
      <c r="C42" s="5" t="s">
        <v>30</v>
      </c>
      <c r="D42" s="11" t="n">
        <v>45296</v>
      </c>
      <c r="E42" s="11" t="n">
        <v>45308</v>
      </c>
      <c r="F42" s="5" t="s">
        <v>75</v>
      </c>
      <c r="G42" s="12" t="n">
        <v>50613.7312095598</v>
      </c>
      <c r="H42" s="13" t="n">
        <v>2.805</v>
      </c>
      <c r="I42" s="13" t="n">
        <v>2.829</v>
      </c>
      <c r="K42" s="8" t="n">
        <v>2.66331174642114</v>
      </c>
      <c r="L42" s="8" t="n">
        <v>-2655.16703060948</v>
      </c>
      <c r="M42" s="8" t="n">
        <f aca="false">M41+L42</f>
        <v>272984.532845</v>
      </c>
      <c r="N42" s="5" t="str">
        <f aca="false">IF(L42&gt;0,"прибыль",IF(L42&lt;0,"убыток","ноль"))</f>
        <v>убыток</v>
      </c>
      <c r="O42" s="6" t="n">
        <f aca="false">IF(L42&lt;0,O41+1,0)</f>
        <v>2</v>
      </c>
      <c r="P42" s="6" t="n">
        <v>8</v>
      </c>
    </row>
    <row r="43" customFormat="false" ht="15" hidden="false" customHeight="false" outlineLevel="0" collapsed="false">
      <c r="A43" s="6" t="n">
        <v>38</v>
      </c>
      <c r="B43" s="5" t="s">
        <v>78</v>
      </c>
      <c r="C43" s="5" t="s">
        <v>30</v>
      </c>
      <c r="D43" s="11" t="n">
        <v>45308</v>
      </c>
      <c r="E43" s="11" t="n">
        <v>45415</v>
      </c>
      <c r="F43" s="5" t="s">
        <v>75</v>
      </c>
      <c r="G43" s="12" t="n">
        <v>86266.1596403784</v>
      </c>
      <c r="H43" s="13" t="n">
        <v>2.829</v>
      </c>
      <c r="I43" s="13" t="n">
        <v>2.029</v>
      </c>
      <c r="J43" s="5" t="s">
        <v>74</v>
      </c>
      <c r="K43" s="8" t="n">
        <v>14.6085411855524</v>
      </c>
      <c r="L43" s="8" t="n">
        <v>18697.1790284588</v>
      </c>
      <c r="M43" s="8" t="n">
        <f aca="false">M42+L43</f>
        <v>291681.711873459</v>
      </c>
      <c r="N43" s="5" t="str">
        <f aca="false">IF(L43&gt;0,"прибыль",IF(L43&lt;0,"убыток","ноль"))</f>
        <v>прибыль</v>
      </c>
      <c r="O43" s="6" t="n">
        <f aca="false">IF(L43&lt;0,O42+1,0)</f>
        <v>0</v>
      </c>
      <c r="P43" s="6" t="n">
        <v>75</v>
      </c>
    </row>
    <row r="44" customFormat="false" ht="15" hidden="false" customHeight="false" outlineLevel="0" collapsed="false">
      <c r="A44" s="6" t="n">
        <v>39</v>
      </c>
      <c r="B44" s="5" t="s">
        <v>76</v>
      </c>
      <c r="C44" s="5" t="s">
        <v>30</v>
      </c>
      <c r="D44" s="11" t="n">
        <v>45415</v>
      </c>
      <c r="E44" s="11" t="n">
        <v>45432</v>
      </c>
      <c r="F44" s="5" t="s">
        <v>75</v>
      </c>
      <c r="G44" s="12" t="n">
        <v>82225.8311075102</v>
      </c>
      <c r="H44" s="13" t="n">
        <v>2.029</v>
      </c>
      <c r="I44" s="13" t="n">
        <v>2.665</v>
      </c>
      <c r="K44" s="8" t="n">
        <v>4.22901779750679</v>
      </c>
      <c r="L44" s="8" t="n">
        <v>-2358.75386042301</v>
      </c>
      <c r="M44" s="8" t="n">
        <f aca="false">M43+L44</f>
        <v>289322.958013036</v>
      </c>
      <c r="N44" s="5" t="str">
        <f aca="false">IF(L44&gt;0,"прибыль",IF(L44&lt;0,"убыток","ноль"))</f>
        <v>убыток</v>
      </c>
      <c r="O44" s="6" t="n">
        <f aca="false">IF(L44&lt;0,O43+1,0)</f>
        <v>1</v>
      </c>
      <c r="P44" s="6" t="n">
        <v>10</v>
      </c>
    </row>
    <row r="45" customFormat="false" ht="15" hidden="false" customHeight="false" outlineLevel="0" collapsed="false">
      <c r="A45" s="6" t="n">
        <v>40</v>
      </c>
      <c r="B45" s="5" t="s">
        <v>76</v>
      </c>
      <c r="C45" s="5" t="s">
        <v>30</v>
      </c>
      <c r="D45" s="11" t="n">
        <v>45432</v>
      </c>
      <c r="E45" s="11" t="n">
        <v>45457</v>
      </c>
      <c r="F45" s="5" t="s">
        <v>75</v>
      </c>
      <c r="G45" s="12" t="n">
        <v>239192.508795937</v>
      </c>
      <c r="H45" s="13" t="n">
        <v>2.665</v>
      </c>
      <c r="I45" s="13" t="n">
        <v>2.925</v>
      </c>
      <c r="J45" s="5" t="s">
        <v>74</v>
      </c>
      <c r="K45" s="8" t="n">
        <v>23.8739237612519</v>
      </c>
      <c r="L45" s="8" t="n">
        <v>-23839.4050211263</v>
      </c>
      <c r="M45" s="8" t="n">
        <f aca="false">M44+L45</f>
        <v>265483.55299191</v>
      </c>
      <c r="N45" s="5" t="str">
        <f aca="false">IF(L45&gt;0,"прибыль",IF(L45&lt;0,"убыток","ноль"))</f>
        <v>убыток</v>
      </c>
      <c r="O45" s="6" t="n">
        <f aca="false">IF(L45&lt;0,O44+1,0)</f>
        <v>2</v>
      </c>
      <c r="P45" s="6" t="n">
        <v>18</v>
      </c>
    </row>
    <row r="46" customFormat="false" ht="15" hidden="false" customHeight="false" outlineLevel="0" collapsed="false">
      <c r="A46" s="6" t="n">
        <v>41</v>
      </c>
      <c r="B46" s="5" t="s">
        <v>76</v>
      </c>
      <c r="C46" s="5" t="s">
        <v>30</v>
      </c>
      <c r="D46" s="11" t="n">
        <v>45457</v>
      </c>
      <c r="E46" s="11" t="n">
        <v>45460</v>
      </c>
      <c r="F46" s="5" t="s">
        <v>73</v>
      </c>
      <c r="G46" s="12" t="n">
        <v>2.91479144585122E-011</v>
      </c>
      <c r="H46" s="13" t="n">
        <v>2.925</v>
      </c>
      <c r="I46" s="13" t="n">
        <v>2.829</v>
      </c>
      <c r="K46" s="8" t="n">
        <v>1.4026779562307E-015</v>
      </c>
      <c r="L46" s="8" t="n">
        <v>-1.09575801185438E-012</v>
      </c>
      <c r="M46" s="8" t="n">
        <f aca="false">M45+L46</f>
        <v>265483.55299191</v>
      </c>
      <c r="N46" s="5" t="str">
        <f aca="false">IF(L46&gt;0,"прибыль",IF(L46&lt;0,"убыток","ноль"))</f>
        <v>убыток</v>
      </c>
      <c r="O46" s="6" t="n">
        <f aca="false">IF(L46&lt;0,O45+1,0)</f>
        <v>3</v>
      </c>
      <c r="P46" s="6" t="n">
        <v>1</v>
      </c>
    </row>
    <row r="47" customFormat="false" ht="15" hidden="false" customHeight="false" outlineLevel="0" collapsed="false">
      <c r="A47" s="6" t="n">
        <v>42</v>
      </c>
      <c r="B47" s="5" t="s">
        <v>76</v>
      </c>
      <c r="C47" s="5" t="s">
        <v>30</v>
      </c>
      <c r="D47" s="11" t="n">
        <v>45460</v>
      </c>
      <c r="E47" s="11" t="n">
        <v>45484</v>
      </c>
      <c r="F47" s="5" t="s">
        <v>73</v>
      </c>
      <c r="G47" s="12" t="n">
        <v>309205.87269876</v>
      </c>
      <c r="H47" s="13" t="n">
        <v>2.829</v>
      </c>
      <c r="I47" s="13" t="n">
        <v>2.346</v>
      </c>
      <c r="J47" s="5" t="s">
        <v>74</v>
      </c>
      <c r="K47" s="8" t="n">
        <v>34.5403190666603</v>
      </c>
      <c r="L47" s="8" t="n">
        <v>-48992.639795896</v>
      </c>
      <c r="M47" s="8" t="n">
        <f aca="false">M46+L47</f>
        <v>216490.913196014</v>
      </c>
      <c r="N47" s="5" t="str">
        <f aca="false">IF(L47&gt;0,"прибыль",IF(L47&lt;0,"убыток","ноль"))</f>
        <v>убыток</v>
      </c>
      <c r="O47" s="6" t="n">
        <f aca="false">IF(L47&lt;0,O46+1,0)</f>
        <v>4</v>
      </c>
      <c r="P47" s="6" t="n">
        <v>18</v>
      </c>
    </row>
    <row r="48" customFormat="false" ht="15" hidden="false" customHeight="false" outlineLevel="0" collapsed="false">
      <c r="A48" s="6" t="n">
        <v>43</v>
      </c>
      <c r="B48" s="5" t="s">
        <v>76</v>
      </c>
      <c r="C48" s="5" t="s">
        <v>30</v>
      </c>
      <c r="D48" s="11" t="n">
        <v>45484</v>
      </c>
      <c r="E48" s="11" t="n">
        <v>45548</v>
      </c>
      <c r="F48" s="5" t="s">
        <v>75</v>
      </c>
      <c r="G48" s="12" t="n">
        <v>94336.2316252071</v>
      </c>
      <c r="H48" s="13" t="n">
        <v>2.346</v>
      </c>
      <c r="I48" s="13" t="n">
        <v>2.385</v>
      </c>
      <c r="J48" s="5" t="s">
        <v>74</v>
      </c>
      <c r="K48" s="8" t="n">
        <v>7.36330821946581</v>
      </c>
      <c r="L48" s="8" t="n">
        <v>8099.49756814531</v>
      </c>
      <c r="M48" s="8" t="n">
        <f aca="false">M47+L48</f>
        <v>224590.410764159</v>
      </c>
      <c r="N48" s="5" t="str">
        <f aca="false">IF(L48&gt;0,"прибыль",IF(L48&lt;0,"убыток","ноль"))</f>
        <v>прибыль</v>
      </c>
      <c r="O48" s="6" t="n">
        <f aca="false">IF(L48&lt;0,O47+1,0)</f>
        <v>0</v>
      </c>
      <c r="P48" s="6" t="n">
        <v>46</v>
      </c>
    </row>
    <row r="49" customFormat="false" ht="15" hidden="false" customHeight="false" outlineLevel="0" collapsed="false">
      <c r="A49" s="6" t="n">
        <v>44</v>
      </c>
      <c r="B49" s="5" t="s">
        <v>76</v>
      </c>
      <c r="C49" s="5" t="s">
        <v>30</v>
      </c>
      <c r="D49" s="11" t="n">
        <v>45548</v>
      </c>
      <c r="E49" s="11" t="n">
        <v>45608</v>
      </c>
      <c r="F49" s="5" t="s">
        <v>75</v>
      </c>
      <c r="G49" s="12" t="n">
        <v>99817.8404894281</v>
      </c>
      <c r="H49" s="13" t="n">
        <v>2.385</v>
      </c>
      <c r="I49" s="13" t="n">
        <v>2.955</v>
      </c>
      <c r="J49" s="5" t="s">
        <v>74</v>
      </c>
      <c r="K49" s="8" t="n">
        <v>7.07914232227348</v>
      </c>
      <c r="L49" s="8" t="n">
        <v>11265.3082209425</v>
      </c>
      <c r="M49" s="8" t="n">
        <f aca="false">M48+L49</f>
        <v>235855.718985102</v>
      </c>
      <c r="N49" s="5" t="str">
        <f aca="false">IF(L49&gt;0,"прибыль",IF(L49&lt;0,"убыток","ноль"))</f>
        <v>прибыль</v>
      </c>
      <c r="O49" s="6" t="n">
        <f aca="false">IF(L49&lt;0,O48+1,0)</f>
        <v>0</v>
      </c>
      <c r="P49" s="6" t="n">
        <v>42</v>
      </c>
    </row>
    <row r="50" customFormat="false" ht="15" hidden="false" customHeight="false" outlineLevel="0" collapsed="false">
      <c r="A50" s="6" t="n">
        <v>45</v>
      </c>
      <c r="B50" s="5" t="s">
        <v>76</v>
      </c>
      <c r="C50" s="5" t="s">
        <v>30</v>
      </c>
      <c r="D50" s="11" t="n">
        <v>45608</v>
      </c>
      <c r="E50" s="11" t="n">
        <v>45618</v>
      </c>
      <c r="F50" s="5" t="s">
        <v>75</v>
      </c>
      <c r="G50" s="12" t="n">
        <v>54089.6059441144</v>
      </c>
      <c r="H50" s="13" t="n">
        <v>2.955</v>
      </c>
      <c r="I50" s="13" t="n">
        <v>3.369</v>
      </c>
      <c r="K50" s="8" t="n">
        <v>2.73582424534455</v>
      </c>
      <c r="L50" s="8" t="n">
        <v>-629.614787021965</v>
      </c>
      <c r="M50" s="8" t="n">
        <f aca="false">M49+L50</f>
        <v>235226.10419808</v>
      </c>
      <c r="N50" s="5" t="str">
        <f aca="false">IF(L50&gt;0,"прибыль",IF(L50&lt;0,"убыток","ноль"))</f>
        <v>убыток</v>
      </c>
      <c r="O50" s="6" t="n">
        <f aca="false">IF(L50&lt;0,O49+1,0)</f>
        <v>1</v>
      </c>
      <c r="P50" s="6" t="n">
        <v>8</v>
      </c>
    </row>
    <row r="51" customFormat="false" ht="15" hidden="false" customHeight="false" outlineLevel="0" collapsed="false">
      <c r="A51" s="6" t="n">
        <v>46</v>
      </c>
      <c r="B51" s="5" t="s">
        <v>76</v>
      </c>
      <c r="C51" s="5" t="s">
        <v>30</v>
      </c>
      <c r="D51" s="11" t="n">
        <v>45618</v>
      </c>
      <c r="E51" s="11" t="n">
        <v>45652</v>
      </c>
      <c r="F51" s="5" t="s">
        <v>75</v>
      </c>
      <c r="G51" s="12" t="n">
        <v>201653.679645284</v>
      </c>
      <c r="H51" s="13" t="n">
        <v>3.369</v>
      </c>
      <c r="I51" s="13" t="n">
        <v>3.828</v>
      </c>
      <c r="J51" s="5" t="s">
        <v>74</v>
      </c>
      <c r="K51" s="8" t="n">
        <v>23.7381159688803</v>
      </c>
      <c r="L51" s="8" t="n">
        <v>-30389.524398365</v>
      </c>
      <c r="M51" s="8" t="n">
        <f aca="false">M50+L51</f>
        <v>204836.579799715</v>
      </c>
      <c r="N51" s="5" t="str">
        <f aca="false">IF(L51&gt;0,"прибыль",IF(L51&lt;0,"убыток","ноль"))</f>
        <v>убыток</v>
      </c>
      <c r="O51" s="6" t="n">
        <f aca="false">IF(L51&lt;0,O50+1,0)</f>
        <v>2</v>
      </c>
      <c r="P51" s="6" t="n">
        <v>24</v>
      </c>
    </row>
    <row r="52" customFormat="false" ht="15" hidden="false" customHeight="false" outlineLevel="0" collapsed="false">
      <c r="A52" s="6" t="n">
        <v>47</v>
      </c>
      <c r="B52" s="5" t="s">
        <v>76</v>
      </c>
      <c r="C52" s="5" t="s">
        <v>30</v>
      </c>
      <c r="D52" s="11" t="n">
        <v>45652</v>
      </c>
      <c r="E52" s="11" t="n">
        <v>45660</v>
      </c>
      <c r="F52" s="5" t="s">
        <v>73</v>
      </c>
      <c r="G52" s="12" t="n">
        <v>61675.3998402205</v>
      </c>
      <c r="H52" s="13" t="n">
        <v>3.828</v>
      </c>
      <c r="I52" s="13" t="n">
        <v>3.666</v>
      </c>
      <c r="J52" s="5" t="s">
        <v>74</v>
      </c>
      <c r="K52" s="8" t="n">
        <v>3.21654592404167</v>
      </c>
      <c r="L52" s="8" t="n">
        <v>2652.30209468885</v>
      </c>
      <c r="M52" s="8" t="n">
        <f aca="false">M51+L52</f>
        <v>207488.881894403</v>
      </c>
      <c r="N52" s="5" t="str">
        <f aca="false">IF(L52&gt;0,"прибыль",IF(L52&lt;0,"убыток","ноль"))</f>
        <v>прибыль</v>
      </c>
      <c r="O52" s="6" t="n">
        <f aca="false">IF(L52&lt;0,O51+1,0)</f>
        <v>0</v>
      </c>
      <c r="P52" s="6" t="n">
        <v>4</v>
      </c>
    </row>
    <row r="53" customFormat="false" ht="15" hidden="false" customHeight="false" outlineLevel="0" collapsed="false">
      <c r="A53" s="6" t="n">
        <v>48</v>
      </c>
      <c r="B53" s="5" t="s">
        <v>76</v>
      </c>
      <c r="C53" s="5" t="s">
        <v>30</v>
      </c>
      <c r="D53" s="11" t="n">
        <v>45660</v>
      </c>
      <c r="E53" s="11" t="n">
        <v>45665</v>
      </c>
      <c r="F53" s="5" t="s">
        <v>73</v>
      </c>
      <c r="G53" s="12" t="n">
        <v>37588.1695691007</v>
      </c>
      <c r="H53" s="13" t="n">
        <v>3.666</v>
      </c>
      <c r="I53" s="13" t="n">
        <v>3.61</v>
      </c>
      <c r="K53" s="8" t="n">
        <v>1.92892900092319</v>
      </c>
      <c r="L53" s="8" t="n">
        <v>988.481520362255</v>
      </c>
      <c r="M53" s="8" t="n">
        <f aca="false">M52+L53</f>
        <v>208477.363414766</v>
      </c>
      <c r="N53" s="5" t="str">
        <f aca="false">IF(L53&gt;0,"прибыль",IF(L53&lt;0,"убыток","ноль"))</f>
        <v>прибыль</v>
      </c>
      <c r="O53" s="6" t="n">
        <f aca="false">IF(L53&lt;0,O52+1,0)</f>
        <v>0</v>
      </c>
      <c r="P53" s="6" t="n">
        <v>2</v>
      </c>
    </row>
    <row r="54" customFormat="false" ht="15" hidden="false" customHeight="false" outlineLevel="0" collapsed="false">
      <c r="A54" s="6" t="n">
        <v>49</v>
      </c>
      <c r="B54" s="5" t="s">
        <v>76</v>
      </c>
      <c r="C54" s="5" t="s">
        <v>30</v>
      </c>
      <c r="D54" s="11" t="n">
        <v>45665</v>
      </c>
      <c r="E54" s="11" t="n">
        <v>45708</v>
      </c>
      <c r="F54" s="5" t="s">
        <v>73</v>
      </c>
      <c r="G54" s="12" t="n">
        <v>35279.2519289138</v>
      </c>
      <c r="H54" s="13" t="n">
        <v>3.61</v>
      </c>
      <c r="I54" s="13" t="n">
        <v>4.364</v>
      </c>
      <c r="J54" s="5" t="s">
        <v>74</v>
      </c>
      <c r="K54" s="8" t="n">
        <v>3.93271771870167</v>
      </c>
      <c r="L54" s="8" t="n">
        <v>11782.881935464</v>
      </c>
      <c r="M54" s="8" t="n">
        <f aca="false">M53+L54</f>
        <v>220260.24535023</v>
      </c>
      <c r="N54" s="5" t="str">
        <f aca="false">IF(L54&gt;0,"прибыль",IF(L54&lt;0,"убыток","ноль"))</f>
        <v>прибыль</v>
      </c>
      <c r="O54" s="6" t="n">
        <f aca="false">IF(L54&lt;0,O53+1,0)</f>
        <v>0</v>
      </c>
      <c r="P54" s="6" t="n">
        <v>31</v>
      </c>
    </row>
    <row r="55" customFormat="false" ht="15" hidden="false" customHeight="false" outlineLevel="0" collapsed="false">
      <c r="A55" s="6" t="n">
        <v>50</v>
      </c>
      <c r="B55" s="5" t="s">
        <v>76</v>
      </c>
      <c r="C55" s="5" t="s">
        <v>30</v>
      </c>
      <c r="D55" s="11" t="n">
        <v>45708</v>
      </c>
      <c r="E55" s="11" t="n">
        <v>45785</v>
      </c>
      <c r="F55" s="5" t="s">
        <v>73</v>
      </c>
      <c r="G55" s="12" t="n">
        <v>276169.87277846</v>
      </c>
      <c r="H55" s="13" t="n">
        <v>4.364</v>
      </c>
      <c r="I55" s="13" t="n">
        <v>3.633</v>
      </c>
      <c r="J55" s="5" t="s">
        <v>74</v>
      </c>
      <c r="K55" s="8" t="n">
        <v>32.3429621308125</v>
      </c>
      <c r="L55" s="8" t="n">
        <v>-17937.8440673753</v>
      </c>
      <c r="M55" s="8" t="n">
        <f aca="false">M54+L55</f>
        <v>202322.401282854</v>
      </c>
      <c r="N55" s="5" t="str">
        <f aca="false">IF(L55&gt;0,"прибыль",IF(L55&lt;0,"убыток","ноль"))</f>
        <v>убыток</v>
      </c>
      <c r="O55" s="6" t="n">
        <f aca="false">IF(L55&lt;0,O54+1,0)</f>
        <v>1</v>
      </c>
      <c r="P55" s="6" t="n">
        <v>54</v>
      </c>
    </row>
    <row r="56" customFormat="false" ht="15" hidden="false" customHeight="false" outlineLevel="0" collapsed="false">
      <c r="A56" s="6" t="n">
        <v>51</v>
      </c>
      <c r="B56" s="5" t="s">
        <v>76</v>
      </c>
      <c r="C56" s="5" t="s">
        <v>30</v>
      </c>
      <c r="D56" s="11" t="n">
        <v>45785</v>
      </c>
      <c r="E56" s="11" t="n">
        <v>45798</v>
      </c>
      <c r="F56" s="5" t="s">
        <v>75</v>
      </c>
      <c r="G56" s="12" t="n">
        <v>63678.9419592726</v>
      </c>
      <c r="H56" s="13" t="n">
        <v>3.633</v>
      </c>
      <c r="I56" s="13" t="n">
        <v>3.363</v>
      </c>
      <c r="K56" s="8" t="n">
        <v>5.88438780101361</v>
      </c>
      <c r="L56" s="8" t="n">
        <v>4655.68426004338</v>
      </c>
      <c r="M56" s="8" t="n">
        <f aca="false">M55+L56</f>
        <v>206978.085542898</v>
      </c>
      <c r="N56" s="5" t="str">
        <f aca="false">IF(L56&gt;0,"прибыль",IF(L56&lt;0,"убыток","ноль"))</f>
        <v>прибыль</v>
      </c>
      <c r="O56" s="6" t="n">
        <f aca="false">IF(L56&lt;0,O55+1,0)</f>
        <v>0</v>
      </c>
      <c r="P56" s="6" t="n">
        <v>8</v>
      </c>
    </row>
    <row r="57" customFormat="false" ht="15" hidden="false" customHeight="false" outlineLevel="0" collapsed="false">
      <c r="A57" s="6" t="n">
        <v>52</v>
      </c>
      <c r="B57" s="5" t="s">
        <v>76</v>
      </c>
      <c r="C57" s="5" t="s">
        <v>30</v>
      </c>
      <c r="D57" s="11" t="n">
        <v>45798</v>
      </c>
      <c r="E57" s="11" t="n">
        <v>45932</v>
      </c>
      <c r="F57" s="5" t="s">
        <v>75</v>
      </c>
      <c r="G57" s="12" t="n">
        <v>144842.997761022</v>
      </c>
      <c r="H57" s="13" t="n">
        <v>3.363</v>
      </c>
      <c r="I57" s="13" t="n">
        <v>3.445</v>
      </c>
      <c r="J57" s="5" t="s">
        <v>74</v>
      </c>
      <c r="K57" s="8" t="n">
        <v>24.9263249835087</v>
      </c>
      <c r="L57" s="8" t="n">
        <v>21454.4528763829</v>
      </c>
      <c r="M57" s="8" t="n">
        <f aca="false">M56+L57</f>
        <v>228432.538419281</v>
      </c>
      <c r="N57" s="5" t="str">
        <f aca="false">IF(L57&gt;0,"прибыль",IF(L57&lt;0,"убыток","ноль"))</f>
        <v>прибыль</v>
      </c>
      <c r="O57" s="6" t="n">
        <f aca="false">IF(L57&lt;0,O56+1,0)</f>
        <v>0</v>
      </c>
      <c r="P57" s="6" t="n">
        <v>107</v>
      </c>
    </row>
    <row r="58" customFormat="false" ht="15" hidden="false" customHeight="false" outlineLevel="0" collapsed="false">
      <c r="A58" s="6" t="n">
        <v>53</v>
      </c>
      <c r="B58" s="5" t="s">
        <v>76</v>
      </c>
      <c r="C58" s="5" t="s">
        <v>30</v>
      </c>
      <c r="D58" s="11" t="n">
        <v>45932</v>
      </c>
      <c r="E58" s="11" t="n">
        <v>45951</v>
      </c>
      <c r="F58" s="5" t="s">
        <v>75</v>
      </c>
      <c r="G58" s="12" t="n">
        <v>154586.90491293</v>
      </c>
      <c r="H58" s="13" t="n">
        <v>3.445</v>
      </c>
      <c r="I58" s="13" t="n">
        <v>3.388</v>
      </c>
      <c r="K58" s="8" t="n">
        <v>6.47794335897868</v>
      </c>
      <c r="L58" s="8" t="n">
        <v>25021.5597899973</v>
      </c>
      <c r="M58" s="8" t="n">
        <f aca="false">M57+L58</f>
        <v>253454.098209278</v>
      </c>
      <c r="N58" s="5" t="str">
        <f aca="false">IF(L58&gt;0,"прибыль",IF(L58&lt;0,"убыток","ноль"))</f>
        <v>прибыль</v>
      </c>
      <c r="O58" s="6" t="n">
        <f aca="false">IF(L58&lt;0,O57+1,0)</f>
        <v>0</v>
      </c>
      <c r="P58" s="6" t="n">
        <v>19</v>
      </c>
    </row>
    <row r="59" customFormat="false" ht="15" hidden="false" customHeight="false" outlineLevel="0" collapsed="false">
      <c r="A59" s="6" t="n">
        <v>54</v>
      </c>
      <c r="B59" s="5" t="s">
        <v>76</v>
      </c>
      <c r="C59" s="5" t="s">
        <v>30</v>
      </c>
      <c r="D59" s="11" t="n">
        <v>45951</v>
      </c>
      <c r="E59" s="11" t="n">
        <v>45981</v>
      </c>
      <c r="F59" s="5" t="s">
        <v>75</v>
      </c>
      <c r="G59" s="12" t="n">
        <v>415571.055451486</v>
      </c>
      <c r="H59" s="13" t="n">
        <v>3.388</v>
      </c>
      <c r="I59" s="13" t="n">
        <v>4.532</v>
      </c>
      <c r="J59" s="5" t="s">
        <v>74</v>
      </c>
      <c r="K59" s="8" t="n">
        <v>46.2336224980569</v>
      </c>
      <c r="L59" s="8" t="n">
        <v>7626.28423781862</v>
      </c>
      <c r="M59" s="8" t="n">
        <f aca="false">M58+L59</f>
        <v>261080.382447097</v>
      </c>
      <c r="N59" s="5" t="str">
        <f aca="false">IF(L59&gt;0,"прибыль",IF(L59&lt;0,"убыток","ноль"))</f>
        <v>прибыль</v>
      </c>
      <c r="O59" s="6" t="n">
        <f aca="false">IF(L59&lt;0,O58+1,0)</f>
        <v>0</v>
      </c>
      <c r="P59" s="6" t="n">
        <v>26</v>
      </c>
    </row>
    <row r="60" customFormat="false" ht="15" hidden="false" customHeight="false" outlineLevel="0" collapsed="false">
      <c r="A60" s="6" t="n">
        <v>55</v>
      </c>
      <c r="B60" s="5" t="s">
        <v>76</v>
      </c>
      <c r="C60" s="5" t="s">
        <v>30</v>
      </c>
      <c r="D60" s="11" t="n">
        <v>45981</v>
      </c>
      <c r="E60" s="11" t="n">
        <v>46000</v>
      </c>
      <c r="F60" s="5" t="s">
        <v>73</v>
      </c>
      <c r="G60" s="12" t="n">
        <v>135339.533236237</v>
      </c>
      <c r="H60" s="13" t="n">
        <v>4.532</v>
      </c>
      <c r="I60" s="13" t="n">
        <v>4.846</v>
      </c>
      <c r="J60" s="5" t="s">
        <v>74</v>
      </c>
      <c r="K60" s="8" t="n">
        <v>7.29326713656704</v>
      </c>
      <c r="L60" s="8" t="n">
        <v>10518.5162279671</v>
      </c>
      <c r="M60" s="8" t="n">
        <f aca="false">M59+L60</f>
        <v>271598.898675064</v>
      </c>
      <c r="N60" s="5" t="str">
        <f aca="false">IF(L60&gt;0,"прибыль",IF(L60&lt;0,"убыток","ноль"))</f>
        <v>прибыль</v>
      </c>
      <c r="O60" s="6" t="n">
        <f aca="false">IF(L60&lt;0,O59+1,0)</f>
        <v>0</v>
      </c>
      <c r="P60" s="6" t="n">
        <v>15</v>
      </c>
    </row>
    <row r="61" customFormat="false" ht="15" hidden="false" customHeight="false" outlineLevel="0" collapsed="false">
      <c r="A61" s="6" t="n">
        <v>56</v>
      </c>
      <c r="B61" s="5" t="s">
        <v>76</v>
      </c>
      <c r="C61" s="5" t="s">
        <v>30</v>
      </c>
      <c r="D61" s="11" t="n">
        <v>46000</v>
      </c>
      <c r="E61" s="11" t="n">
        <v>46015</v>
      </c>
      <c r="F61" s="5" t="s">
        <v>73</v>
      </c>
      <c r="G61" s="12" t="n">
        <v>87502.8048934392</v>
      </c>
      <c r="H61" s="13" t="n">
        <v>4.846</v>
      </c>
      <c r="I61" s="13" t="n">
        <v>4.41</v>
      </c>
      <c r="K61" s="8" t="n">
        <v>4.28755514311749</v>
      </c>
      <c r="L61" s="8" t="n">
        <v>-1755.98958623252</v>
      </c>
      <c r="M61" s="8" t="n">
        <f aca="false">M60+L61</f>
        <v>269842.909088831</v>
      </c>
      <c r="N61" s="5" t="str">
        <f aca="false">IF(L61&gt;0,"прибыль",IF(L61&lt;0,"убыток","ноль"))</f>
        <v>убыток</v>
      </c>
      <c r="O61" s="6" t="n">
        <f aca="false">IF(L61&lt;0,O60+1,0)</f>
        <v>1</v>
      </c>
      <c r="P61" s="6" t="n">
        <v>15</v>
      </c>
    </row>
    <row r="62" customFormat="false" ht="15" hidden="false" customHeight="false" outlineLevel="0" collapsed="false">
      <c r="A62" s="6" t="n">
        <v>57</v>
      </c>
      <c r="B62" s="5" t="s">
        <v>76</v>
      </c>
      <c r="C62" s="5" t="s">
        <v>30</v>
      </c>
      <c r="D62" s="11" t="n">
        <v>46015</v>
      </c>
      <c r="E62" s="11" t="n">
        <v>46039</v>
      </c>
      <c r="F62" s="5" t="s">
        <v>73</v>
      </c>
      <c r="G62" s="12" t="n">
        <v>239846.363626322</v>
      </c>
      <c r="H62" s="13" t="n">
        <v>4.41</v>
      </c>
      <c r="I62" s="13" t="n">
        <v>3.128</v>
      </c>
      <c r="J62" s="5" t="s">
        <v>74</v>
      </c>
      <c r="K62" s="8" t="n">
        <v>20.4518335303995</v>
      </c>
      <c r="L62" s="8" t="n">
        <v>-51280.2390626693</v>
      </c>
      <c r="M62" s="8" t="n">
        <f aca="false">M61+L62</f>
        <v>218562.670026162</v>
      </c>
      <c r="N62" s="5" t="str">
        <f aca="false">IF(L62&gt;0,"прибыль",IF(L62&lt;0,"убыток","ноль"))</f>
        <v>убыток</v>
      </c>
      <c r="O62" s="6" t="n">
        <f aca="false">IF(L62&lt;0,O61+1,0)</f>
        <v>2</v>
      </c>
      <c r="P62" s="6" t="n">
        <v>16</v>
      </c>
    </row>
    <row r="63" customFormat="false" ht="15" hidden="false" customHeight="false" outlineLevel="0" collapsed="false">
      <c r="A63" s="6" t="n">
        <v>58</v>
      </c>
      <c r="B63" s="5" t="s">
        <v>76</v>
      </c>
      <c r="C63" s="5" t="s">
        <v>30</v>
      </c>
      <c r="D63" s="11" t="n">
        <v>46039</v>
      </c>
      <c r="E63" s="11" t="n">
        <v>46042</v>
      </c>
      <c r="F63" s="5" t="s">
        <v>75</v>
      </c>
      <c r="G63" s="12" t="n">
        <v>41875.466007425</v>
      </c>
      <c r="H63" s="13" t="n">
        <v>3.128</v>
      </c>
      <c r="I63" s="13" t="n">
        <v>3.672</v>
      </c>
      <c r="K63" s="8" t="n">
        <v>2.47260038733472</v>
      </c>
      <c r="L63" s="8" t="n">
        <v>-7579.01433965674</v>
      </c>
      <c r="M63" s="8" t="n">
        <f aca="false">M62+L63</f>
        <v>210983.655686505</v>
      </c>
      <c r="N63" s="5" t="str">
        <f aca="false">IF(L63&gt;0,"прибыль",IF(L63&lt;0,"убыток","ноль"))</f>
        <v>убыток</v>
      </c>
      <c r="O63" s="6" t="n">
        <f aca="false">IF(L63&lt;0,O62+1,0)</f>
        <v>3</v>
      </c>
      <c r="P63" s="6" t="n">
        <v>3</v>
      </c>
    </row>
    <row r="64" customFormat="false" ht="15" hidden="false" customHeight="false" outlineLevel="0" collapsed="false">
      <c r="A64" s="6" t="n">
        <v>59</v>
      </c>
      <c r="B64" s="5" t="s">
        <v>76</v>
      </c>
      <c r="C64" s="5" t="s">
        <v>30</v>
      </c>
      <c r="D64" s="11" t="n">
        <v>46042</v>
      </c>
      <c r="E64" s="11" t="n">
        <v>46044</v>
      </c>
      <c r="F64" s="5" t="s">
        <v>75</v>
      </c>
      <c r="G64" s="12" t="n">
        <v>68666.1276382977</v>
      </c>
      <c r="H64" s="13" t="n">
        <v>3.672</v>
      </c>
      <c r="I64" s="13" t="n">
        <v>5.341</v>
      </c>
      <c r="K64" s="8" t="n">
        <v>5.90433298157467</v>
      </c>
      <c r="L64" s="8" t="n">
        <v>-49426.4363261774</v>
      </c>
      <c r="M64" s="8" t="n">
        <f aca="false">M63+L64</f>
        <v>161557.219360328</v>
      </c>
      <c r="N64" s="5" t="str">
        <f aca="false">IF(L64&gt;0,"прибыль",IF(L64&lt;0,"убыток","ноль"))</f>
        <v>убыток</v>
      </c>
      <c r="O64" s="6" t="n">
        <f aca="false">IF(L64&lt;0,O63+1,0)</f>
        <v>4</v>
      </c>
      <c r="P64" s="6" t="n">
        <v>2</v>
      </c>
    </row>
    <row r="65" customFormat="false" ht="15" hidden="false" customHeight="false" outlineLevel="0" collapsed="false">
      <c r="A65" s="6" t="n">
        <v>60</v>
      </c>
      <c r="B65" s="5" t="s">
        <v>76</v>
      </c>
      <c r="C65" s="5" t="s">
        <v>30</v>
      </c>
      <c r="D65" s="11" t="n">
        <v>46044</v>
      </c>
      <c r="E65" s="11" t="n">
        <v>46045</v>
      </c>
      <c r="F65" s="5" t="s">
        <v>75</v>
      </c>
      <c r="G65" s="12" t="n">
        <v>71360.3929819056</v>
      </c>
      <c r="H65" s="13" t="n">
        <v>5.341</v>
      </c>
      <c r="I65" s="13" t="n">
        <v>4.781</v>
      </c>
      <c r="K65" s="8" t="n">
        <v>11.1185844686763</v>
      </c>
      <c r="L65" s="8" t="n">
        <v>-38507.1993693186</v>
      </c>
      <c r="M65" s="8" t="n">
        <f aca="false">M64+L65</f>
        <v>123050.019991009</v>
      </c>
      <c r="N65" s="5" t="str">
        <f aca="false">IF(L65&gt;0,"прибыль",IF(L65&lt;0,"убыток","ноль"))</f>
        <v>убыток</v>
      </c>
      <c r="O65" s="6" t="n">
        <f aca="false">IF(L65&lt;0,O64+1,0)</f>
        <v>5</v>
      </c>
      <c r="P65" s="6" t="n">
        <v>1</v>
      </c>
    </row>
    <row r="66" customFormat="false" ht="15" hidden="false" customHeight="false" outlineLevel="0" collapsed="false">
      <c r="A66" s="6" t="n">
        <v>61</v>
      </c>
      <c r="B66" s="5" t="s">
        <v>76</v>
      </c>
      <c r="C66" s="5" t="s">
        <v>30</v>
      </c>
      <c r="D66" s="11" t="n">
        <v>46045</v>
      </c>
      <c r="E66" s="11" t="n">
        <v>46049</v>
      </c>
      <c r="F66" s="5" t="s">
        <v>73</v>
      </c>
      <c r="G66" s="12" t="n">
        <v>40291.4647944543</v>
      </c>
      <c r="H66" s="13" t="n">
        <v>4.781</v>
      </c>
      <c r="I66" s="13" t="n">
        <v>6.546</v>
      </c>
      <c r="K66" s="8" t="n">
        <v>2.73278292361551</v>
      </c>
      <c r="L66" s="8" t="n">
        <v>14361.4608949322</v>
      </c>
      <c r="M66" s="8" t="n">
        <f aca="false">M65+L66</f>
        <v>137411.480885941</v>
      </c>
      <c r="N66" s="5" t="str">
        <f aca="false">IF(L66&gt;0,"прибыль",IF(L66&lt;0,"убыток","ноль"))</f>
        <v>прибыль</v>
      </c>
      <c r="O66" s="6" t="n">
        <f aca="false">IF(L66&lt;0,O65+1,0)</f>
        <v>0</v>
      </c>
      <c r="P66" s="6" t="n">
        <v>4</v>
      </c>
    </row>
    <row r="67" customFormat="false" ht="15" hidden="false" customHeight="false" outlineLevel="0" collapsed="false">
      <c r="A67" s="6" t="n">
        <v>62</v>
      </c>
      <c r="B67" s="5" t="s">
        <v>76</v>
      </c>
      <c r="C67" s="5" t="s">
        <v>30</v>
      </c>
      <c r="D67" s="11" t="n">
        <v>46049</v>
      </c>
      <c r="E67" s="11" t="n">
        <v>46093</v>
      </c>
      <c r="F67" s="5" t="s">
        <v>73</v>
      </c>
      <c r="G67" s="12" t="n">
        <v>90171.8771694032</v>
      </c>
      <c r="H67" s="13" t="n">
        <v>6.546</v>
      </c>
      <c r="I67" s="13" t="n">
        <v>3.284</v>
      </c>
      <c r="J67" s="5" t="s">
        <v>74</v>
      </c>
      <c r="K67" s="8" t="n">
        <v>20.1249765557433</v>
      </c>
      <c r="L67" s="8" t="n">
        <v>13894.8890075598</v>
      </c>
      <c r="M67" s="8" t="n">
        <f aca="false">M66+L67</f>
        <v>151306.369893501</v>
      </c>
      <c r="N67" s="5" t="str">
        <f aca="false">IF(L67&gt;0,"прибыль",IF(L67&lt;0,"убыток","ноль"))</f>
        <v>прибыль</v>
      </c>
      <c r="O67" s="6" t="n">
        <f aca="false">IF(L67&lt;0,O66+1,0)</f>
        <v>0</v>
      </c>
      <c r="P67" s="6" t="n">
        <v>40</v>
      </c>
    </row>
    <row r="68" customFormat="false" ht="15" hidden="false" customHeight="false" outlineLevel="0" collapsed="false">
      <c r="A68" s="6" t="n">
        <v>63</v>
      </c>
      <c r="B68" s="5" t="s">
        <v>76</v>
      </c>
      <c r="C68" s="5" t="s">
        <v>30</v>
      </c>
      <c r="D68" s="11" t="n">
        <v>46093</v>
      </c>
      <c r="E68" s="11" t="n">
        <v>46136</v>
      </c>
      <c r="F68" s="5" t="s">
        <v>73</v>
      </c>
      <c r="G68" s="12" t="n">
        <v>571228.177621411</v>
      </c>
      <c r="H68" s="13" t="n">
        <v>3.284</v>
      </c>
      <c r="I68" s="13" t="n">
        <v>2.582</v>
      </c>
      <c r="J68" s="5" t="s">
        <v>74</v>
      </c>
      <c r="K68" s="8" t="n">
        <v>65.2473343135354</v>
      </c>
      <c r="L68" s="8" t="n">
        <v>-50007.7555600617</v>
      </c>
      <c r="M68" s="8" t="n">
        <f aca="false">M67+L68</f>
        <v>101298.61433344</v>
      </c>
      <c r="N68" s="5" t="str">
        <f aca="false">IF(L68&gt;0,"прибыль",IF(L68&lt;0,"убыток","ноль"))</f>
        <v>убыток</v>
      </c>
      <c r="O68" s="6" t="n">
        <f aca="false">IF(L68&lt;0,O67+1,0)</f>
        <v>1</v>
      </c>
      <c r="P68" s="6" t="n">
        <v>41</v>
      </c>
    </row>
    <row r="69" customFormat="false" ht="15" hidden="false" customHeight="false" outlineLevel="0" collapsed="false">
      <c r="A69" s="6" t="n">
        <v>64</v>
      </c>
      <c r="B69" s="5" t="s">
        <v>76</v>
      </c>
      <c r="C69" s="5" t="s">
        <v>30</v>
      </c>
      <c r="D69" s="11" t="n">
        <v>46136</v>
      </c>
      <c r="E69" s="11" t="n">
        <v>46154</v>
      </c>
      <c r="F69" s="5" t="s">
        <v>75</v>
      </c>
      <c r="G69" s="12" t="n">
        <v>145204.570991169</v>
      </c>
      <c r="H69" s="13" t="n">
        <v>2.582</v>
      </c>
      <c r="I69" s="13" t="n">
        <v>2.946</v>
      </c>
      <c r="J69" s="5" t="s">
        <v>74</v>
      </c>
      <c r="K69" s="8" t="n">
        <v>7.798728755913</v>
      </c>
      <c r="L69" s="8" t="n">
        <v>-10777.8028558474</v>
      </c>
      <c r="M69" s="8" t="n">
        <f aca="false">M68+L69</f>
        <v>90520.8114775922</v>
      </c>
      <c r="N69" s="5" t="str">
        <f aca="false">IF(L69&gt;0,"прибыль",IF(L69&lt;0,"убыток","ноль"))</f>
        <v>убыток</v>
      </c>
      <c r="O69" s="6" t="n">
        <f aca="false">IF(L69&lt;0,O68+1,0)</f>
        <v>2</v>
      </c>
      <c r="P69" s="6" t="n">
        <v>16</v>
      </c>
    </row>
    <row r="70" customFormat="false" ht="15" hidden="false" customHeight="false" outlineLevel="0" collapsed="false">
      <c r="A70" s="6" t="n">
        <v>65</v>
      </c>
      <c r="B70" s="5" t="s">
        <v>76</v>
      </c>
      <c r="C70" s="5" t="s">
        <v>30</v>
      </c>
      <c r="D70" s="11" t="n">
        <v>46154</v>
      </c>
      <c r="E70" s="11" t="n">
        <v>46288</v>
      </c>
      <c r="F70" s="5" t="s">
        <v>75</v>
      </c>
      <c r="G70" s="12" t="n">
        <v>296012.406260009</v>
      </c>
      <c r="H70" s="13" t="n">
        <v>2.946</v>
      </c>
      <c r="I70" s="13" t="n">
        <v>3.023</v>
      </c>
      <c r="J70" s="5" t="s">
        <v>74</v>
      </c>
      <c r="K70" s="8" t="n">
        <v>32.5971071385694</v>
      </c>
      <c r="L70" s="8" t="n">
        <v>2551.07054423502</v>
      </c>
      <c r="M70" s="8" t="n">
        <f aca="false">M69+L70</f>
        <v>93071.8820218272</v>
      </c>
      <c r="N70" s="5" t="str">
        <f aca="false">IF(L70&gt;0,"прибыль",IF(L70&lt;0,"убыток","ноль"))</f>
        <v>прибыль</v>
      </c>
      <c r="O70" s="6" t="n">
        <f aca="false">IF(L70&lt;0,O69+1,0)</f>
        <v>0</v>
      </c>
      <c r="P70" s="6" t="n">
        <v>126</v>
      </c>
    </row>
    <row r="71" customFormat="false" ht="15" hidden="false" customHeight="false" outlineLevel="0" collapsed="false">
      <c r="A71" s="6" t="n">
        <v>66</v>
      </c>
      <c r="B71" s="5" t="s">
        <v>76</v>
      </c>
      <c r="C71" s="5" t="s">
        <v>30</v>
      </c>
      <c r="D71" s="11" t="n">
        <v>46288</v>
      </c>
      <c r="E71" s="11" t="n">
        <v>46290</v>
      </c>
      <c r="F71" s="5" t="s">
        <v>75</v>
      </c>
      <c r="G71" s="12" t="n">
        <v>85832.9606410959</v>
      </c>
      <c r="H71" s="13" t="n">
        <v>3.023</v>
      </c>
      <c r="I71" s="13" t="n">
        <v>3.183</v>
      </c>
      <c r="K71" s="8" t="n">
        <v>4.48026283923021</v>
      </c>
      <c r="L71" s="8" t="n">
        <v>-3776.77640634759</v>
      </c>
      <c r="M71" s="8" t="n">
        <f aca="false">M70+L71</f>
        <v>89295.1056154796</v>
      </c>
      <c r="N71" s="5" t="str">
        <f aca="false">IF(L71&gt;0,"прибыль",IF(L71&lt;0,"убыток","ноль"))</f>
        <v>убыток</v>
      </c>
      <c r="O71" s="6" t="n">
        <f aca="false">IF(L71&lt;0,O70+1,0)</f>
        <v>1</v>
      </c>
      <c r="P71" s="6" t="n">
        <v>2</v>
      </c>
    </row>
    <row r="72" customFormat="false" ht="15" hidden="false" customHeight="false" outlineLevel="0" collapsed="false">
      <c r="A72" s="6" t="n">
        <v>67</v>
      </c>
      <c r="B72" s="5" t="s">
        <v>76</v>
      </c>
      <c r="C72" s="5" t="s">
        <v>30</v>
      </c>
      <c r="E72" s="11" t="n">
        <v>46298</v>
      </c>
      <c r="F72" s="5" t="s">
        <v>75</v>
      </c>
      <c r="I72" s="13" t="n">
        <v>3.043</v>
      </c>
      <c r="L72" s="8" t="n">
        <v>-3970.4652831365</v>
      </c>
      <c r="M72" s="8" t="n">
        <f aca="false">M71+L72</f>
        <v>85324.6403323431</v>
      </c>
      <c r="N72" s="5" t="str">
        <f aca="false">IF(L72&gt;0,"прибыль",IF(L72&lt;0,"убыток","ноль"))</f>
        <v>убыток</v>
      </c>
      <c r="O72" s="6" t="n">
        <f aca="false">IF(L72&lt;0,O71+1,0)</f>
        <v>2</v>
      </c>
      <c r="Q72" s="5" t="s">
        <v>77</v>
      </c>
    </row>
  </sheetData>
  <autoFilter ref="A5:Q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5" min="4" style="0" width="17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9" min="8" style="0" width="12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7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60"/>
  </cols>
  <sheetData>
    <row r="1" customFormat="false" ht="15" hidden="false" customHeight="false" outlineLevel="0" collapsed="false">
      <c r="A1" s="10" t="s">
        <v>37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A3" s="2" t="s">
        <v>54</v>
      </c>
    </row>
    <row r="5" customFormat="false" ht="30" hidden="false" customHeight="true" outlineLevel="0" collapsed="false">
      <c r="A5" s="3" t="s">
        <v>55</v>
      </c>
      <c r="B5" s="3" t="s">
        <v>56</v>
      </c>
      <c r="C5" s="3" t="s">
        <v>57</v>
      </c>
      <c r="D5" s="3" t="s">
        <v>58</v>
      </c>
      <c r="E5" s="3" t="s">
        <v>59</v>
      </c>
      <c r="F5" s="3" t="s">
        <v>60</v>
      </c>
      <c r="G5" s="3" t="s">
        <v>61</v>
      </c>
      <c r="H5" s="3" t="s">
        <v>62</v>
      </c>
      <c r="I5" s="3" t="s">
        <v>63</v>
      </c>
      <c r="J5" s="3" t="s">
        <v>64</v>
      </c>
      <c r="K5" s="3" t="s">
        <v>65</v>
      </c>
      <c r="L5" s="3" t="s">
        <v>66</v>
      </c>
      <c r="M5" s="3" t="s">
        <v>67</v>
      </c>
      <c r="N5" s="3" t="s">
        <v>68</v>
      </c>
      <c r="O5" s="3" t="s">
        <v>69</v>
      </c>
      <c r="P5" s="3" t="s">
        <v>70</v>
      </c>
      <c r="Q5" s="3" t="s">
        <v>71</v>
      </c>
    </row>
    <row r="6" customFormat="false" ht="15" hidden="false" customHeight="false" outlineLevel="0" collapsed="false">
      <c r="A6" s="6" t="n">
        <v>1</v>
      </c>
      <c r="B6" s="5" t="s">
        <v>72</v>
      </c>
      <c r="C6" s="5" t="s">
        <v>25</v>
      </c>
      <c r="D6" s="11" t="n">
        <v>40956</v>
      </c>
      <c r="E6" s="11" t="n">
        <v>40970</v>
      </c>
      <c r="F6" s="5" t="s">
        <v>73</v>
      </c>
      <c r="G6" s="12" t="n">
        <v>368679.111107175</v>
      </c>
      <c r="H6" s="13" t="n">
        <v>120.35</v>
      </c>
      <c r="I6" s="13" t="n">
        <v>126.01</v>
      </c>
      <c r="K6" s="8" t="n">
        <v>78.6279321092262</v>
      </c>
      <c r="L6" s="8" t="n">
        <v>16667.1104632384</v>
      </c>
      <c r="M6" s="8" t="n">
        <f aca="false">L6</f>
        <v>16667.1104632384</v>
      </c>
      <c r="N6" s="5" t="str">
        <f aca="false">IF(L6&gt;0,"прибыль",IF(L6&lt;0,"убыток","ноль"))</f>
        <v>прибыль</v>
      </c>
      <c r="O6" s="6" t="n">
        <f aca="false">IF(L6&lt;0,1,0)</f>
        <v>0</v>
      </c>
      <c r="P6" s="6" t="n">
        <v>9</v>
      </c>
    </row>
    <row r="7" customFormat="false" ht="15" hidden="false" customHeight="false" outlineLevel="0" collapsed="false">
      <c r="A7" s="6" t="n">
        <v>2</v>
      </c>
      <c r="B7" s="5" t="s">
        <v>72</v>
      </c>
      <c r="C7" s="5" t="s">
        <v>25</v>
      </c>
      <c r="D7" s="11" t="n">
        <v>40970</v>
      </c>
      <c r="E7" s="11" t="n">
        <v>41010</v>
      </c>
      <c r="F7" s="5" t="s">
        <v>73</v>
      </c>
      <c r="G7" s="12" t="n">
        <v>818454.681574827</v>
      </c>
      <c r="H7" s="13" t="n">
        <v>126.01</v>
      </c>
      <c r="I7" s="13" t="n">
        <v>120.02</v>
      </c>
      <c r="J7" s="5" t="s">
        <v>74</v>
      </c>
      <c r="K7" s="8" t="n">
        <v>40.0008250949336</v>
      </c>
      <c r="L7" s="8" t="n">
        <v>-18478.1805012509</v>
      </c>
      <c r="M7" s="8" t="n">
        <f aca="false">M6+L7</f>
        <v>-1811.07003801254</v>
      </c>
      <c r="N7" s="5" t="str">
        <f aca="false">IF(L7&gt;0,"прибыль",IF(L7&lt;0,"убыток","ноль"))</f>
        <v>убыток</v>
      </c>
      <c r="O7" s="6" t="n">
        <f aca="false">IF(L7&lt;0,O6+1,0)</f>
        <v>1</v>
      </c>
      <c r="P7" s="6" t="n">
        <v>27</v>
      </c>
    </row>
    <row r="8" customFormat="false" ht="15" hidden="false" customHeight="false" outlineLevel="0" collapsed="false">
      <c r="A8" s="6" t="n">
        <v>3</v>
      </c>
      <c r="B8" s="5" t="s">
        <v>72</v>
      </c>
      <c r="C8" s="5" t="s">
        <v>25</v>
      </c>
      <c r="D8" s="11" t="n">
        <v>41034</v>
      </c>
      <c r="E8" s="11" t="n">
        <v>41060</v>
      </c>
      <c r="F8" s="5" t="s">
        <v>75</v>
      </c>
      <c r="G8" s="12" t="n">
        <v>311235.609631602</v>
      </c>
      <c r="H8" s="13" t="n">
        <v>113.26</v>
      </c>
      <c r="I8" s="13" t="n">
        <v>103.4</v>
      </c>
      <c r="J8" s="5" t="s">
        <v>74</v>
      </c>
      <c r="K8" s="8" t="n">
        <v>73.0470071467693</v>
      </c>
      <c r="L8" s="8" t="n">
        <v>12995.3671507744</v>
      </c>
      <c r="M8" s="8" t="n">
        <f aca="false">M7+L8</f>
        <v>11184.2971127618</v>
      </c>
      <c r="N8" s="5" t="str">
        <f aca="false">IF(L8&gt;0,"прибыль",IF(L8&lt;0,"убыток","ноль"))</f>
        <v>прибыль</v>
      </c>
      <c r="O8" s="6" t="n">
        <f aca="false">IF(L8&lt;0,O7+1,0)</f>
        <v>0</v>
      </c>
      <c r="P8" s="6" t="n">
        <v>19</v>
      </c>
    </row>
    <row r="9" customFormat="false" ht="15" hidden="false" customHeight="false" outlineLevel="0" collapsed="false">
      <c r="A9" s="6" t="n">
        <v>4</v>
      </c>
      <c r="B9" s="5" t="s">
        <v>72</v>
      </c>
      <c r="C9" s="5" t="s">
        <v>25</v>
      </c>
      <c r="D9" s="11" t="n">
        <v>41060</v>
      </c>
      <c r="E9" s="11" t="n">
        <v>41085</v>
      </c>
      <c r="F9" s="5" t="s">
        <v>75</v>
      </c>
      <c r="G9" s="12" t="n">
        <v>240347.051891278</v>
      </c>
      <c r="H9" s="13" t="n">
        <v>103.4</v>
      </c>
      <c r="I9" s="13" t="n">
        <v>90.81</v>
      </c>
      <c r="J9" s="5" t="s">
        <v>74</v>
      </c>
      <c r="K9" s="8" t="n">
        <v>10.0295095364961</v>
      </c>
      <c r="L9" s="8" t="n">
        <v>39746.8316518199</v>
      </c>
      <c r="M9" s="8" t="n">
        <f aca="false">M8+L9</f>
        <v>50931.1287645817</v>
      </c>
      <c r="N9" s="5" t="str">
        <f aca="false">IF(L9&gt;0,"прибыль",IF(L9&lt;0,"убыток","ноль"))</f>
        <v>прибыль</v>
      </c>
      <c r="O9" s="6" t="n">
        <f aca="false">IF(L9&lt;0,O8+1,0)</f>
        <v>0</v>
      </c>
      <c r="P9" s="6" t="n">
        <v>16</v>
      </c>
    </row>
    <row r="10" customFormat="false" ht="15" hidden="false" customHeight="false" outlineLevel="0" collapsed="false">
      <c r="A10" s="6" t="n">
        <v>5</v>
      </c>
      <c r="B10" s="5" t="s">
        <v>72</v>
      </c>
      <c r="C10" s="5" t="s">
        <v>25</v>
      </c>
      <c r="D10" s="11" t="n">
        <v>41085</v>
      </c>
      <c r="E10" s="11" t="n">
        <v>41092</v>
      </c>
      <c r="F10" s="5" t="s">
        <v>75</v>
      </c>
      <c r="G10" s="12" t="n">
        <v>159607.369322169</v>
      </c>
      <c r="H10" s="13" t="n">
        <v>90.81</v>
      </c>
      <c r="I10" s="13" t="n">
        <v>97.03</v>
      </c>
      <c r="K10" s="8" t="n">
        <v>7.11824102037409</v>
      </c>
      <c r="L10" s="8" t="n">
        <v>17235.430673667</v>
      </c>
      <c r="M10" s="8" t="n">
        <f aca="false">M9+L10</f>
        <v>68166.5594382487</v>
      </c>
      <c r="N10" s="5" t="str">
        <f aca="false">IF(L10&gt;0,"прибыль",IF(L10&lt;0,"убыток","ноль"))</f>
        <v>прибыль</v>
      </c>
      <c r="O10" s="6" t="n">
        <f aca="false">IF(L10&lt;0,O9+1,0)</f>
        <v>0</v>
      </c>
      <c r="P10" s="6" t="n">
        <v>5</v>
      </c>
    </row>
    <row r="11" customFormat="false" ht="15" hidden="false" customHeight="false" outlineLevel="0" collapsed="false">
      <c r="A11" s="6" t="n">
        <v>6</v>
      </c>
      <c r="B11" s="5" t="s">
        <v>72</v>
      </c>
      <c r="C11" s="5" t="s">
        <v>25</v>
      </c>
      <c r="D11" s="11" t="n">
        <v>41092</v>
      </c>
      <c r="E11" s="11" t="n">
        <v>41106</v>
      </c>
      <c r="F11" s="5" t="s">
        <v>75</v>
      </c>
      <c r="G11" s="12" t="n">
        <v>451582.916616657</v>
      </c>
      <c r="H11" s="13" t="n">
        <v>97.03</v>
      </c>
      <c r="I11" s="13" t="n">
        <v>102.72</v>
      </c>
      <c r="K11" s="8" t="n">
        <v>21.3227867048869</v>
      </c>
      <c r="L11" s="8" t="n">
        <v>25105.8597322138</v>
      </c>
      <c r="M11" s="8" t="n">
        <f aca="false">M10+L11</f>
        <v>93272.4191704625</v>
      </c>
      <c r="N11" s="5" t="str">
        <f aca="false">IF(L11&gt;0,"прибыль",IF(L11&lt;0,"убыток","ноль"))</f>
        <v>прибыль</v>
      </c>
      <c r="O11" s="6" t="n">
        <f aca="false">IF(L11&lt;0,O10+1,0)</f>
        <v>0</v>
      </c>
      <c r="P11" s="6" t="n">
        <v>10</v>
      </c>
    </row>
    <row r="12" customFormat="false" ht="15" hidden="false" customHeight="false" outlineLevel="0" collapsed="false">
      <c r="A12" s="6" t="n">
        <v>7</v>
      </c>
      <c r="B12" s="5" t="s">
        <v>72</v>
      </c>
      <c r="C12" s="5" t="s">
        <v>25</v>
      </c>
      <c r="D12" s="11" t="n">
        <v>41127</v>
      </c>
      <c r="E12" s="11" t="n">
        <v>41172</v>
      </c>
      <c r="F12" s="5" t="s">
        <v>73</v>
      </c>
      <c r="G12" s="12" t="n">
        <v>1084462.30667014</v>
      </c>
      <c r="H12" s="13" t="n">
        <v>108.55</v>
      </c>
      <c r="I12" s="13" t="n">
        <v>107.9</v>
      </c>
      <c r="J12" s="5" t="s">
        <v>74</v>
      </c>
      <c r="K12" s="8" t="n">
        <v>107.675768241821</v>
      </c>
      <c r="L12" s="8" t="n">
        <v>-15516.9242721091</v>
      </c>
      <c r="M12" s="8" t="n">
        <f aca="false">M11+L12</f>
        <v>77755.4948983534</v>
      </c>
      <c r="N12" s="5" t="str">
        <f aca="false">IF(L12&gt;0,"прибыль",IF(L12&lt;0,"убыток","ноль"))</f>
        <v>убыток</v>
      </c>
      <c r="O12" s="6" t="n">
        <f aca="false">IF(L12&lt;0,O11+1,0)</f>
        <v>1</v>
      </c>
      <c r="P12" s="6" t="n">
        <v>33</v>
      </c>
    </row>
    <row r="13" customFormat="false" ht="15" hidden="false" customHeight="false" outlineLevel="0" collapsed="false">
      <c r="A13" s="6" t="n">
        <v>8</v>
      </c>
      <c r="B13" s="5" t="s">
        <v>72</v>
      </c>
      <c r="C13" s="5" t="s">
        <v>25</v>
      </c>
      <c r="D13" s="11" t="n">
        <v>41283</v>
      </c>
      <c r="E13" s="11" t="n">
        <v>41326</v>
      </c>
      <c r="F13" s="5" t="s">
        <v>73</v>
      </c>
      <c r="G13" s="12" t="n">
        <v>393451.159340695</v>
      </c>
      <c r="H13" s="13" t="n">
        <v>112</v>
      </c>
      <c r="I13" s="13" t="n">
        <v>115.2</v>
      </c>
      <c r="J13" s="5" t="s">
        <v>74</v>
      </c>
      <c r="K13" s="8" t="n">
        <v>106.10439525997</v>
      </c>
      <c r="L13" s="8" t="n">
        <v>2106.35982087935</v>
      </c>
      <c r="M13" s="8" t="n">
        <f aca="false">M12+L13</f>
        <v>79861.8547192327</v>
      </c>
      <c r="N13" s="5" t="str">
        <f aca="false">IF(L13&gt;0,"прибыль",IF(L13&lt;0,"убыток","ноль"))</f>
        <v>прибыль</v>
      </c>
      <c r="O13" s="6" t="n">
        <f aca="false">IF(L13&lt;0,O12+1,0)</f>
        <v>0</v>
      </c>
      <c r="P13" s="6" t="n">
        <v>31</v>
      </c>
    </row>
    <row r="14" customFormat="false" ht="15" hidden="false" customHeight="false" outlineLevel="0" collapsed="false">
      <c r="A14" s="6" t="n">
        <v>9</v>
      </c>
      <c r="B14" s="5" t="s">
        <v>72</v>
      </c>
      <c r="C14" s="5" t="s">
        <v>25</v>
      </c>
      <c r="D14" s="11" t="n">
        <v>41326</v>
      </c>
      <c r="E14" s="11" t="n">
        <v>41333</v>
      </c>
      <c r="F14" s="5" t="s">
        <v>73</v>
      </c>
      <c r="G14" s="12" t="n">
        <v>1332973.12230186</v>
      </c>
      <c r="H14" s="13" t="n">
        <v>115.2</v>
      </c>
      <c r="I14" s="13" t="n">
        <v>111.9</v>
      </c>
      <c r="K14" s="8" t="n">
        <v>65.0990237726154</v>
      </c>
      <c r="L14" s="8" t="n">
        <v>-31057.7458733264</v>
      </c>
      <c r="M14" s="8" t="n">
        <f aca="false">M13+L14</f>
        <v>48804.1088459064</v>
      </c>
      <c r="N14" s="5" t="str">
        <f aca="false">IF(L14&gt;0,"прибыль",IF(L14&lt;0,"убыток","ноль"))</f>
        <v>убыток</v>
      </c>
      <c r="O14" s="6" t="n">
        <f aca="false">IF(L14&lt;0,O13+1,0)</f>
        <v>1</v>
      </c>
      <c r="P14" s="6" t="n">
        <v>5</v>
      </c>
    </row>
    <row r="15" customFormat="false" ht="15" hidden="false" customHeight="false" outlineLevel="0" collapsed="false">
      <c r="A15" s="6" t="n">
        <v>10</v>
      </c>
      <c r="B15" s="5" t="s">
        <v>72</v>
      </c>
      <c r="C15" s="5" t="s">
        <v>25</v>
      </c>
      <c r="D15" s="11" t="n">
        <v>41346</v>
      </c>
      <c r="E15" s="11" t="n">
        <v>41368</v>
      </c>
      <c r="F15" s="5" t="s">
        <v>75</v>
      </c>
      <c r="G15" s="12" t="n">
        <v>388163.035435227</v>
      </c>
      <c r="H15" s="13" t="n">
        <v>109.4</v>
      </c>
      <c r="I15" s="13" t="n">
        <v>107.3</v>
      </c>
      <c r="J15" s="5" t="s">
        <v>74</v>
      </c>
      <c r="K15" s="8" t="n">
        <v>94.0910198493501</v>
      </c>
      <c r="L15" s="8" t="n">
        <v>7037.56922736851</v>
      </c>
      <c r="M15" s="8" t="n">
        <f aca="false">M14+L15</f>
        <v>55841.6780732749</v>
      </c>
      <c r="N15" s="5" t="str">
        <f aca="false">IF(L15&gt;0,"прибыль",IF(L15&lt;0,"убыток","ноль"))</f>
        <v>прибыль</v>
      </c>
      <c r="O15" s="6" t="n">
        <f aca="false">IF(L15&lt;0,O14+1,0)</f>
        <v>0</v>
      </c>
      <c r="P15" s="6" t="n">
        <v>16</v>
      </c>
    </row>
    <row r="16" customFormat="false" ht="15" hidden="false" customHeight="false" outlineLevel="0" collapsed="false">
      <c r="A16" s="6" t="n">
        <v>11</v>
      </c>
      <c r="B16" s="5" t="s">
        <v>72</v>
      </c>
      <c r="C16" s="5" t="s">
        <v>25</v>
      </c>
      <c r="D16" s="11" t="n">
        <v>41368</v>
      </c>
      <c r="E16" s="11" t="n">
        <v>41380</v>
      </c>
      <c r="F16" s="5" t="s">
        <v>75</v>
      </c>
      <c r="G16" s="12" t="n">
        <v>239413.945899447</v>
      </c>
      <c r="H16" s="13" t="n">
        <v>107.3</v>
      </c>
      <c r="I16" s="13" t="n">
        <v>100.27</v>
      </c>
      <c r="K16" s="8" t="n">
        <v>10.9825532642174</v>
      </c>
      <c r="L16" s="8" t="n">
        <v>19751.8980618353</v>
      </c>
      <c r="M16" s="8" t="n">
        <f aca="false">M15+L16</f>
        <v>75593.5761351102</v>
      </c>
      <c r="N16" s="5" t="str">
        <f aca="false">IF(L16&gt;0,"прибыль",IF(L16&lt;0,"убыток","ноль"))</f>
        <v>прибыль</v>
      </c>
      <c r="O16" s="6" t="n">
        <f aca="false">IF(L16&lt;0,O15+1,0)</f>
        <v>0</v>
      </c>
      <c r="P16" s="6" t="n">
        <v>8</v>
      </c>
    </row>
    <row r="17" customFormat="false" ht="15" hidden="false" customHeight="false" outlineLevel="0" collapsed="false">
      <c r="A17" s="6" t="n">
        <v>12</v>
      </c>
      <c r="B17" s="5" t="s">
        <v>72</v>
      </c>
      <c r="C17" s="5" t="s">
        <v>25</v>
      </c>
      <c r="D17" s="11" t="n">
        <v>41380</v>
      </c>
      <c r="E17" s="11" t="n">
        <v>41438</v>
      </c>
      <c r="F17" s="5" t="s">
        <v>75</v>
      </c>
      <c r="G17" s="12" t="n">
        <v>228817.817317947</v>
      </c>
      <c r="H17" s="13" t="n">
        <v>100.27</v>
      </c>
      <c r="I17" s="13" t="n">
        <v>103.14</v>
      </c>
      <c r="J17" s="5" t="s">
        <v>74</v>
      </c>
      <c r="K17" s="8" t="n">
        <v>24.0231137988431</v>
      </c>
      <c r="L17" s="8" t="n">
        <v>11394.2672393783</v>
      </c>
      <c r="M17" s="8" t="n">
        <f aca="false">M16+L17</f>
        <v>86987.8433744885</v>
      </c>
      <c r="N17" s="5" t="str">
        <f aca="false">IF(L17&gt;0,"прибыль",IF(L17&lt;0,"убыток","ноль"))</f>
        <v>прибыль</v>
      </c>
      <c r="O17" s="6" t="n">
        <f aca="false">IF(L17&lt;0,O16+1,0)</f>
        <v>0</v>
      </c>
      <c r="P17" s="6" t="n">
        <v>39</v>
      </c>
    </row>
    <row r="18" customFormat="false" ht="15" hidden="false" customHeight="false" outlineLevel="0" collapsed="false">
      <c r="A18" s="6" t="n">
        <v>13</v>
      </c>
      <c r="B18" s="5" t="s">
        <v>72</v>
      </c>
      <c r="C18" s="5" t="s">
        <v>25</v>
      </c>
      <c r="D18" s="11" t="n">
        <v>41438</v>
      </c>
      <c r="E18" s="11" t="n">
        <v>41463</v>
      </c>
      <c r="F18" s="5" t="s">
        <v>75</v>
      </c>
      <c r="G18" s="12" t="n">
        <v>907456.972158462</v>
      </c>
      <c r="H18" s="13" t="n">
        <v>103.14</v>
      </c>
      <c r="I18" s="13" t="n">
        <v>107.67</v>
      </c>
      <c r="J18" s="5" t="s">
        <v>74</v>
      </c>
      <c r="K18" s="8" t="n">
        <v>44.4202875299631</v>
      </c>
      <c r="L18" s="8" t="n">
        <v>19006.8012716708</v>
      </c>
      <c r="M18" s="8" t="n">
        <f aca="false">M17+L18</f>
        <v>105994.644646159</v>
      </c>
      <c r="N18" s="5" t="str">
        <f aca="false">IF(L18&gt;0,"прибыль",IF(L18&lt;0,"убыток","ноль"))</f>
        <v>прибыль</v>
      </c>
      <c r="O18" s="6" t="n">
        <f aca="false">IF(L18&lt;0,O17+1,0)</f>
        <v>0</v>
      </c>
      <c r="P18" s="6" t="n">
        <v>17</v>
      </c>
    </row>
    <row r="19" customFormat="false" ht="15" hidden="false" customHeight="false" outlineLevel="0" collapsed="false">
      <c r="A19" s="6" t="n">
        <v>14</v>
      </c>
      <c r="B19" s="5" t="s">
        <v>72</v>
      </c>
      <c r="C19" s="5" t="s">
        <v>25</v>
      </c>
      <c r="D19" s="11" t="n">
        <v>41472</v>
      </c>
      <c r="E19" s="11" t="n">
        <v>41514</v>
      </c>
      <c r="F19" s="5" t="s">
        <v>73</v>
      </c>
      <c r="G19" s="12" t="n">
        <v>539149.079438534</v>
      </c>
      <c r="H19" s="13" t="n">
        <v>109.4</v>
      </c>
      <c r="I19" s="13" t="n">
        <v>114.35</v>
      </c>
      <c r="J19" s="5" t="s">
        <v>74</v>
      </c>
      <c r="K19" s="8" t="n">
        <v>101.494824683089</v>
      </c>
      <c r="L19" s="8" t="n">
        <v>31881.8866400698</v>
      </c>
      <c r="M19" s="8" t="n">
        <f aca="false">M18+L19</f>
        <v>137876.531286229</v>
      </c>
      <c r="N19" s="5" t="str">
        <f aca="false">IF(L19&gt;0,"прибыль",IF(L19&lt;0,"убыток","ноль"))</f>
        <v>прибыль</v>
      </c>
      <c r="O19" s="6" t="n">
        <f aca="false">IF(L19&lt;0,O18+1,0)</f>
        <v>0</v>
      </c>
      <c r="P19" s="6" t="n">
        <v>30</v>
      </c>
    </row>
    <row r="20" customFormat="false" ht="15" hidden="false" customHeight="false" outlineLevel="0" collapsed="false">
      <c r="A20" s="6" t="n">
        <v>15</v>
      </c>
      <c r="B20" s="5" t="s">
        <v>72</v>
      </c>
      <c r="C20" s="5" t="s">
        <v>25</v>
      </c>
      <c r="D20" s="11" t="n">
        <v>41514</v>
      </c>
      <c r="E20" s="11" t="n">
        <v>41535</v>
      </c>
      <c r="F20" s="5" t="s">
        <v>73</v>
      </c>
      <c r="G20" s="12" t="n">
        <v>186102.2551934</v>
      </c>
      <c r="H20" s="13" t="n">
        <v>114.35</v>
      </c>
      <c r="I20" s="13" t="n">
        <v>107.81</v>
      </c>
      <c r="J20" s="5" t="s">
        <v>74</v>
      </c>
      <c r="K20" s="8" t="n">
        <v>9.49859821695534</v>
      </c>
      <c r="L20" s="8" t="n">
        <v>3860.21054748954</v>
      </c>
      <c r="M20" s="8" t="n">
        <f aca="false">M19+L20</f>
        <v>141736.741833719</v>
      </c>
      <c r="N20" s="5" t="str">
        <f aca="false">IF(L20&gt;0,"прибыль",IF(L20&lt;0,"убыток","ноль"))</f>
        <v>прибыль</v>
      </c>
      <c r="O20" s="6" t="n">
        <f aca="false">IF(L20&lt;0,O19+1,0)</f>
        <v>0</v>
      </c>
      <c r="P20" s="6" t="n">
        <v>15</v>
      </c>
    </row>
    <row r="21" customFormat="false" ht="15" hidden="false" customHeight="false" outlineLevel="0" collapsed="false">
      <c r="A21" s="6" t="n">
        <v>16</v>
      </c>
      <c r="B21" s="5" t="s">
        <v>72</v>
      </c>
      <c r="C21" s="5" t="s">
        <v>25</v>
      </c>
      <c r="D21" s="11" t="n">
        <v>41535</v>
      </c>
      <c r="E21" s="11" t="n">
        <v>41549</v>
      </c>
      <c r="F21" s="5" t="s">
        <v>73</v>
      </c>
      <c r="G21" s="12" t="n">
        <v>733512.698126565</v>
      </c>
      <c r="H21" s="13" t="n">
        <v>107.81</v>
      </c>
      <c r="I21" s="13" t="n">
        <v>107.53</v>
      </c>
      <c r="K21" s="8" t="n">
        <v>37.3399759256025</v>
      </c>
      <c r="L21" s="8" t="n">
        <v>13249.4804095581</v>
      </c>
      <c r="M21" s="8" t="n">
        <f aca="false">M20+L21</f>
        <v>154986.222243277</v>
      </c>
      <c r="N21" s="5" t="str">
        <f aca="false">IF(L21&gt;0,"прибыль",IF(L21&lt;0,"убыток","ноль"))</f>
        <v>прибыль</v>
      </c>
      <c r="O21" s="6" t="n">
        <f aca="false">IF(L21&lt;0,O20+1,0)</f>
        <v>0</v>
      </c>
      <c r="P21" s="6" t="n">
        <v>9</v>
      </c>
    </row>
    <row r="22" customFormat="false" ht="15" hidden="false" customHeight="false" outlineLevel="0" collapsed="false">
      <c r="A22" s="6" t="n">
        <v>17</v>
      </c>
      <c r="B22" s="5" t="s">
        <v>72</v>
      </c>
      <c r="C22" s="5" t="s">
        <v>25</v>
      </c>
      <c r="D22" s="11" t="n">
        <v>41585</v>
      </c>
      <c r="E22" s="11" t="n">
        <v>41600</v>
      </c>
      <c r="F22" s="5" t="s">
        <v>75</v>
      </c>
      <c r="G22" s="12" t="n">
        <v>838243.794374211</v>
      </c>
      <c r="H22" s="13" t="n">
        <v>105.08</v>
      </c>
      <c r="I22" s="13" t="n">
        <v>109.95</v>
      </c>
      <c r="J22" s="5" t="s">
        <v>74</v>
      </c>
      <c r="K22" s="8" t="n">
        <v>123.989111335291</v>
      </c>
      <c r="L22" s="8" t="n">
        <v>-42797.3249905253</v>
      </c>
      <c r="M22" s="8" t="n">
        <f aca="false">M21+L22</f>
        <v>112188.897252752</v>
      </c>
      <c r="N22" s="5" t="str">
        <f aca="false">IF(L22&gt;0,"прибыль",IF(L22&lt;0,"убыток","ноль"))</f>
        <v>убыток</v>
      </c>
      <c r="O22" s="6" t="n">
        <f aca="false">IF(L22&lt;0,O21+1,0)</f>
        <v>1</v>
      </c>
      <c r="P22" s="6" t="n">
        <v>11</v>
      </c>
    </row>
    <row r="23" customFormat="false" ht="15" hidden="false" customHeight="false" outlineLevel="0" collapsed="false">
      <c r="A23" s="6" t="n">
        <v>18</v>
      </c>
      <c r="B23" s="5" t="s">
        <v>72</v>
      </c>
      <c r="C23" s="5" t="s">
        <v>25</v>
      </c>
      <c r="D23" s="11" t="n">
        <v>41600</v>
      </c>
      <c r="E23" s="11" t="n">
        <v>41680</v>
      </c>
      <c r="F23" s="5" t="s">
        <v>73</v>
      </c>
      <c r="G23" s="12" t="n">
        <v>295684.776464938</v>
      </c>
      <c r="H23" s="13" t="n">
        <v>109.95</v>
      </c>
      <c r="I23" s="13" t="n">
        <v>109.38</v>
      </c>
      <c r="J23" s="5" t="s">
        <v>74</v>
      </c>
      <c r="K23" s="8" t="n">
        <v>48.6810348868759</v>
      </c>
      <c r="L23" s="8" t="n">
        <v>5587.47781779512</v>
      </c>
      <c r="M23" s="8" t="n">
        <f aca="false">M22+L23</f>
        <v>117776.375070547</v>
      </c>
      <c r="N23" s="5" t="str">
        <f aca="false">IF(L23&gt;0,"прибыль",IF(L23&lt;0,"убыток","ноль"))</f>
        <v>прибыль</v>
      </c>
      <c r="O23" s="6" t="n">
        <f aca="false">IF(L23&lt;0,O22+1,0)</f>
        <v>0</v>
      </c>
      <c r="P23" s="6" t="n">
        <v>51</v>
      </c>
    </row>
    <row r="24" customFormat="false" ht="15" hidden="false" customHeight="false" outlineLevel="0" collapsed="false">
      <c r="A24" s="6" t="n">
        <v>19</v>
      </c>
      <c r="B24" s="5" t="s">
        <v>72</v>
      </c>
      <c r="C24" s="5" t="s">
        <v>25</v>
      </c>
      <c r="D24" s="11" t="n">
        <v>41680</v>
      </c>
      <c r="E24" s="11" t="n">
        <v>41712</v>
      </c>
      <c r="F24" s="5" t="s">
        <v>73</v>
      </c>
      <c r="G24" s="12" t="n">
        <v>1137236.28803317</v>
      </c>
      <c r="H24" s="13" t="n">
        <v>109.38</v>
      </c>
      <c r="I24" s="13" t="n">
        <v>107.41</v>
      </c>
      <c r="J24" s="5" t="s">
        <v>74</v>
      </c>
      <c r="K24" s="8" t="n">
        <v>56.7286562443192</v>
      </c>
      <c r="L24" s="8" t="n">
        <v>-2719.89180303014</v>
      </c>
      <c r="M24" s="8" t="n">
        <f aca="false">M23+L24</f>
        <v>115056.483267516</v>
      </c>
      <c r="N24" s="5" t="str">
        <f aca="false">IF(L24&gt;0,"прибыль",IF(L24&lt;0,"убыток","ноль"))</f>
        <v>убыток</v>
      </c>
      <c r="O24" s="6" t="n">
        <f aca="false">IF(L24&lt;0,O23+1,0)</f>
        <v>1</v>
      </c>
      <c r="P24" s="6" t="n">
        <v>23</v>
      </c>
    </row>
    <row r="25" customFormat="false" ht="15" hidden="false" customHeight="false" outlineLevel="0" collapsed="false">
      <c r="A25" s="6" t="n">
        <v>20</v>
      </c>
      <c r="B25" s="5" t="s">
        <v>72</v>
      </c>
      <c r="C25" s="5" t="s">
        <v>25</v>
      </c>
      <c r="D25" s="11" t="n">
        <v>41781</v>
      </c>
      <c r="E25" s="11" t="n">
        <v>41806</v>
      </c>
      <c r="F25" s="5" t="s">
        <v>73</v>
      </c>
      <c r="G25" s="12" t="n">
        <v>1132240.58924509</v>
      </c>
      <c r="H25" s="13" t="n">
        <v>110.56</v>
      </c>
      <c r="I25" s="13" t="n">
        <v>113.37</v>
      </c>
      <c r="K25" s="8" t="n">
        <v>172.785336361147</v>
      </c>
      <c r="L25" s="8" t="n">
        <v>31450.608394296</v>
      </c>
      <c r="M25" s="8" t="n">
        <f aca="false">M24+L25</f>
        <v>146507.091661812</v>
      </c>
      <c r="N25" s="5" t="str">
        <f aca="false">IF(L25&gt;0,"прибыль",IF(L25&lt;0,"убыток","ноль"))</f>
        <v>прибыль</v>
      </c>
      <c r="O25" s="6" t="n">
        <f aca="false">IF(L25&lt;0,O24+1,0)</f>
        <v>0</v>
      </c>
      <c r="P25" s="6" t="n">
        <v>16</v>
      </c>
    </row>
    <row r="26" customFormat="false" ht="15" hidden="false" customHeight="false" outlineLevel="0" collapsed="false">
      <c r="A26" s="6" t="n">
        <v>21</v>
      </c>
      <c r="B26" s="5" t="s">
        <v>72</v>
      </c>
      <c r="C26" s="5" t="s">
        <v>25</v>
      </c>
      <c r="D26" s="11" t="n">
        <v>41806</v>
      </c>
      <c r="E26" s="11" t="n">
        <v>41830</v>
      </c>
      <c r="F26" s="5" t="s">
        <v>73</v>
      </c>
      <c r="G26" s="12" t="n">
        <v>1159602.1550021</v>
      </c>
      <c r="H26" s="13" t="n">
        <v>113.37</v>
      </c>
      <c r="I26" s="13" t="n">
        <v>108.13</v>
      </c>
      <c r="J26" s="5" t="s">
        <v>74</v>
      </c>
      <c r="K26" s="8" t="n">
        <v>56.9874273968014</v>
      </c>
      <c r="L26" s="8" t="n">
        <v>-19910.5944934669</v>
      </c>
      <c r="M26" s="8" t="n">
        <f aca="false">M25+L26</f>
        <v>126596.497168346</v>
      </c>
      <c r="N26" s="5" t="str">
        <f aca="false">IF(L26&gt;0,"прибыль",IF(L26&lt;0,"убыток","ноль"))</f>
        <v>убыток</v>
      </c>
      <c r="O26" s="6" t="n">
        <f aca="false">IF(L26&lt;0,O25+1,0)</f>
        <v>1</v>
      </c>
      <c r="P26" s="6" t="n">
        <v>18</v>
      </c>
    </row>
    <row r="27" customFormat="false" ht="15" hidden="false" customHeight="false" outlineLevel="0" collapsed="false">
      <c r="A27" s="6" t="n">
        <v>22</v>
      </c>
      <c r="B27" s="5" t="s">
        <v>72</v>
      </c>
      <c r="C27" s="5" t="s">
        <v>25</v>
      </c>
      <c r="D27" s="11" t="n">
        <v>41834</v>
      </c>
      <c r="E27" s="11" t="n">
        <v>41886</v>
      </c>
      <c r="F27" s="5" t="s">
        <v>75</v>
      </c>
      <c r="G27" s="12" t="n">
        <v>379817.977640202</v>
      </c>
      <c r="H27" s="13" t="n">
        <v>106.64</v>
      </c>
      <c r="I27" s="13" t="n">
        <v>102.33</v>
      </c>
      <c r="J27" s="5" t="s">
        <v>74</v>
      </c>
      <c r="K27" s="8" t="n">
        <v>88.0714370294673</v>
      </c>
      <c r="L27" s="8" t="n">
        <v>26277.239050462</v>
      </c>
      <c r="M27" s="8" t="n">
        <f aca="false">M26+L27</f>
        <v>152873.736218808</v>
      </c>
      <c r="N27" s="5" t="str">
        <f aca="false">IF(L27&gt;0,"прибыль",IF(L27&lt;0,"убыток","ноль"))</f>
        <v>прибыль</v>
      </c>
      <c r="O27" s="6" t="n">
        <f aca="false">IF(L27&lt;0,O26+1,0)</f>
        <v>0</v>
      </c>
      <c r="P27" s="6" t="n">
        <v>38</v>
      </c>
    </row>
    <row r="28" customFormat="false" ht="15" hidden="false" customHeight="false" outlineLevel="0" collapsed="false">
      <c r="A28" s="6" t="n">
        <v>23</v>
      </c>
      <c r="B28" s="5" t="s">
        <v>72</v>
      </c>
      <c r="C28" s="5" t="s">
        <v>25</v>
      </c>
      <c r="D28" s="11" t="n">
        <v>41886</v>
      </c>
      <c r="E28" s="11" t="n">
        <v>41927</v>
      </c>
      <c r="F28" s="5" t="s">
        <v>75</v>
      </c>
      <c r="G28" s="12" t="n">
        <v>391656.585583659</v>
      </c>
      <c r="H28" s="13" t="n">
        <v>102.33</v>
      </c>
      <c r="I28" s="13" t="n">
        <v>85.21</v>
      </c>
      <c r="J28" s="5" t="s">
        <v>74</v>
      </c>
      <c r="K28" s="8" t="n">
        <v>37.8573311691997</v>
      </c>
      <c r="L28" s="8" t="n">
        <v>80943.3714897996</v>
      </c>
      <c r="M28" s="8" t="n">
        <f aca="false">M27+L28</f>
        <v>233817.107708607</v>
      </c>
      <c r="N28" s="5" t="str">
        <f aca="false">IF(L28&gt;0,"прибыль",IF(L28&lt;0,"убыток","ноль"))</f>
        <v>прибыль</v>
      </c>
      <c r="O28" s="6" t="n">
        <f aca="false">IF(L28&lt;0,O27+1,0)</f>
        <v>0</v>
      </c>
      <c r="P28" s="6" t="n">
        <v>29</v>
      </c>
    </row>
    <row r="29" customFormat="false" ht="15" hidden="false" customHeight="false" outlineLevel="0" collapsed="false">
      <c r="A29" s="6" t="n">
        <v>24</v>
      </c>
      <c r="B29" s="5" t="s">
        <v>72</v>
      </c>
      <c r="C29" s="5" t="s">
        <v>25</v>
      </c>
      <c r="D29" s="11" t="n">
        <v>41927</v>
      </c>
      <c r="E29" s="11" t="n">
        <v>41942</v>
      </c>
      <c r="F29" s="5" t="s">
        <v>75</v>
      </c>
      <c r="G29" s="12" t="n">
        <v>222697.933827878</v>
      </c>
      <c r="H29" s="13" t="n">
        <v>85.21</v>
      </c>
      <c r="I29" s="13" t="n">
        <v>87.03</v>
      </c>
      <c r="J29" s="5" t="s">
        <v>74</v>
      </c>
      <c r="K29" s="8" t="n">
        <v>8.84051111073768</v>
      </c>
      <c r="L29" s="8" t="n">
        <v>45878.8711020141</v>
      </c>
      <c r="M29" s="8" t="n">
        <f aca="false">M28+L29</f>
        <v>279695.978810621</v>
      </c>
      <c r="N29" s="5" t="str">
        <f aca="false">IF(L29&gt;0,"прибыль",IF(L29&lt;0,"убыток","ноль"))</f>
        <v>прибыль</v>
      </c>
      <c r="O29" s="6" t="n">
        <f aca="false">IF(L29&lt;0,O28+1,0)</f>
        <v>0</v>
      </c>
      <c r="P29" s="6" t="n">
        <v>11</v>
      </c>
    </row>
    <row r="30" customFormat="false" ht="15" hidden="false" customHeight="false" outlineLevel="0" collapsed="false">
      <c r="A30" s="6" t="n">
        <v>25</v>
      </c>
      <c r="B30" s="5" t="s">
        <v>72</v>
      </c>
      <c r="C30" s="5" t="s">
        <v>25</v>
      </c>
      <c r="D30" s="11" t="n">
        <v>41942</v>
      </c>
      <c r="E30" s="11" t="n">
        <v>41971</v>
      </c>
      <c r="F30" s="5" t="s">
        <v>75</v>
      </c>
      <c r="G30" s="12" t="n">
        <v>231625.775847442</v>
      </c>
      <c r="H30" s="13" t="n">
        <v>87.03</v>
      </c>
      <c r="I30" s="13" t="n">
        <v>72.51</v>
      </c>
      <c r="J30" s="5" t="s">
        <v>74</v>
      </c>
      <c r="K30" s="8" t="n">
        <v>17.7059426225197</v>
      </c>
      <c r="L30" s="8" t="n">
        <v>71611.6436533972</v>
      </c>
      <c r="M30" s="8" t="n">
        <f aca="false">M29+L30</f>
        <v>351307.622464018</v>
      </c>
      <c r="N30" s="5" t="str">
        <f aca="false">IF(L30&gt;0,"прибыль",IF(L30&lt;0,"убыток","ноль"))</f>
        <v>прибыль</v>
      </c>
      <c r="O30" s="6" t="n">
        <f aca="false">IF(L30&lt;0,O29+1,0)</f>
        <v>0</v>
      </c>
      <c r="P30" s="6" t="n">
        <v>20</v>
      </c>
    </row>
    <row r="31" customFormat="false" ht="15" hidden="false" customHeight="false" outlineLevel="0" collapsed="false">
      <c r="A31" s="6" t="n">
        <v>26</v>
      </c>
      <c r="B31" s="5" t="s">
        <v>72</v>
      </c>
      <c r="C31" s="5" t="s">
        <v>25</v>
      </c>
      <c r="D31" s="11" t="n">
        <v>41971</v>
      </c>
      <c r="E31" s="11" t="n">
        <v>41997</v>
      </c>
      <c r="F31" s="5" t="s">
        <v>75</v>
      </c>
      <c r="G31" s="12" t="n">
        <v>186988.420399223</v>
      </c>
      <c r="H31" s="13" t="n">
        <v>72.51</v>
      </c>
      <c r="I31" s="13" t="n">
        <v>61.56</v>
      </c>
      <c r="J31" s="5" t="s">
        <v>74</v>
      </c>
      <c r="K31" s="8" t="n">
        <v>5.37746773022919</v>
      </c>
      <c r="L31" s="8" t="n">
        <v>79433.6883269086</v>
      </c>
      <c r="M31" s="8" t="n">
        <f aca="false">M30+L31</f>
        <v>430741.310790927</v>
      </c>
      <c r="N31" s="5" t="str">
        <f aca="false">IF(L31&gt;0,"прибыль",IF(L31&lt;0,"убыток","ноль"))</f>
        <v>прибыль</v>
      </c>
      <c r="O31" s="6" t="n">
        <f aca="false">IF(L31&lt;0,O30+1,0)</f>
        <v>0</v>
      </c>
      <c r="P31" s="6" t="n">
        <v>18</v>
      </c>
    </row>
    <row r="32" customFormat="false" ht="15" hidden="false" customHeight="false" outlineLevel="0" collapsed="false">
      <c r="A32" s="6" t="n">
        <v>27</v>
      </c>
      <c r="B32" s="5" t="s">
        <v>72</v>
      </c>
      <c r="C32" s="5" t="s">
        <v>25</v>
      </c>
      <c r="D32" s="11" t="n">
        <v>41997</v>
      </c>
      <c r="E32" s="11" t="n">
        <v>42038</v>
      </c>
      <c r="F32" s="5" t="s">
        <v>75</v>
      </c>
      <c r="G32" s="12" t="n">
        <v>212451.255601135</v>
      </c>
      <c r="H32" s="13" t="n">
        <v>61.56</v>
      </c>
      <c r="I32" s="13" t="n">
        <v>54.9</v>
      </c>
      <c r="J32" s="5" t="s">
        <v>74</v>
      </c>
      <c r="K32" s="8" t="n">
        <v>10.9272173746181</v>
      </c>
      <c r="L32" s="8" t="n">
        <v>96119.5557655832</v>
      </c>
      <c r="M32" s="8" t="n">
        <f aca="false">M31+L32</f>
        <v>526860.86655651</v>
      </c>
      <c r="N32" s="5" t="str">
        <f aca="false">IF(L32&gt;0,"прибыль",IF(L32&lt;0,"убыток","ноль"))</f>
        <v>прибыль</v>
      </c>
      <c r="O32" s="6" t="n">
        <f aca="false">IF(L32&lt;0,O31+1,0)</f>
        <v>0</v>
      </c>
      <c r="P32" s="6" t="n">
        <v>25</v>
      </c>
    </row>
    <row r="33" customFormat="false" ht="15" hidden="false" customHeight="false" outlineLevel="0" collapsed="false">
      <c r="A33" s="6" t="n">
        <v>28</v>
      </c>
      <c r="B33" s="5" t="s">
        <v>72</v>
      </c>
      <c r="C33" s="5" t="s">
        <v>25</v>
      </c>
      <c r="D33" s="11" t="n">
        <v>42038</v>
      </c>
      <c r="E33" s="11" t="n">
        <v>42110</v>
      </c>
      <c r="F33" s="5" t="s">
        <v>75</v>
      </c>
      <c r="G33" s="12" t="n">
        <v>592929.986486075</v>
      </c>
      <c r="H33" s="13" t="n">
        <v>54.9</v>
      </c>
      <c r="I33" s="13" t="n">
        <v>60.2</v>
      </c>
      <c r="J33" s="5" t="s">
        <v>74</v>
      </c>
      <c r="K33" s="8" t="n">
        <v>21.5040451976039</v>
      </c>
      <c r="L33" s="8" t="n">
        <v>230202.172743319</v>
      </c>
      <c r="M33" s="8" t="n">
        <f aca="false">M32+L33</f>
        <v>757063.039299829</v>
      </c>
      <c r="N33" s="5" t="str">
        <f aca="false">IF(L33&gt;0,"прибыль",IF(L33&lt;0,"убыток","ноль"))</f>
        <v>прибыль</v>
      </c>
      <c r="O33" s="6" t="n">
        <f aca="false">IF(L33&lt;0,O32+1,0)</f>
        <v>0</v>
      </c>
      <c r="P33" s="6" t="n">
        <v>50</v>
      </c>
    </row>
    <row r="34" customFormat="false" ht="15" hidden="false" customHeight="false" outlineLevel="0" collapsed="false">
      <c r="A34" s="6" t="n">
        <v>29</v>
      </c>
      <c r="B34" s="5" t="s">
        <v>72</v>
      </c>
      <c r="C34" s="5" t="s">
        <v>25</v>
      </c>
      <c r="D34" s="11" t="n">
        <v>42129</v>
      </c>
      <c r="E34" s="11" t="n">
        <v>42152</v>
      </c>
      <c r="F34" s="5" t="s">
        <v>73</v>
      </c>
      <c r="G34" s="12" t="n">
        <v>616989.94279181</v>
      </c>
      <c r="H34" s="13" t="n">
        <v>66.7</v>
      </c>
      <c r="I34" s="13" t="n">
        <v>62.58</v>
      </c>
      <c r="J34" s="5" t="s">
        <v>74</v>
      </c>
      <c r="K34" s="8" t="n">
        <v>59.664130955003</v>
      </c>
      <c r="L34" s="8" t="n">
        <v>-40756.9306145156</v>
      </c>
      <c r="M34" s="8" t="n">
        <f aca="false">M33+L34</f>
        <v>716306.108685313</v>
      </c>
      <c r="N34" s="5" t="str">
        <f aca="false">IF(L34&gt;0,"прибыль",IF(L34&lt;0,"убыток","ноль"))</f>
        <v>убыток</v>
      </c>
      <c r="O34" s="6" t="n">
        <f aca="false">IF(L34&lt;0,O33+1,0)</f>
        <v>1</v>
      </c>
      <c r="P34" s="6" t="n">
        <v>16</v>
      </c>
    </row>
    <row r="35" customFormat="false" ht="15" hidden="false" customHeight="false" outlineLevel="0" collapsed="false">
      <c r="A35" s="6" t="n">
        <v>30</v>
      </c>
      <c r="B35" s="5" t="s">
        <v>72</v>
      </c>
      <c r="C35" s="5" t="s">
        <v>25</v>
      </c>
      <c r="D35" s="11" t="n">
        <v>42185</v>
      </c>
      <c r="E35" s="11" t="n">
        <v>42244</v>
      </c>
      <c r="F35" s="5" t="s">
        <v>75</v>
      </c>
      <c r="G35" s="12" t="n">
        <v>295989.32958178</v>
      </c>
      <c r="H35" s="13" t="n">
        <v>61.95</v>
      </c>
      <c r="I35" s="13" t="n">
        <v>47.5</v>
      </c>
      <c r="J35" s="5" t="s">
        <v>74</v>
      </c>
      <c r="K35" s="8" t="n">
        <v>45.1174820342147</v>
      </c>
      <c r="L35" s="8" t="n">
        <v>53776.5012992011</v>
      </c>
      <c r="M35" s="8" t="n">
        <f aca="false">M34+L35</f>
        <v>770082.609984515</v>
      </c>
      <c r="N35" s="5" t="str">
        <f aca="false">IF(L35&gt;0,"прибыль",IF(L35&lt;0,"убыток","ноль"))</f>
        <v>прибыль</v>
      </c>
      <c r="O35" s="6" t="n">
        <f aca="false">IF(L35&lt;0,O34+1,0)</f>
        <v>0</v>
      </c>
      <c r="P35" s="6" t="n">
        <v>43</v>
      </c>
    </row>
    <row r="36" customFormat="false" ht="15" hidden="false" customHeight="false" outlineLevel="0" collapsed="false">
      <c r="A36" s="6" t="n">
        <v>31</v>
      </c>
      <c r="B36" s="5" t="s">
        <v>72</v>
      </c>
      <c r="C36" s="5" t="s">
        <v>25</v>
      </c>
      <c r="D36" s="11" t="n">
        <v>42244</v>
      </c>
      <c r="E36" s="11" t="n">
        <v>42248</v>
      </c>
      <c r="F36" s="5" t="s">
        <v>75</v>
      </c>
      <c r="G36" s="12" t="n">
        <v>364192.60030197</v>
      </c>
      <c r="H36" s="13" t="n">
        <v>47.5</v>
      </c>
      <c r="I36" s="13" t="n">
        <v>52.9</v>
      </c>
      <c r="K36" s="8" t="n">
        <v>16.5947721642611</v>
      </c>
      <c r="L36" s="8" t="n">
        <v>32280.5622445833</v>
      </c>
      <c r="M36" s="8" t="n">
        <f aca="false">M35+L36</f>
        <v>802363.172229098</v>
      </c>
      <c r="N36" s="5" t="str">
        <f aca="false">IF(L36&gt;0,"прибыль",IF(L36&lt;0,"убыток","ноль"))</f>
        <v>прибыль</v>
      </c>
      <c r="O36" s="6" t="n">
        <f aca="false">IF(L36&lt;0,O35+1,0)</f>
        <v>0</v>
      </c>
      <c r="P36" s="6" t="n">
        <v>2</v>
      </c>
    </row>
    <row r="37" customFormat="false" ht="15" hidden="false" customHeight="false" outlineLevel="0" collapsed="false">
      <c r="A37" s="6" t="n">
        <v>32</v>
      </c>
      <c r="B37" s="5" t="s">
        <v>72</v>
      </c>
      <c r="C37" s="5" t="s">
        <v>25</v>
      </c>
      <c r="D37" s="11" t="n">
        <v>42304</v>
      </c>
      <c r="E37" s="11" t="n">
        <v>42391</v>
      </c>
      <c r="F37" s="5" t="s">
        <v>75</v>
      </c>
      <c r="G37" s="12" t="n">
        <v>124853.239994834</v>
      </c>
      <c r="H37" s="13" t="n">
        <v>47.31</v>
      </c>
      <c r="I37" s="13" t="n">
        <v>29.55</v>
      </c>
      <c r="J37" s="5" t="s">
        <v>74</v>
      </c>
      <c r="K37" s="8" t="n">
        <v>31.7871500096184</v>
      </c>
      <c r="L37" s="8" t="n">
        <v>41112.2529572779</v>
      </c>
      <c r="M37" s="8" t="n">
        <f aca="false">M36+L37</f>
        <v>843475.425186376</v>
      </c>
      <c r="N37" s="5" t="str">
        <f aca="false">IF(L37&gt;0,"прибыль",IF(L37&lt;0,"убыток","ноль"))</f>
        <v>прибыль</v>
      </c>
      <c r="O37" s="6" t="n">
        <f aca="false">IF(L37&lt;0,O36+1,0)</f>
        <v>0</v>
      </c>
      <c r="P37" s="6" t="n">
        <v>58</v>
      </c>
    </row>
    <row r="38" customFormat="false" ht="15" hidden="false" customHeight="false" outlineLevel="0" collapsed="false">
      <c r="A38" s="6" t="n">
        <v>33</v>
      </c>
      <c r="B38" s="5" t="s">
        <v>72</v>
      </c>
      <c r="C38" s="5" t="s">
        <v>25</v>
      </c>
      <c r="D38" s="11" t="n">
        <v>42391</v>
      </c>
      <c r="E38" s="11" t="n">
        <v>42394</v>
      </c>
      <c r="F38" s="5" t="s">
        <v>75</v>
      </c>
      <c r="G38" s="12" t="n">
        <v>93213.073984359</v>
      </c>
      <c r="H38" s="13" t="n">
        <v>29.55</v>
      </c>
      <c r="I38" s="13" t="n">
        <v>32.15</v>
      </c>
      <c r="K38" s="8" t="n">
        <v>3.40071781206259</v>
      </c>
      <c r="L38" s="8" t="n">
        <v>25195.3170252953</v>
      </c>
      <c r="M38" s="8" t="n">
        <f aca="false">M37+L38</f>
        <v>868670.742211671</v>
      </c>
      <c r="N38" s="5" t="str">
        <f aca="false">IF(L38&gt;0,"прибыль",IF(L38&lt;0,"убыток","ноль"))</f>
        <v>прибыль</v>
      </c>
      <c r="O38" s="6" t="n">
        <f aca="false">IF(L38&lt;0,O37+1,0)</f>
        <v>0</v>
      </c>
      <c r="P38" s="6" t="n">
        <v>1</v>
      </c>
    </row>
    <row r="39" customFormat="false" ht="15" hidden="false" customHeight="false" outlineLevel="0" collapsed="false">
      <c r="A39" s="6" t="n">
        <v>34</v>
      </c>
      <c r="B39" s="5" t="s">
        <v>72</v>
      </c>
      <c r="C39" s="5" t="s">
        <v>25</v>
      </c>
      <c r="D39" s="11" t="n">
        <v>42394</v>
      </c>
      <c r="E39" s="11" t="n">
        <v>42404</v>
      </c>
      <c r="F39" s="5" t="s">
        <v>75</v>
      </c>
      <c r="G39" s="12" t="n">
        <v>89627.2431042914</v>
      </c>
      <c r="H39" s="13" t="n">
        <v>32.15</v>
      </c>
      <c r="I39" s="13" t="n">
        <v>35.48</v>
      </c>
      <c r="J39" s="5" t="s">
        <v>74</v>
      </c>
      <c r="K39" s="8" t="n">
        <v>3.67683392643543</v>
      </c>
      <c r="L39" s="8" t="n">
        <v>16086.8877416564</v>
      </c>
      <c r="M39" s="8" t="n">
        <f aca="false">M38+L39</f>
        <v>884757.629953327</v>
      </c>
      <c r="N39" s="5" t="str">
        <f aca="false">IF(L39&gt;0,"прибыль",IF(L39&lt;0,"убыток","ноль"))</f>
        <v>прибыль</v>
      </c>
      <c r="O39" s="6" t="n">
        <f aca="false">IF(L39&lt;0,O38+1,0)</f>
        <v>0</v>
      </c>
      <c r="P39" s="6" t="n">
        <v>8</v>
      </c>
    </row>
    <row r="40" customFormat="false" ht="15" hidden="false" customHeight="false" outlineLevel="0" collapsed="false">
      <c r="A40" s="6" t="n">
        <v>35</v>
      </c>
      <c r="B40" s="5" t="s">
        <v>72</v>
      </c>
      <c r="C40" s="5" t="s">
        <v>25</v>
      </c>
      <c r="D40" s="11" t="n">
        <v>42404</v>
      </c>
      <c r="E40" s="11" t="n">
        <v>42436</v>
      </c>
      <c r="F40" s="5" t="s">
        <v>75</v>
      </c>
      <c r="G40" s="12" t="n">
        <v>289177.426297788</v>
      </c>
      <c r="H40" s="13" t="n">
        <v>35.48</v>
      </c>
      <c r="I40" s="13" t="n">
        <v>38.85</v>
      </c>
      <c r="J40" s="5" t="s">
        <v>74</v>
      </c>
      <c r="K40" s="8" t="n">
        <v>29.5932819647683</v>
      </c>
      <c r="L40" s="8" t="n">
        <v>23542.780167337</v>
      </c>
      <c r="M40" s="8" t="n">
        <f aca="false">M39+L40</f>
        <v>908300.410120664</v>
      </c>
      <c r="N40" s="5" t="str">
        <f aca="false">IF(L40&gt;0,"прибыль",IF(L40&lt;0,"убыток","ноль"))</f>
        <v>прибыль</v>
      </c>
      <c r="O40" s="6" t="n">
        <f aca="false">IF(L40&lt;0,O39+1,0)</f>
        <v>0</v>
      </c>
      <c r="P40" s="6" t="n">
        <v>22</v>
      </c>
    </row>
    <row r="41" customFormat="false" ht="15" hidden="false" customHeight="false" outlineLevel="0" collapsed="false">
      <c r="A41" s="6" t="n">
        <v>36</v>
      </c>
      <c r="B41" s="5" t="s">
        <v>72</v>
      </c>
      <c r="C41" s="5" t="s">
        <v>25</v>
      </c>
      <c r="D41" s="11" t="n">
        <v>42436</v>
      </c>
      <c r="E41" s="11" t="n">
        <v>42438</v>
      </c>
      <c r="F41" s="5" t="s">
        <v>73</v>
      </c>
      <c r="G41" s="12" t="n">
        <v>5.26307661447717E-011</v>
      </c>
      <c r="H41" s="13" t="n">
        <v>38.85</v>
      </c>
      <c r="I41" s="13" t="n">
        <v>40.69</v>
      </c>
      <c r="K41" s="8" t="n">
        <v>2.74536388019891E-015</v>
      </c>
      <c r="L41" s="8" t="n">
        <v>2.27376609532618E-012</v>
      </c>
      <c r="M41" s="8" t="n">
        <f aca="false">M40+L41</f>
        <v>908300.410120664</v>
      </c>
      <c r="N41" s="5" t="str">
        <f aca="false">IF(L41&gt;0,"прибыль",IF(L41&lt;0,"убыток","ноль"))</f>
        <v>прибыль</v>
      </c>
      <c r="O41" s="6" t="n">
        <f aca="false">IF(L41&lt;0,O40+1,0)</f>
        <v>0</v>
      </c>
      <c r="P41" s="6" t="n">
        <v>1</v>
      </c>
    </row>
    <row r="42" customFormat="false" ht="15" hidden="false" customHeight="false" outlineLevel="0" collapsed="false">
      <c r="A42" s="6" t="n">
        <v>37</v>
      </c>
      <c r="B42" s="5" t="s">
        <v>72</v>
      </c>
      <c r="C42" s="5" t="s">
        <v>25</v>
      </c>
      <c r="D42" s="11" t="n">
        <v>42438</v>
      </c>
      <c r="E42" s="11" t="n">
        <v>42471</v>
      </c>
      <c r="F42" s="5" t="s">
        <v>73</v>
      </c>
      <c r="G42" s="12" t="n">
        <v>156128.773946658</v>
      </c>
      <c r="H42" s="13" t="n">
        <v>40.69</v>
      </c>
      <c r="I42" s="13" t="n">
        <v>41.73</v>
      </c>
      <c r="J42" s="5" t="s">
        <v>74</v>
      </c>
      <c r="K42" s="8" t="n">
        <v>21.2146219352768</v>
      </c>
      <c r="L42" s="8" t="n">
        <v>13100.0508244263</v>
      </c>
      <c r="M42" s="8" t="n">
        <f aca="false">M41+L42</f>
        <v>921400.460945091</v>
      </c>
      <c r="N42" s="5" t="str">
        <f aca="false">IF(L42&gt;0,"прибыль",IF(L42&lt;0,"убыток","ноль"))</f>
        <v>прибыль</v>
      </c>
      <c r="O42" s="6" t="n">
        <f aca="false">IF(L42&lt;0,O41+1,0)</f>
        <v>0</v>
      </c>
      <c r="P42" s="6" t="n">
        <v>23</v>
      </c>
    </row>
    <row r="43" customFormat="false" ht="15" hidden="false" customHeight="false" outlineLevel="0" collapsed="false">
      <c r="A43" s="6" t="n">
        <v>38</v>
      </c>
      <c r="B43" s="5" t="s">
        <v>72</v>
      </c>
      <c r="C43" s="5" t="s">
        <v>25</v>
      </c>
      <c r="D43" s="11" t="n">
        <v>42471</v>
      </c>
      <c r="E43" s="11" t="n">
        <v>42538</v>
      </c>
      <c r="F43" s="5" t="s">
        <v>73</v>
      </c>
      <c r="G43" s="12" t="n">
        <v>611564.362291283</v>
      </c>
      <c r="H43" s="13" t="n">
        <v>41.73</v>
      </c>
      <c r="I43" s="13" t="n">
        <v>47.16</v>
      </c>
      <c r="J43" s="5" t="s">
        <v>74</v>
      </c>
      <c r="K43" s="8" t="n">
        <v>45.9925813109947</v>
      </c>
      <c r="L43" s="8" t="n">
        <v>77013.9377923044</v>
      </c>
      <c r="M43" s="8" t="n">
        <f aca="false">M42+L43</f>
        <v>998414.398737395</v>
      </c>
      <c r="N43" s="5" t="str">
        <f aca="false">IF(L43&gt;0,"прибыль",IF(L43&lt;0,"убыток","ноль"))</f>
        <v>прибыль</v>
      </c>
      <c r="O43" s="6" t="n">
        <f aca="false">IF(L43&lt;0,O42+1,0)</f>
        <v>0</v>
      </c>
      <c r="P43" s="6" t="n">
        <v>45</v>
      </c>
    </row>
    <row r="44" customFormat="false" ht="15" hidden="false" customHeight="false" outlineLevel="0" collapsed="false">
      <c r="A44" s="6" t="n">
        <v>39</v>
      </c>
      <c r="B44" s="5" t="s">
        <v>72</v>
      </c>
      <c r="C44" s="5" t="s">
        <v>25</v>
      </c>
      <c r="D44" s="11" t="n">
        <v>42563</v>
      </c>
      <c r="E44" s="11" t="n">
        <v>42597</v>
      </c>
      <c r="F44" s="5" t="s">
        <v>75</v>
      </c>
      <c r="G44" s="12" t="n">
        <v>118822.919345175</v>
      </c>
      <c r="H44" s="13" t="n">
        <v>46.08</v>
      </c>
      <c r="I44" s="13" t="n">
        <v>47.22</v>
      </c>
      <c r="J44" s="5" t="s">
        <v>74</v>
      </c>
      <c r="K44" s="8" t="n">
        <v>33.8703059224565</v>
      </c>
      <c r="L44" s="8" t="n">
        <v>-5049.53437306283</v>
      </c>
      <c r="M44" s="8" t="n">
        <f aca="false">M43+L44</f>
        <v>993364.864364332</v>
      </c>
      <c r="N44" s="5" t="str">
        <f aca="false">IF(L44&gt;0,"прибыль",IF(L44&lt;0,"убыток","ноль"))</f>
        <v>убыток</v>
      </c>
      <c r="O44" s="6" t="n">
        <f aca="false">IF(L44&lt;0,O43+1,0)</f>
        <v>1</v>
      </c>
      <c r="P44" s="6" t="n">
        <v>24</v>
      </c>
    </row>
    <row r="45" customFormat="false" ht="15" hidden="false" customHeight="false" outlineLevel="0" collapsed="false">
      <c r="A45" s="6" t="n">
        <v>40</v>
      </c>
      <c r="B45" s="5" t="s">
        <v>72</v>
      </c>
      <c r="C45" s="5" t="s">
        <v>25</v>
      </c>
      <c r="D45" s="11" t="n">
        <v>42597</v>
      </c>
      <c r="E45" s="11" t="n">
        <v>42598</v>
      </c>
      <c r="F45" s="5" t="s">
        <v>75</v>
      </c>
      <c r="G45" s="12" t="n">
        <v>434744.615691639</v>
      </c>
      <c r="H45" s="13" t="n">
        <v>47.22</v>
      </c>
      <c r="I45" s="13" t="n">
        <v>48.24</v>
      </c>
      <c r="K45" s="8" t="n">
        <v>23.1442830428971</v>
      </c>
      <c r="L45" s="8" t="n">
        <v>-28164.1894493455</v>
      </c>
      <c r="M45" s="8" t="n">
        <f aca="false">M44+L45</f>
        <v>965200.674914987</v>
      </c>
      <c r="N45" s="5" t="str">
        <f aca="false">IF(L45&gt;0,"прибыль",IF(L45&lt;0,"убыток","ноль"))</f>
        <v>убыток</v>
      </c>
      <c r="O45" s="6" t="n">
        <f aca="false">IF(L45&lt;0,O44+1,0)</f>
        <v>2</v>
      </c>
      <c r="P45" s="6" t="n">
        <v>1</v>
      </c>
    </row>
    <row r="46" customFormat="false" ht="15" hidden="false" customHeight="false" outlineLevel="0" collapsed="false">
      <c r="A46" s="6" t="n">
        <v>41</v>
      </c>
      <c r="B46" s="5" t="s">
        <v>72</v>
      </c>
      <c r="C46" s="5" t="s">
        <v>25</v>
      </c>
      <c r="D46" s="11" t="n">
        <v>42622</v>
      </c>
      <c r="E46" s="11" t="n">
        <v>42675</v>
      </c>
      <c r="F46" s="5" t="s">
        <v>73</v>
      </c>
      <c r="G46" s="12" t="n">
        <v>720273.694820671</v>
      </c>
      <c r="H46" s="13" t="n">
        <v>49.7</v>
      </c>
      <c r="I46" s="13" t="n">
        <v>48.29</v>
      </c>
      <c r="J46" s="5" t="s">
        <v>74</v>
      </c>
      <c r="K46" s="8" t="n">
        <v>70.05501831312</v>
      </c>
      <c r="L46" s="8" t="n">
        <v>-39517.0783972556</v>
      </c>
      <c r="M46" s="8" t="n">
        <f aca="false">M45+L46</f>
        <v>925683.596517731</v>
      </c>
      <c r="N46" s="5" t="str">
        <f aca="false">IF(L46&gt;0,"прибыль",IF(L46&lt;0,"убыток","ноль"))</f>
        <v>убыток</v>
      </c>
      <c r="O46" s="6" t="n">
        <f aca="false">IF(L46&lt;0,O45+1,0)</f>
        <v>3</v>
      </c>
      <c r="P46" s="6" t="n">
        <v>37</v>
      </c>
    </row>
    <row r="47" customFormat="false" ht="15" hidden="false" customHeight="false" outlineLevel="0" collapsed="false">
      <c r="A47" s="6" t="n">
        <v>42</v>
      </c>
      <c r="B47" s="5" t="s">
        <v>72</v>
      </c>
      <c r="C47" s="5" t="s">
        <v>25</v>
      </c>
      <c r="D47" s="11" t="n">
        <v>42688</v>
      </c>
      <c r="E47" s="11" t="n">
        <v>42690</v>
      </c>
      <c r="F47" s="5" t="s">
        <v>75</v>
      </c>
      <c r="G47" s="12" t="n">
        <v>230316.447213043</v>
      </c>
      <c r="H47" s="13" t="n">
        <v>44.65</v>
      </c>
      <c r="I47" s="13" t="n">
        <v>47.12</v>
      </c>
      <c r="K47" s="8" t="n">
        <v>46.2621277928554</v>
      </c>
      <c r="L47" s="8" t="n">
        <v>-13337.5303824669</v>
      </c>
      <c r="M47" s="8" t="n">
        <f aca="false">M46+L47</f>
        <v>912346.066135264</v>
      </c>
      <c r="N47" s="5" t="str">
        <f aca="false">IF(L47&gt;0,"прибыль",IF(L47&lt;0,"убыток","ноль"))</f>
        <v>убыток</v>
      </c>
      <c r="O47" s="6" t="n">
        <f aca="false">IF(L47&lt;0,O46+1,0)</f>
        <v>4</v>
      </c>
      <c r="P47" s="6" t="n">
        <v>2</v>
      </c>
    </row>
    <row r="48" customFormat="false" ht="15" hidden="false" customHeight="false" outlineLevel="0" collapsed="false">
      <c r="A48" s="6" t="n">
        <v>43</v>
      </c>
      <c r="B48" s="5" t="s">
        <v>72</v>
      </c>
      <c r="C48" s="5" t="s">
        <v>25</v>
      </c>
      <c r="D48" s="11" t="n">
        <v>42690</v>
      </c>
      <c r="E48" s="11" t="n">
        <v>42705</v>
      </c>
      <c r="F48" s="5" t="s">
        <v>75</v>
      </c>
      <c r="G48" s="12" t="n">
        <v>451318.393176347</v>
      </c>
      <c r="H48" s="13" t="n">
        <v>47.12</v>
      </c>
      <c r="I48" s="13" t="n">
        <v>50.44</v>
      </c>
      <c r="K48" s="8" t="n">
        <v>25.5642214720645</v>
      </c>
      <c r="L48" s="8" t="n">
        <v>-59991.6004864152</v>
      </c>
      <c r="M48" s="8" t="n">
        <f aca="false">M47+L48</f>
        <v>852354.465648849</v>
      </c>
      <c r="N48" s="5" t="str">
        <f aca="false">IF(L48&gt;0,"прибыль",IF(L48&lt;0,"убыток","ноль"))</f>
        <v>убыток</v>
      </c>
      <c r="O48" s="6" t="n">
        <f aca="false">IF(L48&lt;0,O47+1,0)</f>
        <v>5</v>
      </c>
      <c r="P48" s="6" t="n">
        <v>11</v>
      </c>
    </row>
    <row r="49" customFormat="false" ht="15" hidden="false" customHeight="false" outlineLevel="0" collapsed="false">
      <c r="A49" s="6" t="n">
        <v>44</v>
      </c>
      <c r="B49" s="5" t="s">
        <v>72</v>
      </c>
      <c r="C49" s="5" t="s">
        <v>25</v>
      </c>
      <c r="D49" s="11" t="n">
        <v>42797</v>
      </c>
      <c r="E49" s="11" t="n">
        <v>42804</v>
      </c>
      <c r="F49" s="5" t="s">
        <v>75</v>
      </c>
      <c r="G49" s="12" t="n">
        <v>266028.881583774</v>
      </c>
      <c r="H49" s="13" t="n">
        <v>55.17</v>
      </c>
      <c r="I49" s="13" t="n">
        <v>52.6</v>
      </c>
      <c r="K49" s="8" t="n">
        <v>55.1934265988837</v>
      </c>
      <c r="L49" s="8" t="n">
        <v>11833.3041265868</v>
      </c>
      <c r="M49" s="8" t="n">
        <f aca="false">M48+L49</f>
        <v>864187.769775436</v>
      </c>
      <c r="N49" s="5" t="str">
        <f aca="false">IF(L49&gt;0,"прибыль",IF(L49&lt;0,"убыток","ноль"))</f>
        <v>прибыль</v>
      </c>
      <c r="O49" s="6" t="n">
        <f aca="false">IF(L49&lt;0,O48+1,0)</f>
        <v>0</v>
      </c>
      <c r="P49" s="6" t="n">
        <v>4</v>
      </c>
    </row>
    <row r="50" customFormat="false" ht="15" hidden="false" customHeight="false" outlineLevel="0" collapsed="false">
      <c r="A50" s="6" t="n">
        <v>45</v>
      </c>
      <c r="B50" s="5" t="s">
        <v>72</v>
      </c>
      <c r="C50" s="5" t="s">
        <v>25</v>
      </c>
      <c r="D50" s="11" t="n">
        <v>42804</v>
      </c>
      <c r="E50" s="11" t="n">
        <v>42835</v>
      </c>
      <c r="F50" s="5" t="s">
        <v>75</v>
      </c>
      <c r="G50" s="12" t="n">
        <v>833052.68179192</v>
      </c>
      <c r="H50" s="13" t="n">
        <v>52.6</v>
      </c>
      <c r="I50" s="13" t="n">
        <v>55.28</v>
      </c>
      <c r="J50" s="5" t="s">
        <v>74</v>
      </c>
      <c r="K50" s="8" t="n">
        <v>54.1309255799107</v>
      </c>
      <c r="L50" s="8" t="n">
        <v>-266.545303267148</v>
      </c>
      <c r="M50" s="8" t="n">
        <f aca="false">M49+L50</f>
        <v>863921.224472169</v>
      </c>
      <c r="N50" s="5" t="str">
        <f aca="false">IF(L50&gt;0,"прибыль",IF(L50&lt;0,"убыток","ноль"))</f>
        <v>убыток</v>
      </c>
      <c r="O50" s="6" t="n">
        <f aca="false">IF(L50&lt;0,O49+1,0)</f>
        <v>1</v>
      </c>
      <c r="P50" s="6" t="n">
        <v>21</v>
      </c>
    </row>
    <row r="51" customFormat="false" ht="15" hidden="false" customHeight="false" outlineLevel="0" collapsed="false">
      <c r="A51" s="6" t="n">
        <v>46</v>
      </c>
      <c r="B51" s="5" t="s">
        <v>72</v>
      </c>
      <c r="C51" s="5" t="s">
        <v>25</v>
      </c>
      <c r="D51" s="11" t="n">
        <v>42860</v>
      </c>
      <c r="E51" s="11" t="n">
        <v>42873</v>
      </c>
      <c r="F51" s="5" t="s">
        <v>75</v>
      </c>
      <c r="G51" s="12" t="n">
        <v>161717.499534767</v>
      </c>
      <c r="H51" s="13" t="n">
        <v>48.46</v>
      </c>
      <c r="I51" s="13" t="n">
        <v>52.11</v>
      </c>
      <c r="K51" s="8" t="n">
        <v>44.0775243260312</v>
      </c>
      <c r="L51" s="8" t="n">
        <v>-12581.7649143738</v>
      </c>
      <c r="M51" s="8" t="n">
        <f aca="false">M50+L51</f>
        <v>851339.459557795</v>
      </c>
      <c r="N51" s="5" t="str">
        <f aca="false">IF(L51&gt;0,"прибыль",IF(L51&lt;0,"убыток","ноль"))</f>
        <v>убыток</v>
      </c>
      <c r="O51" s="6" t="n">
        <f aca="false">IF(L51&lt;0,O50+1,0)</f>
        <v>2</v>
      </c>
      <c r="P51" s="6" t="n">
        <v>7</v>
      </c>
    </row>
    <row r="52" customFormat="false" ht="15" hidden="false" customHeight="false" outlineLevel="0" collapsed="false">
      <c r="A52" s="6" t="n">
        <v>47</v>
      </c>
      <c r="B52" s="5" t="s">
        <v>72</v>
      </c>
      <c r="C52" s="5" t="s">
        <v>25</v>
      </c>
      <c r="D52" s="11" t="n">
        <v>42873</v>
      </c>
      <c r="E52" s="11" t="n">
        <v>42942</v>
      </c>
      <c r="F52" s="5" t="s">
        <v>75</v>
      </c>
      <c r="G52" s="12" t="n">
        <v>669524.930922917</v>
      </c>
      <c r="H52" s="13" t="n">
        <v>52.11</v>
      </c>
      <c r="I52" s="13" t="n">
        <v>50.8</v>
      </c>
      <c r="J52" s="5" t="s">
        <v>74</v>
      </c>
      <c r="K52" s="8" t="n">
        <v>40.4786840424811</v>
      </c>
      <c r="L52" s="8" t="n">
        <v>-16142.0977488745</v>
      </c>
      <c r="M52" s="8" t="n">
        <f aca="false">M51+L52</f>
        <v>835197.36180892</v>
      </c>
      <c r="N52" s="5" t="str">
        <f aca="false">IF(L52&gt;0,"прибыль",IF(L52&lt;0,"убыток","ноль"))</f>
        <v>убыток</v>
      </c>
      <c r="O52" s="6" t="n">
        <f aca="false">IF(L52&lt;0,O51+1,0)</f>
        <v>3</v>
      </c>
      <c r="P52" s="6" t="n">
        <v>48</v>
      </c>
    </row>
    <row r="53" customFormat="false" ht="15" hidden="false" customHeight="false" outlineLevel="0" collapsed="false">
      <c r="A53" s="6" t="n">
        <v>48</v>
      </c>
      <c r="B53" s="5" t="s">
        <v>72</v>
      </c>
      <c r="C53" s="5" t="s">
        <v>25</v>
      </c>
      <c r="D53" s="11" t="n">
        <v>42947</v>
      </c>
      <c r="E53" s="11" t="n">
        <v>43060</v>
      </c>
      <c r="F53" s="5" t="s">
        <v>73</v>
      </c>
      <c r="G53" s="12" t="n">
        <v>161620.873048444</v>
      </c>
      <c r="H53" s="13" t="n">
        <v>52.63</v>
      </c>
      <c r="I53" s="13" t="n">
        <v>62.14</v>
      </c>
      <c r="J53" s="5" t="s">
        <v>74</v>
      </c>
      <c r="K53" s="8" t="n">
        <v>48.7027391047873</v>
      </c>
      <c r="L53" s="8" t="n">
        <v>30334.037767545</v>
      </c>
      <c r="M53" s="8" t="n">
        <f aca="false">M52+L53</f>
        <v>865531.399576465</v>
      </c>
      <c r="N53" s="5" t="str">
        <f aca="false">IF(L53&gt;0,"прибыль",IF(L53&lt;0,"убыток","ноль"))</f>
        <v>прибыль</v>
      </c>
      <c r="O53" s="6" t="n">
        <f aca="false">IF(L53&lt;0,O52+1,0)</f>
        <v>0</v>
      </c>
      <c r="P53" s="6" t="n">
        <v>80</v>
      </c>
    </row>
    <row r="54" customFormat="false" ht="15" hidden="false" customHeight="false" outlineLevel="0" collapsed="false">
      <c r="A54" s="6" t="n">
        <v>49</v>
      </c>
      <c r="B54" s="5" t="s">
        <v>72</v>
      </c>
      <c r="C54" s="5" t="s">
        <v>25</v>
      </c>
      <c r="D54" s="11" t="n">
        <v>43060</v>
      </c>
      <c r="E54" s="11" t="n">
        <v>43080</v>
      </c>
      <c r="F54" s="5" t="s">
        <v>73</v>
      </c>
      <c r="G54" s="12" t="n">
        <v>193487.224653066</v>
      </c>
      <c r="H54" s="13" t="n">
        <v>62.14</v>
      </c>
      <c r="I54" s="13" t="n">
        <v>62.92</v>
      </c>
      <c r="J54" s="5" t="s">
        <v>74</v>
      </c>
      <c r="K54" s="8" t="n">
        <v>23.3362368874009</v>
      </c>
      <c r="L54" s="8" t="n">
        <v>28980.5972165942</v>
      </c>
      <c r="M54" s="8" t="n">
        <f aca="false">M53+L54</f>
        <v>894511.996793059</v>
      </c>
      <c r="N54" s="5" t="str">
        <f aca="false">IF(L54&gt;0,"прибыль",IF(L54&lt;0,"убыток","ноль"))</f>
        <v>прибыль</v>
      </c>
      <c r="O54" s="6" t="n">
        <f aca="false">IF(L54&lt;0,O53+1,0)</f>
        <v>0</v>
      </c>
      <c r="P54" s="6" t="n">
        <v>14</v>
      </c>
    </row>
    <row r="55" customFormat="false" ht="15" hidden="false" customHeight="false" outlineLevel="0" collapsed="false">
      <c r="A55" s="6" t="n">
        <v>50</v>
      </c>
      <c r="B55" s="5" t="s">
        <v>72</v>
      </c>
      <c r="C55" s="5" t="s">
        <v>25</v>
      </c>
      <c r="D55" s="11" t="n">
        <v>43080</v>
      </c>
      <c r="E55" s="11" t="n">
        <v>43126</v>
      </c>
      <c r="F55" s="5" t="s">
        <v>73</v>
      </c>
      <c r="G55" s="12" t="n">
        <v>205155.493925533</v>
      </c>
      <c r="H55" s="13" t="n">
        <v>62.92</v>
      </c>
      <c r="I55" s="13" t="n">
        <v>70.09</v>
      </c>
      <c r="K55" s="8" t="n">
        <v>26.0782178060009</v>
      </c>
      <c r="L55" s="8" t="n">
        <v>40656.5409981913</v>
      </c>
      <c r="M55" s="8" t="n">
        <f aca="false">M54+L55</f>
        <v>935168.537791251</v>
      </c>
      <c r="N55" s="5" t="str">
        <f aca="false">IF(L55&gt;0,"прибыль",IF(L55&lt;0,"убыток","ноль"))</f>
        <v>прибыль</v>
      </c>
      <c r="O55" s="6" t="n">
        <f aca="false">IF(L55&lt;0,O54+1,0)</f>
        <v>0</v>
      </c>
      <c r="P55" s="6" t="n">
        <v>31</v>
      </c>
    </row>
    <row r="56" customFormat="false" ht="15" hidden="false" customHeight="false" outlineLevel="0" collapsed="false">
      <c r="A56" s="6" t="n">
        <v>51</v>
      </c>
      <c r="B56" s="5" t="s">
        <v>72</v>
      </c>
      <c r="C56" s="5" t="s">
        <v>25</v>
      </c>
      <c r="D56" s="11" t="n">
        <v>43126</v>
      </c>
      <c r="E56" s="11" t="n">
        <v>43137</v>
      </c>
      <c r="F56" s="5" t="s">
        <v>73</v>
      </c>
      <c r="G56" s="12" t="n">
        <v>922458.372447122</v>
      </c>
      <c r="H56" s="13" t="n">
        <v>70.09</v>
      </c>
      <c r="I56" s="13" t="n">
        <v>67.35</v>
      </c>
      <c r="J56" s="5" t="s">
        <v>74</v>
      </c>
      <c r="K56" s="8" t="n">
        <v>59.9383444738689</v>
      </c>
      <c r="L56" s="8" t="n">
        <v>95537.6057722283</v>
      </c>
      <c r="M56" s="8" t="n">
        <f aca="false">M55+L56</f>
        <v>1030706.14356348</v>
      </c>
      <c r="N56" s="5" t="str">
        <f aca="false">IF(L56&gt;0,"прибыль",IF(L56&lt;0,"убыток","ноль"))</f>
        <v>прибыль</v>
      </c>
      <c r="O56" s="6" t="n">
        <f aca="false">IF(L56&lt;0,O55+1,0)</f>
        <v>0</v>
      </c>
      <c r="P56" s="6" t="n">
        <v>7</v>
      </c>
    </row>
    <row r="57" customFormat="false" ht="15" hidden="false" customHeight="false" outlineLevel="0" collapsed="false">
      <c r="A57" s="6" t="n">
        <v>52</v>
      </c>
      <c r="B57" s="5" t="s">
        <v>72</v>
      </c>
      <c r="C57" s="5" t="s">
        <v>25</v>
      </c>
      <c r="D57" s="11" t="n">
        <v>43185</v>
      </c>
      <c r="E57" s="11" t="n">
        <v>43201</v>
      </c>
      <c r="F57" s="5" t="s">
        <v>73</v>
      </c>
      <c r="G57" s="12" t="n">
        <v>185888.173403484</v>
      </c>
      <c r="H57" s="13" t="n">
        <v>70.45</v>
      </c>
      <c r="I57" s="13" t="n">
        <v>70.96</v>
      </c>
      <c r="J57" s="5" t="s">
        <v>74</v>
      </c>
      <c r="K57" s="8" t="n">
        <v>49.1472679160725</v>
      </c>
      <c r="L57" s="8" t="n">
        <v>7435.88986451814</v>
      </c>
      <c r="M57" s="8" t="n">
        <f aca="false">M56+L57</f>
        <v>1038142.033428</v>
      </c>
      <c r="N57" s="5" t="str">
        <f aca="false">IF(L57&gt;0,"прибыль",IF(L57&lt;0,"убыток","ноль"))</f>
        <v>прибыль</v>
      </c>
      <c r="O57" s="6" t="n">
        <f aca="false">IF(L57&lt;0,O56+1,0)</f>
        <v>0</v>
      </c>
      <c r="P57" s="6" t="n">
        <v>12</v>
      </c>
    </row>
    <row r="58" customFormat="false" ht="15" hidden="false" customHeight="false" outlineLevel="0" collapsed="false">
      <c r="A58" s="6" t="n">
        <v>53</v>
      </c>
      <c r="B58" s="5" t="s">
        <v>72</v>
      </c>
      <c r="C58" s="5" t="s">
        <v>25</v>
      </c>
      <c r="D58" s="11" t="n">
        <v>43201</v>
      </c>
      <c r="E58" s="11" t="n">
        <v>43248</v>
      </c>
      <c r="F58" s="5" t="s">
        <v>73</v>
      </c>
      <c r="G58" s="12" t="n">
        <v>122523.719436948</v>
      </c>
      <c r="H58" s="13" t="n">
        <v>70.96</v>
      </c>
      <c r="I58" s="13" t="n">
        <v>76.14</v>
      </c>
      <c r="J58" s="5" t="s">
        <v>74</v>
      </c>
      <c r="K58" s="8" t="n">
        <v>7.0290515975978</v>
      </c>
      <c r="L58" s="8" t="n">
        <v>18050.2834634109</v>
      </c>
      <c r="M58" s="8" t="n">
        <f aca="false">M57+L58</f>
        <v>1056192.31689141</v>
      </c>
      <c r="N58" s="5" t="str">
        <f aca="false">IF(L58&gt;0,"прибыль",IF(L58&lt;0,"убыток","ноль"))</f>
        <v>прибыль</v>
      </c>
      <c r="O58" s="6" t="n">
        <f aca="false">IF(L58&lt;0,O57+1,0)</f>
        <v>0</v>
      </c>
      <c r="P58" s="6" t="n">
        <v>32</v>
      </c>
    </row>
    <row r="59" customFormat="false" ht="15" hidden="false" customHeight="false" outlineLevel="0" collapsed="false">
      <c r="A59" s="6" t="n">
        <v>54</v>
      </c>
      <c r="B59" s="5" t="s">
        <v>72</v>
      </c>
      <c r="C59" s="5" t="s">
        <v>25</v>
      </c>
      <c r="D59" s="11" t="n">
        <v>43248</v>
      </c>
      <c r="E59" s="11" t="n">
        <v>43269</v>
      </c>
      <c r="F59" s="5" t="s">
        <v>73</v>
      </c>
      <c r="G59" s="12" t="n">
        <v>481160.254945099</v>
      </c>
      <c r="H59" s="13" t="n">
        <v>76.14</v>
      </c>
      <c r="I59" s="13" t="n">
        <v>73.05</v>
      </c>
      <c r="J59" s="5" t="s">
        <v>74</v>
      </c>
      <c r="K59" s="8" t="n">
        <v>26.811973410383</v>
      </c>
      <c r="L59" s="8" t="n">
        <v>55052.4012891491</v>
      </c>
      <c r="M59" s="8" t="n">
        <f aca="false">M58+L59</f>
        <v>1111244.71818056</v>
      </c>
      <c r="N59" s="5" t="str">
        <f aca="false">IF(L59&gt;0,"прибыль",IF(L59&lt;0,"убыток","ноль"))</f>
        <v>прибыль</v>
      </c>
      <c r="O59" s="6" t="n">
        <f aca="false">IF(L59&lt;0,O58+1,0)</f>
        <v>0</v>
      </c>
      <c r="P59" s="6" t="n">
        <v>15</v>
      </c>
    </row>
    <row r="60" customFormat="false" ht="15" hidden="false" customHeight="false" outlineLevel="0" collapsed="false">
      <c r="A60" s="6" t="n">
        <v>55</v>
      </c>
      <c r="B60" s="5" t="s">
        <v>72</v>
      </c>
      <c r="C60" s="5" t="s">
        <v>25</v>
      </c>
      <c r="D60" s="11" t="n">
        <v>43285</v>
      </c>
      <c r="E60" s="11" t="n">
        <v>43293</v>
      </c>
      <c r="F60" s="5" t="s">
        <v>73</v>
      </c>
      <c r="G60" s="12" t="n">
        <v>112249.635675689</v>
      </c>
      <c r="H60" s="13" t="n">
        <v>77.85</v>
      </c>
      <c r="I60" s="13" t="n">
        <v>74.06</v>
      </c>
      <c r="K60" s="8" t="n">
        <v>33.0545235419971</v>
      </c>
      <c r="L60" s="8" t="n">
        <v>-5769.86304995195</v>
      </c>
      <c r="M60" s="8" t="n">
        <f aca="false">M59+L60</f>
        <v>1105474.85513061</v>
      </c>
      <c r="N60" s="5" t="str">
        <f aca="false">IF(L60&gt;0,"прибыль",IF(L60&lt;0,"убыток","ноль"))</f>
        <v>убыток</v>
      </c>
      <c r="O60" s="6" t="n">
        <f aca="false">IF(L60&lt;0,O59+1,0)</f>
        <v>1</v>
      </c>
      <c r="P60" s="6" t="n">
        <v>6</v>
      </c>
    </row>
    <row r="61" customFormat="false" ht="15" hidden="false" customHeight="false" outlineLevel="0" collapsed="false">
      <c r="A61" s="6" t="n">
        <v>56</v>
      </c>
      <c r="B61" s="5" t="s">
        <v>72</v>
      </c>
      <c r="C61" s="5" t="s">
        <v>25</v>
      </c>
      <c r="D61" s="11" t="n">
        <v>43293</v>
      </c>
      <c r="E61" s="11" t="n">
        <v>43340</v>
      </c>
      <c r="F61" s="5" t="s">
        <v>73</v>
      </c>
      <c r="G61" s="12" t="n">
        <v>177478.982558651</v>
      </c>
      <c r="H61" s="13" t="n">
        <v>74.06</v>
      </c>
      <c r="I61" s="13" t="n">
        <v>76.3</v>
      </c>
      <c r="J61" s="5" t="s">
        <v>74</v>
      </c>
      <c r="K61" s="8" t="n">
        <v>31.1801921151028</v>
      </c>
      <c r="L61" s="8" t="n">
        <v>4624.84222877042</v>
      </c>
      <c r="M61" s="8" t="n">
        <f aca="false">M60+L61</f>
        <v>1110099.69735938</v>
      </c>
      <c r="N61" s="5" t="str">
        <f aca="false">IF(L61&gt;0,"прибыль",IF(L61&lt;0,"убыток","ноль"))</f>
        <v>прибыль</v>
      </c>
      <c r="O61" s="6" t="n">
        <f aca="false">IF(L61&lt;0,O60+1,0)</f>
        <v>0</v>
      </c>
      <c r="P61" s="6" t="n">
        <v>33</v>
      </c>
    </row>
    <row r="62" customFormat="false" ht="15" hidden="false" customHeight="false" outlineLevel="0" collapsed="false">
      <c r="A62" s="6" t="n">
        <v>57</v>
      </c>
      <c r="B62" s="5" t="s">
        <v>72</v>
      </c>
      <c r="C62" s="5" t="s">
        <v>25</v>
      </c>
      <c r="D62" s="11" t="n">
        <v>43340</v>
      </c>
      <c r="E62" s="11" t="n">
        <v>43384</v>
      </c>
      <c r="F62" s="5" t="s">
        <v>73</v>
      </c>
      <c r="G62" s="12" t="n">
        <v>194654.678659364</v>
      </c>
      <c r="H62" s="13" t="n">
        <v>76.3</v>
      </c>
      <c r="I62" s="13" t="n">
        <v>82.45</v>
      </c>
      <c r="J62" s="5" t="s">
        <v>74</v>
      </c>
      <c r="K62" s="8" t="n">
        <v>17.914894721215</v>
      </c>
      <c r="L62" s="8" t="n">
        <v>12200.6438446427</v>
      </c>
      <c r="M62" s="8" t="n">
        <f aca="false">M61+L62</f>
        <v>1122300.34120402</v>
      </c>
      <c r="N62" s="5" t="str">
        <f aca="false">IF(L62&gt;0,"прибыль",IF(L62&lt;0,"убыток","ноль"))</f>
        <v>прибыль</v>
      </c>
      <c r="O62" s="6" t="n">
        <f aca="false">IF(L62&lt;0,O61+1,0)</f>
        <v>0</v>
      </c>
      <c r="P62" s="6" t="n">
        <v>32</v>
      </c>
    </row>
    <row r="63" customFormat="false" ht="15" hidden="false" customHeight="false" outlineLevel="0" collapsed="false">
      <c r="A63" s="6" t="n">
        <v>58</v>
      </c>
      <c r="B63" s="5" t="s">
        <v>72</v>
      </c>
      <c r="C63" s="5" t="s">
        <v>25</v>
      </c>
      <c r="D63" s="11" t="n">
        <v>43384</v>
      </c>
      <c r="E63" s="11" t="n">
        <v>43397</v>
      </c>
      <c r="F63" s="5" t="s">
        <v>73</v>
      </c>
      <c r="G63" s="12" t="n">
        <v>663087.841145051</v>
      </c>
      <c r="H63" s="13" t="n">
        <v>82.45</v>
      </c>
      <c r="I63" s="13" t="n">
        <v>76.19</v>
      </c>
      <c r="K63" s="8" t="n">
        <v>60.8189412692421</v>
      </c>
      <c r="L63" s="8" t="n">
        <v>-12050.6732985532</v>
      </c>
      <c r="M63" s="8" t="n">
        <f aca="false">M62+L63</f>
        <v>1110249.66790547</v>
      </c>
      <c r="N63" s="5" t="str">
        <f aca="false">IF(L63&gt;0,"прибыль",IF(L63&lt;0,"убыток","ноль"))</f>
        <v>убыток</v>
      </c>
      <c r="O63" s="6" t="n">
        <f aca="false">IF(L63&lt;0,O62+1,0)</f>
        <v>1</v>
      </c>
      <c r="P63" s="6" t="n">
        <v>9</v>
      </c>
    </row>
    <row r="64" customFormat="false" ht="15" hidden="false" customHeight="false" outlineLevel="0" collapsed="false">
      <c r="A64" s="6" t="n">
        <v>59</v>
      </c>
      <c r="B64" s="5" t="s">
        <v>72</v>
      </c>
      <c r="C64" s="5" t="s">
        <v>25</v>
      </c>
      <c r="D64" s="11" t="n">
        <v>43397</v>
      </c>
      <c r="E64" s="11" t="n">
        <v>43419</v>
      </c>
      <c r="F64" s="5" t="s">
        <v>75</v>
      </c>
      <c r="G64" s="12" t="n">
        <v>156596.859259644</v>
      </c>
      <c r="H64" s="13" t="n">
        <v>76.19</v>
      </c>
      <c r="I64" s="13" t="n">
        <v>66.27</v>
      </c>
      <c r="J64" s="5" t="s">
        <v>74</v>
      </c>
      <c r="K64" s="8" t="n">
        <v>12.8712228322896</v>
      </c>
      <c r="L64" s="8" t="n">
        <v>13627.6312314412</v>
      </c>
      <c r="M64" s="8" t="n">
        <f aca="false">M63+L64</f>
        <v>1123877.29913691</v>
      </c>
      <c r="N64" s="5" t="str">
        <f aca="false">IF(L64&gt;0,"прибыль",IF(L64&lt;0,"убыток","ноль"))</f>
        <v>прибыль</v>
      </c>
      <c r="O64" s="6" t="n">
        <f aca="false">IF(L64&lt;0,O63+1,0)</f>
        <v>0</v>
      </c>
      <c r="P64" s="6" t="n">
        <v>15</v>
      </c>
    </row>
    <row r="65" customFormat="false" ht="15" hidden="false" customHeight="false" outlineLevel="0" collapsed="false">
      <c r="A65" s="6" t="n">
        <v>60</v>
      </c>
      <c r="B65" s="5" t="s">
        <v>72</v>
      </c>
      <c r="C65" s="5" t="s">
        <v>25</v>
      </c>
      <c r="D65" s="11" t="n">
        <v>43419</v>
      </c>
      <c r="E65" s="11" t="n">
        <v>43461</v>
      </c>
      <c r="F65" s="5" t="s">
        <v>75</v>
      </c>
      <c r="G65" s="12" t="n">
        <v>298929.301906483</v>
      </c>
      <c r="H65" s="13" t="n">
        <v>66.27</v>
      </c>
      <c r="I65" s="13" t="n">
        <v>54.9</v>
      </c>
      <c r="J65" s="5" t="s">
        <v>74</v>
      </c>
      <c r="K65" s="8" t="n">
        <v>17.8170177571118</v>
      </c>
      <c r="L65" s="8" t="n">
        <v>66965.6345153956</v>
      </c>
      <c r="M65" s="8" t="n">
        <f aca="false">M64+L65</f>
        <v>1190842.9336523</v>
      </c>
      <c r="N65" s="5" t="str">
        <f aca="false">IF(L65&gt;0,"прибыль",IF(L65&lt;0,"убыток","ноль"))</f>
        <v>прибыль</v>
      </c>
      <c r="O65" s="6" t="n">
        <f aca="false">IF(L65&lt;0,O64+1,0)</f>
        <v>0</v>
      </c>
      <c r="P65" s="6" t="n">
        <v>30</v>
      </c>
    </row>
    <row r="66" customFormat="false" ht="15" hidden="false" customHeight="false" outlineLevel="0" collapsed="false">
      <c r="A66" s="6" t="n">
        <v>61</v>
      </c>
      <c r="B66" s="5" t="s">
        <v>72</v>
      </c>
      <c r="C66" s="5" t="s">
        <v>25</v>
      </c>
      <c r="D66" s="11" t="n">
        <v>43461</v>
      </c>
      <c r="E66" s="11" t="n">
        <v>43511</v>
      </c>
      <c r="F66" s="5" t="s">
        <v>75</v>
      </c>
      <c r="G66" s="12" t="n">
        <v>694290.788831449</v>
      </c>
      <c r="H66" s="13" t="n">
        <v>54.9</v>
      </c>
      <c r="I66" s="13" t="n">
        <v>64.75</v>
      </c>
      <c r="J66" s="5" t="s">
        <v>74</v>
      </c>
      <c r="K66" s="8" t="n">
        <v>50.0464215556628</v>
      </c>
      <c r="L66" s="8" t="n">
        <v>38985.8180878129</v>
      </c>
      <c r="M66" s="8" t="n">
        <f aca="false">M65+L66</f>
        <v>1229828.75174012</v>
      </c>
      <c r="N66" s="5" t="str">
        <f aca="false">IF(L66&gt;0,"прибыль",IF(L66&lt;0,"убыток","ноль"))</f>
        <v>прибыль</v>
      </c>
      <c r="O66" s="6" t="n">
        <f aca="false">IF(L66&lt;0,O65+1,0)</f>
        <v>0</v>
      </c>
      <c r="P66" s="6" t="n">
        <v>33</v>
      </c>
    </row>
    <row r="67" customFormat="false" ht="15" hidden="false" customHeight="false" outlineLevel="0" collapsed="false">
      <c r="A67" s="6" t="n">
        <v>62</v>
      </c>
      <c r="B67" s="5" t="s">
        <v>72</v>
      </c>
      <c r="C67" s="5" t="s">
        <v>25</v>
      </c>
      <c r="D67" s="11" t="n">
        <v>43514</v>
      </c>
      <c r="E67" s="11" t="n">
        <v>43578</v>
      </c>
      <c r="F67" s="5" t="s">
        <v>73</v>
      </c>
      <c r="G67" s="12" t="n">
        <v>256564.325619155</v>
      </c>
      <c r="H67" s="13" t="n">
        <v>66.44</v>
      </c>
      <c r="I67" s="13" t="n">
        <v>74.17</v>
      </c>
      <c r="J67" s="5" t="s">
        <v>74</v>
      </c>
      <c r="K67" s="8" t="n">
        <v>74.8390650672278</v>
      </c>
      <c r="L67" s="8" t="n">
        <v>26964.891892294</v>
      </c>
      <c r="M67" s="8" t="n">
        <f aca="false">M66+L67</f>
        <v>1256793.64363241</v>
      </c>
      <c r="N67" s="5" t="str">
        <f aca="false">IF(L67&gt;0,"прибыль",IF(L67&lt;0,"убыток","ноль"))</f>
        <v>прибыль</v>
      </c>
      <c r="O67" s="6" t="n">
        <f aca="false">IF(L67&lt;0,O66+1,0)</f>
        <v>0</v>
      </c>
      <c r="P67" s="6" t="n">
        <v>46</v>
      </c>
    </row>
    <row r="68" customFormat="false" ht="15" hidden="false" customHeight="false" outlineLevel="0" collapsed="false">
      <c r="A68" s="6" t="n">
        <v>63</v>
      </c>
      <c r="B68" s="5" t="s">
        <v>72</v>
      </c>
      <c r="C68" s="5" t="s">
        <v>25</v>
      </c>
      <c r="D68" s="11" t="n">
        <v>43578</v>
      </c>
      <c r="E68" s="11" t="n">
        <v>43584</v>
      </c>
      <c r="F68" s="5" t="s">
        <v>73</v>
      </c>
      <c r="G68" s="12" t="n">
        <v>254484.373329872</v>
      </c>
      <c r="H68" s="13" t="n">
        <v>74.17</v>
      </c>
      <c r="I68" s="13" t="n">
        <v>71.6</v>
      </c>
      <c r="K68" s="8" t="n">
        <v>13.5754215623804</v>
      </c>
      <c r="L68" s="8" t="n">
        <v>17010.4824961732</v>
      </c>
      <c r="M68" s="8" t="n">
        <f aca="false">M67+L68</f>
        <v>1273804.12612858</v>
      </c>
      <c r="N68" s="5" t="str">
        <f aca="false">IF(L68&gt;0,"прибыль",IF(L68&lt;0,"убыток","ноль"))</f>
        <v>прибыль</v>
      </c>
      <c r="O68" s="6" t="n">
        <f aca="false">IF(L68&lt;0,O67+1,0)</f>
        <v>0</v>
      </c>
      <c r="P68" s="6" t="n">
        <v>4</v>
      </c>
    </row>
    <row r="69" customFormat="false" ht="15" hidden="false" customHeight="false" outlineLevel="0" collapsed="false">
      <c r="A69" s="6" t="n">
        <v>64</v>
      </c>
      <c r="B69" s="5" t="s">
        <v>72</v>
      </c>
      <c r="C69" s="5" t="s">
        <v>25</v>
      </c>
      <c r="D69" s="11" t="n">
        <v>43584</v>
      </c>
      <c r="E69" s="11" t="n">
        <v>43609</v>
      </c>
      <c r="F69" s="5" t="s">
        <v>73</v>
      </c>
      <c r="G69" s="12" t="n">
        <v>702128.545819012</v>
      </c>
      <c r="H69" s="13" t="n">
        <v>71.6</v>
      </c>
      <c r="I69" s="13" t="n">
        <v>67.97</v>
      </c>
      <c r="J69" s="5" t="s">
        <v>74</v>
      </c>
      <c r="K69" s="8" t="n">
        <v>36.7138202255138</v>
      </c>
      <c r="L69" s="8" t="n">
        <v>32111.1448710392</v>
      </c>
      <c r="M69" s="8" t="n">
        <f aca="false">M68+L69</f>
        <v>1305915.27099962</v>
      </c>
      <c r="N69" s="5" t="str">
        <f aca="false">IF(L69&gt;0,"прибыль",IF(L69&lt;0,"убыток","ноль"))</f>
        <v>прибыль</v>
      </c>
      <c r="O69" s="6" t="n">
        <f aca="false">IF(L69&lt;0,O68+1,0)</f>
        <v>0</v>
      </c>
      <c r="P69" s="6" t="n">
        <v>17</v>
      </c>
    </row>
    <row r="70" customFormat="false" ht="15" hidden="false" customHeight="false" outlineLevel="0" collapsed="false">
      <c r="A70" s="6" t="n">
        <v>65</v>
      </c>
      <c r="B70" s="5" t="s">
        <v>72</v>
      </c>
      <c r="C70" s="5" t="s">
        <v>25</v>
      </c>
      <c r="D70" s="11" t="n">
        <v>43616</v>
      </c>
      <c r="E70" s="11" t="n">
        <v>43657</v>
      </c>
      <c r="F70" s="5" t="s">
        <v>75</v>
      </c>
      <c r="G70" s="12" t="n">
        <v>508725.44011327</v>
      </c>
      <c r="H70" s="13" t="n">
        <v>66.45</v>
      </c>
      <c r="I70" s="13" t="n">
        <v>66.7</v>
      </c>
      <c r="J70" s="5" t="s">
        <v>74</v>
      </c>
      <c r="K70" s="8" t="n">
        <v>53.1230707776041</v>
      </c>
      <c r="L70" s="8" t="n">
        <v>-45063.65839632</v>
      </c>
      <c r="M70" s="8" t="n">
        <f aca="false">M69+L70</f>
        <v>1260851.6126033</v>
      </c>
      <c r="N70" s="5" t="str">
        <f aca="false">IF(L70&gt;0,"прибыль",IF(L70&lt;0,"убыток","ноль"))</f>
        <v>убыток</v>
      </c>
      <c r="O70" s="6" t="n">
        <f aca="false">IF(L70&lt;0,O69+1,0)</f>
        <v>1</v>
      </c>
      <c r="P70" s="6" t="n">
        <v>28</v>
      </c>
    </row>
    <row r="71" customFormat="false" ht="15" hidden="false" customHeight="false" outlineLevel="0" collapsed="false">
      <c r="A71" s="6" t="n">
        <v>66</v>
      </c>
      <c r="B71" s="5" t="s">
        <v>72</v>
      </c>
      <c r="C71" s="5" t="s">
        <v>25</v>
      </c>
      <c r="D71" s="11" t="n">
        <v>43718</v>
      </c>
      <c r="E71" s="11" t="n">
        <v>43725</v>
      </c>
      <c r="F71" s="5" t="s">
        <v>73</v>
      </c>
      <c r="G71" s="12" t="n">
        <v>396321.126833025</v>
      </c>
      <c r="H71" s="13" t="n">
        <v>62.67</v>
      </c>
      <c r="I71" s="13" t="n">
        <v>67.95</v>
      </c>
      <c r="K71" s="8" t="n">
        <v>54.9263015119776</v>
      </c>
      <c r="L71" s="8" t="n">
        <v>34201.4123781052</v>
      </c>
      <c r="M71" s="8" t="n">
        <f aca="false">M70+L71</f>
        <v>1295053.02498141</v>
      </c>
      <c r="N71" s="5" t="str">
        <f aca="false">IF(L71&gt;0,"прибыль",IF(L71&lt;0,"убыток","ноль"))</f>
        <v>прибыль</v>
      </c>
      <c r="O71" s="6" t="n">
        <f aca="false">IF(L71&lt;0,O70+1,0)</f>
        <v>0</v>
      </c>
      <c r="P71" s="6" t="n">
        <v>5</v>
      </c>
    </row>
    <row r="72" customFormat="false" ht="15" hidden="false" customHeight="false" outlineLevel="0" collapsed="false">
      <c r="A72" s="6" t="n">
        <v>67</v>
      </c>
      <c r="B72" s="5" t="s">
        <v>72</v>
      </c>
      <c r="C72" s="5" t="s">
        <v>25</v>
      </c>
      <c r="D72" s="11" t="n">
        <v>43725</v>
      </c>
      <c r="E72" s="11" t="n">
        <v>43790</v>
      </c>
      <c r="F72" s="5" t="s">
        <v>73</v>
      </c>
      <c r="G72" s="12" t="n">
        <v>171800.964109797</v>
      </c>
      <c r="H72" s="13" t="n">
        <v>67.95</v>
      </c>
      <c r="I72" s="13" t="n">
        <v>62.45</v>
      </c>
      <c r="J72" s="5" t="s">
        <v>74</v>
      </c>
      <c r="K72" s="8" t="n">
        <v>37.6244925384599</v>
      </c>
      <c r="L72" s="8" t="n">
        <v>2338.08236289124</v>
      </c>
      <c r="M72" s="8" t="n">
        <f aca="false">M71+L72</f>
        <v>1297391.1073443</v>
      </c>
      <c r="N72" s="5" t="str">
        <f aca="false">IF(L72&gt;0,"прибыль",IF(L72&lt;0,"убыток","ноль"))</f>
        <v>прибыль</v>
      </c>
      <c r="O72" s="6" t="n">
        <f aca="false">IF(L72&lt;0,O71+1,0)</f>
        <v>0</v>
      </c>
      <c r="P72" s="6" t="n">
        <v>46</v>
      </c>
    </row>
    <row r="73" customFormat="false" ht="15" hidden="false" customHeight="false" outlineLevel="0" collapsed="false">
      <c r="A73" s="6" t="n">
        <v>68</v>
      </c>
      <c r="B73" s="5" t="s">
        <v>72</v>
      </c>
      <c r="C73" s="5" t="s">
        <v>25</v>
      </c>
      <c r="D73" s="11" t="n">
        <v>43790</v>
      </c>
      <c r="E73" s="11" t="n">
        <v>43839</v>
      </c>
      <c r="F73" s="5" t="s">
        <v>73</v>
      </c>
      <c r="G73" s="12" t="n">
        <v>250069.54494825</v>
      </c>
      <c r="H73" s="13" t="n">
        <v>62.45</v>
      </c>
      <c r="I73" s="13" t="n">
        <v>66.07</v>
      </c>
      <c r="J73" s="5" t="s">
        <v>74</v>
      </c>
      <c r="K73" s="8" t="n">
        <v>28.029175466023</v>
      </c>
      <c r="L73" s="8" t="n">
        <v>21770.5476869524</v>
      </c>
      <c r="M73" s="8" t="n">
        <f aca="false">M72+L73</f>
        <v>1319161.65503125</v>
      </c>
      <c r="N73" s="5" t="str">
        <f aca="false">IF(L73&gt;0,"прибыль",IF(L73&lt;0,"убыток","ноль"))</f>
        <v>прибыль</v>
      </c>
      <c r="O73" s="6" t="n">
        <f aca="false">IF(L73&lt;0,O72+1,0)</f>
        <v>0</v>
      </c>
      <c r="P73" s="6" t="n">
        <v>31</v>
      </c>
    </row>
    <row r="74" customFormat="false" ht="15" hidden="false" customHeight="false" outlineLevel="0" collapsed="false">
      <c r="A74" s="6" t="n">
        <v>69</v>
      </c>
      <c r="B74" s="5" t="s">
        <v>72</v>
      </c>
      <c r="C74" s="5" t="s">
        <v>25</v>
      </c>
      <c r="D74" s="11" t="n">
        <v>43839</v>
      </c>
      <c r="E74" s="11" t="n">
        <v>43853</v>
      </c>
      <c r="F74" s="5" t="s">
        <v>73</v>
      </c>
      <c r="G74" s="12" t="n">
        <v>716785.496149601</v>
      </c>
      <c r="H74" s="13" t="n">
        <v>66.07</v>
      </c>
      <c r="I74" s="13" t="n">
        <v>63.15</v>
      </c>
      <c r="K74" s="8" t="n">
        <v>37.2391761488135</v>
      </c>
      <c r="L74" s="8" t="n">
        <v>27960.7876505195</v>
      </c>
      <c r="M74" s="8" t="n">
        <f aca="false">M73+L74</f>
        <v>1347122.44268177</v>
      </c>
      <c r="N74" s="5" t="str">
        <f aca="false">IF(L74&gt;0,"прибыль",IF(L74&lt;0,"убыток","ноль"))</f>
        <v>прибыль</v>
      </c>
      <c r="O74" s="6" t="n">
        <f aca="false">IF(L74&lt;0,O73+1,0)</f>
        <v>0</v>
      </c>
      <c r="P74" s="6" t="n">
        <v>10</v>
      </c>
    </row>
    <row r="75" customFormat="false" ht="15" hidden="false" customHeight="false" outlineLevel="0" collapsed="false">
      <c r="A75" s="6" t="n">
        <v>70</v>
      </c>
      <c r="B75" s="5" t="s">
        <v>72</v>
      </c>
      <c r="C75" s="5" t="s">
        <v>25</v>
      </c>
      <c r="D75" s="11" t="n">
        <v>43872</v>
      </c>
      <c r="E75" s="11" t="n">
        <v>43874</v>
      </c>
      <c r="F75" s="5" t="s">
        <v>75</v>
      </c>
      <c r="G75" s="12" t="n">
        <v>167948.274368513</v>
      </c>
      <c r="H75" s="13" t="n">
        <v>53.3</v>
      </c>
      <c r="I75" s="13" t="n">
        <v>56.12</v>
      </c>
      <c r="K75" s="8" t="n">
        <v>43.2346659885326</v>
      </c>
      <c r="L75" s="8" t="n">
        <v>-9305.82892998017</v>
      </c>
      <c r="M75" s="8" t="n">
        <f aca="false">M74+L75</f>
        <v>1337816.61375179</v>
      </c>
      <c r="N75" s="5" t="str">
        <f aca="false">IF(L75&gt;0,"прибыль",IF(L75&lt;0,"убыток","ноль"))</f>
        <v>убыток</v>
      </c>
      <c r="O75" s="6" t="n">
        <f aca="false">IF(L75&lt;0,O74+1,0)</f>
        <v>1</v>
      </c>
      <c r="P75" s="6" t="n">
        <v>2</v>
      </c>
    </row>
    <row r="76" customFormat="false" ht="15" hidden="false" customHeight="false" outlineLevel="0" collapsed="false">
      <c r="A76" s="6" t="n">
        <v>71</v>
      </c>
      <c r="B76" s="5" t="s">
        <v>72</v>
      </c>
      <c r="C76" s="5" t="s">
        <v>25</v>
      </c>
      <c r="D76" s="11" t="n">
        <v>43874</v>
      </c>
      <c r="E76" s="11" t="n">
        <v>43900</v>
      </c>
      <c r="F76" s="5" t="s">
        <v>75</v>
      </c>
      <c r="G76" s="12" t="n">
        <v>135425.482815576</v>
      </c>
      <c r="H76" s="13" t="n">
        <v>56.12</v>
      </c>
      <c r="I76" s="13" t="n">
        <v>45.2</v>
      </c>
      <c r="J76" s="5" t="s">
        <v>74</v>
      </c>
      <c r="K76" s="8" t="n">
        <v>5.53128073456929</v>
      </c>
      <c r="L76" s="8" t="n">
        <v>24794.3368434558</v>
      </c>
      <c r="M76" s="8" t="n">
        <f aca="false">M75+L76</f>
        <v>1362610.95059525</v>
      </c>
      <c r="N76" s="5" t="str">
        <f aca="false">IF(L76&gt;0,"прибыль",IF(L76&lt;0,"убыток","ноль"))</f>
        <v>прибыль</v>
      </c>
      <c r="O76" s="6" t="n">
        <f aca="false">IF(L76&lt;0,O75+1,0)</f>
        <v>0</v>
      </c>
      <c r="P76" s="6" t="n">
        <v>16</v>
      </c>
    </row>
    <row r="77" customFormat="false" ht="15" hidden="false" customHeight="false" outlineLevel="0" collapsed="false">
      <c r="A77" s="6" t="n">
        <v>72</v>
      </c>
      <c r="B77" s="5" t="s">
        <v>72</v>
      </c>
      <c r="C77" s="5" t="s">
        <v>25</v>
      </c>
      <c r="D77" s="11" t="n">
        <v>43900</v>
      </c>
      <c r="E77" s="11" t="n">
        <v>43901</v>
      </c>
      <c r="F77" s="5" t="s">
        <v>75</v>
      </c>
      <c r="G77" s="12" t="n">
        <v>83263.1681335564</v>
      </c>
      <c r="H77" s="13" t="n">
        <v>45.2</v>
      </c>
      <c r="I77" s="13" t="n">
        <v>37.8</v>
      </c>
      <c r="K77" s="8" t="n">
        <v>2.84625452666972</v>
      </c>
      <c r="L77" s="8" t="n">
        <v>26335.2313456353</v>
      </c>
      <c r="M77" s="8" t="n">
        <f aca="false">M76+L77</f>
        <v>1388946.18194088</v>
      </c>
      <c r="N77" s="5" t="str">
        <f aca="false">IF(L77&gt;0,"прибыль",IF(L77&lt;0,"убыток","ноль"))</f>
        <v>прибыль</v>
      </c>
      <c r="O77" s="6" t="n">
        <f aca="false">IF(L77&lt;0,O76+1,0)</f>
        <v>0</v>
      </c>
      <c r="P77" s="6" t="n">
        <v>1</v>
      </c>
    </row>
    <row r="78" customFormat="false" ht="15" hidden="false" customHeight="false" outlineLevel="0" collapsed="false">
      <c r="A78" s="6" t="n">
        <v>73</v>
      </c>
      <c r="B78" s="5" t="s">
        <v>72</v>
      </c>
      <c r="C78" s="5" t="s">
        <v>25</v>
      </c>
      <c r="D78" s="11" t="n">
        <v>43901</v>
      </c>
      <c r="E78" s="11" t="n">
        <v>43924</v>
      </c>
      <c r="F78" s="5" t="s">
        <v>75</v>
      </c>
      <c r="G78" s="12" t="n">
        <v>93663.8101442519</v>
      </c>
      <c r="H78" s="13" t="n">
        <v>37.8</v>
      </c>
      <c r="I78" s="13" t="n">
        <v>29.72</v>
      </c>
      <c r="J78" s="5" t="s">
        <v>74</v>
      </c>
      <c r="K78" s="8" t="n">
        <v>3.97010784532463</v>
      </c>
      <c r="L78" s="8" t="n">
        <v>43516.0682418625</v>
      </c>
      <c r="M78" s="8" t="n">
        <f aca="false">M77+L78</f>
        <v>1432462.25018274</v>
      </c>
      <c r="N78" s="5" t="str">
        <f aca="false">IF(L78&gt;0,"прибыль",IF(L78&lt;0,"убыток","ноль"))</f>
        <v>прибыль</v>
      </c>
      <c r="O78" s="6" t="n">
        <f aca="false">IF(L78&lt;0,O77+1,0)</f>
        <v>0</v>
      </c>
      <c r="P78" s="6" t="n">
        <v>17</v>
      </c>
    </row>
    <row r="79" customFormat="false" ht="15" hidden="false" customHeight="false" outlineLevel="0" collapsed="false">
      <c r="A79" s="6" t="n">
        <v>74</v>
      </c>
      <c r="B79" s="5" t="s">
        <v>72</v>
      </c>
      <c r="C79" s="5" t="s">
        <v>25</v>
      </c>
      <c r="D79" s="11" t="n">
        <v>43924</v>
      </c>
      <c r="E79" s="11" t="n">
        <v>43927</v>
      </c>
      <c r="F79" s="5" t="s">
        <v>75</v>
      </c>
      <c r="G79" s="12" t="n">
        <v>71855.1049241833</v>
      </c>
      <c r="H79" s="13" t="n">
        <v>29.72</v>
      </c>
      <c r="I79" s="13" t="n">
        <v>35.12</v>
      </c>
      <c r="K79" s="8" t="n">
        <v>2.27461035619624</v>
      </c>
      <c r="L79" s="8" t="n">
        <v>26360.6231899023</v>
      </c>
      <c r="M79" s="8" t="n">
        <f aca="false">M78+L79</f>
        <v>1458822.87337265</v>
      </c>
      <c r="N79" s="5" t="str">
        <f aca="false">IF(L79&gt;0,"прибыль",IF(L79&lt;0,"убыток","ноль"))</f>
        <v>прибыль</v>
      </c>
      <c r="O79" s="6" t="n">
        <f aca="false">IF(L79&lt;0,O78+1,0)</f>
        <v>0</v>
      </c>
      <c r="P79" s="6" t="n">
        <v>1</v>
      </c>
    </row>
    <row r="80" customFormat="false" ht="15" hidden="false" customHeight="false" outlineLevel="0" collapsed="false">
      <c r="A80" s="6" t="n">
        <v>75</v>
      </c>
      <c r="B80" s="5" t="s">
        <v>72</v>
      </c>
      <c r="C80" s="5" t="s">
        <v>25</v>
      </c>
      <c r="D80" s="11" t="n">
        <v>43927</v>
      </c>
      <c r="E80" s="11" t="n">
        <v>43970</v>
      </c>
      <c r="F80" s="5" t="s">
        <v>75</v>
      </c>
      <c r="G80" s="12" t="n">
        <v>215840.423778161</v>
      </c>
      <c r="H80" s="13" t="n">
        <v>35.12</v>
      </c>
      <c r="I80" s="13" t="n">
        <v>35.45</v>
      </c>
      <c r="J80" s="5" t="s">
        <v>74</v>
      </c>
      <c r="K80" s="8" t="n">
        <v>10.0810824797634</v>
      </c>
      <c r="L80" s="8" t="n">
        <v>65464.1210145597</v>
      </c>
      <c r="M80" s="8" t="n">
        <f aca="false">M79+L80</f>
        <v>1524286.99438721</v>
      </c>
      <c r="N80" s="5" t="str">
        <f aca="false">IF(L80&gt;0,"прибыль",IF(L80&lt;0,"убыток","ноль"))</f>
        <v>прибыль</v>
      </c>
      <c r="O80" s="6" t="n">
        <f aca="false">IF(L80&lt;0,O79+1,0)</f>
        <v>0</v>
      </c>
      <c r="P80" s="6" t="n">
        <v>29</v>
      </c>
    </row>
    <row r="81" customFormat="false" ht="15" hidden="false" customHeight="false" outlineLevel="0" collapsed="false">
      <c r="A81" s="6" t="n">
        <v>76</v>
      </c>
      <c r="B81" s="5" t="s">
        <v>72</v>
      </c>
      <c r="C81" s="5" t="s">
        <v>25</v>
      </c>
      <c r="D81" s="11" t="n">
        <v>44005</v>
      </c>
      <c r="E81" s="11" t="n">
        <v>44078</v>
      </c>
      <c r="F81" s="5" t="s">
        <v>73</v>
      </c>
      <c r="G81" s="12" t="n">
        <v>880676.647115494</v>
      </c>
      <c r="H81" s="13" t="n">
        <v>43.04</v>
      </c>
      <c r="I81" s="13" t="n">
        <v>44.03</v>
      </c>
      <c r="J81" s="5" t="s">
        <v>74</v>
      </c>
      <c r="K81" s="8" t="n">
        <v>87.1764528502091</v>
      </c>
      <c r="L81" s="8" t="n">
        <v>-17911.4136796571</v>
      </c>
      <c r="M81" s="8" t="n">
        <f aca="false">M80+L81</f>
        <v>1506375.58070755</v>
      </c>
      <c r="N81" s="5" t="str">
        <f aca="false">IF(L81&gt;0,"прибыль",IF(L81&lt;0,"убыток","ноль"))</f>
        <v>убыток</v>
      </c>
      <c r="O81" s="6" t="n">
        <f aca="false">IF(L81&lt;0,O80+1,0)</f>
        <v>1</v>
      </c>
      <c r="P81" s="6" t="n">
        <v>51</v>
      </c>
    </row>
    <row r="82" customFormat="false" ht="15" hidden="false" customHeight="false" outlineLevel="0" collapsed="false">
      <c r="A82" s="6" t="n">
        <v>77</v>
      </c>
      <c r="B82" s="5" t="s">
        <v>72</v>
      </c>
      <c r="C82" s="5" t="s">
        <v>25</v>
      </c>
      <c r="D82" s="11" t="n">
        <v>44081</v>
      </c>
      <c r="E82" s="11" t="n">
        <v>44090</v>
      </c>
      <c r="F82" s="5" t="s">
        <v>75</v>
      </c>
      <c r="G82" s="12" t="n">
        <v>144487.837478682</v>
      </c>
      <c r="H82" s="13" t="n">
        <v>42.34</v>
      </c>
      <c r="I82" s="13" t="n">
        <v>40.76</v>
      </c>
      <c r="K82" s="8" t="n">
        <v>38.539991732612</v>
      </c>
      <c r="L82" s="8" t="n">
        <v>5028.51277413585</v>
      </c>
      <c r="M82" s="8" t="n">
        <f aca="false">M81+L82</f>
        <v>1511404.09348168</v>
      </c>
      <c r="N82" s="5" t="str">
        <f aca="false">IF(L82&gt;0,"прибыль",IF(L82&lt;0,"убыток","ноль"))</f>
        <v>прибыль</v>
      </c>
      <c r="O82" s="6" t="n">
        <f aca="false">IF(L82&lt;0,O81+1,0)</f>
        <v>0</v>
      </c>
      <c r="P82" s="6" t="n">
        <v>7</v>
      </c>
    </row>
    <row r="83" customFormat="false" ht="15" hidden="false" customHeight="false" outlineLevel="0" collapsed="false">
      <c r="A83" s="6" t="n">
        <v>78</v>
      </c>
      <c r="B83" s="5" t="s">
        <v>72</v>
      </c>
      <c r="C83" s="5" t="s">
        <v>25</v>
      </c>
      <c r="D83" s="11" t="n">
        <v>44090</v>
      </c>
      <c r="E83" s="11" t="n">
        <v>44110</v>
      </c>
      <c r="F83" s="5" t="s">
        <v>75</v>
      </c>
      <c r="G83" s="12" t="n">
        <v>146752.532643655</v>
      </c>
      <c r="H83" s="13" t="n">
        <v>40.76</v>
      </c>
      <c r="I83" s="13" t="n">
        <v>41.6</v>
      </c>
      <c r="J83" s="5" t="s">
        <v>74</v>
      </c>
      <c r="K83" s="8" t="n">
        <v>7.25385400732382</v>
      </c>
      <c r="L83" s="8" t="n">
        <v>1668.19864317147</v>
      </c>
      <c r="M83" s="8" t="n">
        <f aca="false">M82+L83</f>
        <v>1513072.29212486</v>
      </c>
      <c r="N83" s="5" t="str">
        <f aca="false">IF(L83&gt;0,"прибыль",IF(L83&lt;0,"убыток","ноль"))</f>
        <v>прибыль</v>
      </c>
      <c r="O83" s="6" t="n">
        <f aca="false">IF(L83&lt;0,O82+1,0)</f>
        <v>0</v>
      </c>
      <c r="P83" s="6" t="n">
        <v>14</v>
      </c>
    </row>
    <row r="84" customFormat="false" ht="15" hidden="false" customHeight="false" outlineLevel="0" collapsed="false">
      <c r="A84" s="6" t="n">
        <v>79</v>
      </c>
      <c r="B84" s="5" t="s">
        <v>72</v>
      </c>
      <c r="C84" s="5" t="s">
        <v>25</v>
      </c>
      <c r="D84" s="11" t="n">
        <v>44110</v>
      </c>
      <c r="E84" s="11" t="n">
        <v>44145</v>
      </c>
      <c r="F84" s="5" t="s">
        <v>75</v>
      </c>
      <c r="G84" s="12" t="n">
        <v>132835.519985606</v>
      </c>
      <c r="H84" s="13" t="n">
        <v>41.6</v>
      </c>
      <c r="I84" s="13" t="n">
        <v>42.29</v>
      </c>
      <c r="J84" s="5" t="s">
        <v>74</v>
      </c>
      <c r="K84" s="8" t="n">
        <v>14.799941084212</v>
      </c>
      <c r="L84" s="8" t="n">
        <v>1989.54045107334</v>
      </c>
      <c r="M84" s="8" t="n">
        <f aca="false">M83+L84</f>
        <v>1515061.83257593</v>
      </c>
      <c r="N84" s="5" t="str">
        <f aca="false">IF(L84&gt;0,"прибыль",IF(L84&lt;0,"убыток","ноль"))</f>
        <v>прибыль</v>
      </c>
      <c r="O84" s="6" t="n">
        <f aca="false">IF(L84&lt;0,O83+1,0)</f>
        <v>0</v>
      </c>
      <c r="P84" s="6" t="n">
        <v>24</v>
      </c>
    </row>
    <row r="85" customFormat="false" ht="15" hidden="false" customHeight="false" outlineLevel="0" collapsed="false">
      <c r="A85" s="6" t="n">
        <v>80</v>
      </c>
      <c r="B85" s="5" t="s">
        <v>72</v>
      </c>
      <c r="C85" s="5" t="s">
        <v>25</v>
      </c>
      <c r="D85" s="11" t="n">
        <v>44145</v>
      </c>
      <c r="E85" s="11" t="n">
        <v>44159</v>
      </c>
      <c r="F85" s="5" t="s">
        <v>75</v>
      </c>
      <c r="G85" s="12" t="n">
        <v>372470.801922275</v>
      </c>
      <c r="H85" s="13" t="n">
        <v>42.29</v>
      </c>
      <c r="I85" s="13" t="n">
        <v>45.95</v>
      </c>
      <c r="K85" s="8" t="n">
        <v>38.4644641906635</v>
      </c>
      <c r="L85" s="8" t="n">
        <v>-26163.2427211454</v>
      </c>
      <c r="M85" s="8" t="n">
        <f aca="false">M84+L85</f>
        <v>1488898.58985478</v>
      </c>
      <c r="N85" s="5" t="str">
        <f aca="false">IF(L85&gt;0,"прибыль",IF(L85&lt;0,"убыток","ноль"))</f>
        <v>убыток</v>
      </c>
      <c r="O85" s="6" t="n">
        <f aca="false">IF(L85&lt;0,O84+1,0)</f>
        <v>1</v>
      </c>
      <c r="P85" s="6" t="n">
        <v>10</v>
      </c>
    </row>
    <row r="86" customFormat="false" ht="15" hidden="false" customHeight="false" outlineLevel="0" collapsed="false">
      <c r="A86" s="6" t="n">
        <v>81</v>
      </c>
      <c r="B86" s="5" t="s">
        <v>72</v>
      </c>
      <c r="C86" s="5" t="s">
        <v>25</v>
      </c>
      <c r="D86" s="11" t="n">
        <v>44159</v>
      </c>
      <c r="E86" s="11" t="n">
        <v>44202</v>
      </c>
      <c r="F86" s="5" t="s">
        <v>73</v>
      </c>
      <c r="G86" s="12" t="n">
        <v>224578.299942164</v>
      </c>
      <c r="H86" s="13" t="n">
        <v>45.95</v>
      </c>
      <c r="I86" s="13" t="n">
        <v>53.65</v>
      </c>
      <c r="J86" s="5" t="s">
        <v>74</v>
      </c>
      <c r="K86" s="8" t="n">
        <v>28.2585434109983</v>
      </c>
      <c r="L86" s="8" t="n">
        <v>27186.505938366</v>
      </c>
      <c r="M86" s="8" t="n">
        <f aca="false">M85+L86</f>
        <v>1516085.09579315</v>
      </c>
      <c r="N86" s="5" t="str">
        <f aca="false">IF(L86&gt;0,"прибыль",IF(L86&lt;0,"убыток","ноль"))</f>
        <v>прибыль</v>
      </c>
      <c r="O86" s="6" t="n">
        <f aca="false">IF(L86&lt;0,O85+1,0)</f>
        <v>0</v>
      </c>
      <c r="P86" s="6" t="n">
        <v>29</v>
      </c>
    </row>
    <row r="87" customFormat="false" ht="15" hidden="false" customHeight="false" outlineLevel="0" collapsed="false">
      <c r="A87" s="6" t="n">
        <v>82</v>
      </c>
      <c r="B87" s="5" t="s">
        <v>76</v>
      </c>
      <c r="C87" s="5" t="s">
        <v>25</v>
      </c>
      <c r="D87" s="11" t="n">
        <v>44202</v>
      </c>
      <c r="E87" s="11" t="n">
        <v>44252</v>
      </c>
      <c r="F87" s="5" t="s">
        <v>73</v>
      </c>
      <c r="G87" s="12" t="n">
        <v>132185.656588094</v>
      </c>
      <c r="H87" s="13" t="n">
        <v>53.65</v>
      </c>
      <c r="I87" s="13" t="n">
        <v>67.09</v>
      </c>
      <c r="J87" s="5" t="s">
        <v>74</v>
      </c>
      <c r="K87" s="8" t="n">
        <v>17.0833829089177</v>
      </c>
      <c r="L87" s="8" t="n">
        <v>42060.8676701963</v>
      </c>
      <c r="M87" s="8" t="n">
        <f aca="false">M86+L87</f>
        <v>1558145.96346335</v>
      </c>
      <c r="N87" s="5" t="str">
        <f aca="false">IF(L87&gt;0,"прибыль",IF(L87&lt;0,"убыток","ноль"))</f>
        <v>прибыль</v>
      </c>
      <c r="O87" s="6" t="n">
        <f aca="false">IF(L87&lt;0,O86+1,0)</f>
        <v>0</v>
      </c>
      <c r="P87" s="6" t="n">
        <v>35</v>
      </c>
    </row>
    <row r="88" customFormat="false" ht="15" hidden="false" customHeight="false" outlineLevel="0" collapsed="false">
      <c r="A88" s="6" t="n">
        <v>83</v>
      </c>
      <c r="B88" s="5" t="s">
        <v>76</v>
      </c>
      <c r="C88" s="5" t="s">
        <v>25</v>
      </c>
      <c r="D88" s="11" t="n">
        <v>44252</v>
      </c>
      <c r="E88" s="11" t="n">
        <v>44260</v>
      </c>
      <c r="F88" s="5" t="s">
        <v>73</v>
      </c>
      <c r="G88" s="12" t="n">
        <v>126028.024570334</v>
      </c>
      <c r="H88" s="13" t="n">
        <v>67.09</v>
      </c>
      <c r="I88" s="13" t="n">
        <v>67.19</v>
      </c>
      <c r="J88" s="5" t="s">
        <v>74</v>
      </c>
      <c r="K88" s="8" t="n">
        <v>8.66477455069088</v>
      </c>
      <c r="L88" s="8" t="n">
        <v>47258.8016689326</v>
      </c>
      <c r="M88" s="8" t="n">
        <f aca="false">M87+L88</f>
        <v>1605404.76513228</v>
      </c>
      <c r="N88" s="5" t="str">
        <f aca="false">IF(L88&gt;0,"прибыль",IF(L88&lt;0,"убыток","ноль"))</f>
        <v>прибыль</v>
      </c>
      <c r="O88" s="6" t="n">
        <f aca="false">IF(L88&lt;0,O87+1,0)</f>
        <v>0</v>
      </c>
      <c r="P88" s="6" t="n">
        <v>6</v>
      </c>
    </row>
    <row r="89" customFormat="false" ht="15" hidden="false" customHeight="false" outlineLevel="0" collapsed="false">
      <c r="A89" s="6" t="n">
        <v>84</v>
      </c>
      <c r="B89" s="5" t="s">
        <v>76</v>
      </c>
      <c r="C89" s="5" t="s">
        <v>25</v>
      </c>
      <c r="D89" s="11" t="n">
        <v>44260</v>
      </c>
      <c r="E89" s="11" t="n">
        <v>44274</v>
      </c>
      <c r="F89" s="5" t="s">
        <v>73</v>
      </c>
      <c r="G89" s="12" t="n">
        <v>110604.909959815</v>
      </c>
      <c r="H89" s="13" t="n">
        <v>67.19</v>
      </c>
      <c r="I89" s="13" t="n">
        <v>62.87</v>
      </c>
      <c r="K89" s="8" t="n">
        <v>7.11201134154901</v>
      </c>
      <c r="L89" s="8" t="n">
        <v>31628.2048598233</v>
      </c>
      <c r="M89" s="8" t="n">
        <f aca="false">M88+L89</f>
        <v>1637032.9699921</v>
      </c>
      <c r="N89" s="5" t="str">
        <f aca="false">IF(L89&gt;0,"прибыль",IF(L89&lt;0,"убыток","ноль"))</f>
        <v>прибыль</v>
      </c>
      <c r="O89" s="6" t="n">
        <f aca="false">IF(L89&lt;0,O88+1,0)</f>
        <v>0</v>
      </c>
      <c r="P89" s="6" t="n">
        <v>9</v>
      </c>
    </row>
    <row r="90" customFormat="false" ht="15" hidden="false" customHeight="false" outlineLevel="0" collapsed="false">
      <c r="A90" s="6" t="n">
        <v>85</v>
      </c>
      <c r="B90" s="5" t="s">
        <v>76</v>
      </c>
      <c r="C90" s="5" t="s">
        <v>25</v>
      </c>
      <c r="D90" s="11" t="n">
        <v>44274</v>
      </c>
      <c r="E90" s="11" t="n">
        <v>44284</v>
      </c>
      <c r="F90" s="5" t="s">
        <v>73</v>
      </c>
      <c r="G90" s="12" t="n">
        <v>60478.5563265211</v>
      </c>
      <c r="H90" s="13" t="n">
        <v>62.87</v>
      </c>
      <c r="I90" s="13" t="n">
        <v>64.4</v>
      </c>
      <c r="K90" s="8" t="n">
        <v>3.98194146958893</v>
      </c>
      <c r="L90" s="8" t="n">
        <v>19156.291123788</v>
      </c>
      <c r="M90" s="8" t="n">
        <f aca="false">M89+L90</f>
        <v>1656189.26111589</v>
      </c>
      <c r="N90" s="5" t="str">
        <f aca="false">IF(L90&gt;0,"прибыль",IF(L90&lt;0,"убыток","ноль"))</f>
        <v>прибыль</v>
      </c>
      <c r="O90" s="6" t="n">
        <f aca="false">IF(L90&lt;0,O89+1,0)</f>
        <v>0</v>
      </c>
      <c r="P90" s="6" t="n">
        <v>6</v>
      </c>
    </row>
    <row r="91" customFormat="false" ht="15" hidden="false" customHeight="false" outlineLevel="0" collapsed="false">
      <c r="A91" s="6" t="n">
        <v>86</v>
      </c>
      <c r="B91" s="5" t="s">
        <v>76</v>
      </c>
      <c r="C91" s="5" t="s">
        <v>25</v>
      </c>
      <c r="D91" s="11" t="n">
        <v>44284</v>
      </c>
      <c r="E91" s="11" t="n">
        <v>44340</v>
      </c>
      <c r="F91" s="5" t="s">
        <v>73</v>
      </c>
      <c r="G91" s="12" t="n">
        <v>134543.916124257</v>
      </c>
      <c r="H91" s="13" t="n">
        <v>64.4</v>
      </c>
      <c r="I91" s="13" t="n">
        <v>66.74</v>
      </c>
      <c r="J91" s="5" t="s">
        <v>74</v>
      </c>
      <c r="K91" s="8" t="n">
        <v>25.5301137863569</v>
      </c>
      <c r="L91" s="8" t="n">
        <v>18526.5326399237</v>
      </c>
      <c r="M91" s="8" t="n">
        <f aca="false">M90+L91</f>
        <v>1674715.79375581</v>
      </c>
      <c r="N91" s="5" t="str">
        <f aca="false">IF(L91&gt;0,"прибыль",IF(L91&lt;0,"убыток","ноль"))</f>
        <v>прибыль</v>
      </c>
      <c r="O91" s="6" t="n">
        <f aca="false">IF(L91&lt;0,O90+1,0)</f>
        <v>0</v>
      </c>
      <c r="P91" s="6" t="n">
        <v>39</v>
      </c>
    </row>
    <row r="92" customFormat="false" ht="15" hidden="false" customHeight="false" outlineLevel="0" collapsed="false">
      <c r="A92" s="6" t="n">
        <v>87</v>
      </c>
      <c r="B92" s="5" t="s">
        <v>76</v>
      </c>
      <c r="C92" s="5" t="s">
        <v>25</v>
      </c>
      <c r="D92" s="11" t="n">
        <v>44340</v>
      </c>
      <c r="E92" s="11" t="n">
        <v>44384</v>
      </c>
      <c r="F92" s="5" t="s">
        <v>73</v>
      </c>
      <c r="G92" s="12" t="n">
        <v>363704.240810611</v>
      </c>
      <c r="H92" s="13" t="n">
        <v>66.74</v>
      </c>
      <c r="I92" s="13" t="n">
        <v>74.85</v>
      </c>
      <c r="J92" s="5" t="s">
        <v>74</v>
      </c>
      <c r="K92" s="8" t="n">
        <v>53.1615233487617</v>
      </c>
      <c r="L92" s="8" t="n">
        <v>40510.8133337859</v>
      </c>
      <c r="M92" s="8" t="n">
        <f aca="false">M91+L92</f>
        <v>1715226.6070896</v>
      </c>
      <c r="N92" s="5" t="str">
        <f aca="false">IF(L92&gt;0,"прибыль",IF(L92&lt;0,"убыток","ноль"))</f>
        <v>прибыль</v>
      </c>
      <c r="O92" s="6" t="n">
        <f aca="false">IF(L92&lt;0,O91+1,0)</f>
        <v>0</v>
      </c>
      <c r="P92" s="6" t="n">
        <v>32</v>
      </c>
    </row>
    <row r="93" customFormat="false" ht="15" hidden="false" customHeight="false" outlineLevel="0" collapsed="false">
      <c r="A93" s="6" t="n">
        <v>88</v>
      </c>
      <c r="B93" s="5" t="s">
        <v>76</v>
      </c>
      <c r="C93" s="5" t="s">
        <v>25</v>
      </c>
      <c r="D93" s="11" t="n">
        <v>44384</v>
      </c>
      <c r="E93" s="11" t="n">
        <v>44397</v>
      </c>
      <c r="F93" s="5" t="s">
        <v>73</v>
      </c>
      <c r="G93" s="12" t="n">
        <v>715820.501802082</v>
      </c>
      <c r="H93" s="13" t="n">
        <v>74.85</v>
      </c>
      <c r="I93" s="13" t="n">
        <v>68.71</v>
      </c>
      <c r="K93" s="8" t="n">
        <v>36.5063226368271</v>
      </c>
      <c r="L93" s="8" t="n">
        <v>14269.4446118235</v>
      </c>
      <c r="M93" s="8" t="n">
        <f aca="false">M92+L93</f>
        <v>1729496.05170142</v>
      </c>
      <c r="N93" s="5" t="str">
        <f aca="false">IF(L93&gt;0,"прибыль",IF(L93&lt;0,"убыток","ноль"))</f>
        <v>прибыль</v>
      </c>
      <c r="O93" s="6" t="n">
        <f aca="false">IF(L93&lt;0,O92+1,0)</f>
        <v>0</v>
      </c>
      <c r="P93" s="6" t="n">
        <v>9</v>
      </c>
    </row>
    <row r="94" customFormat="false" ht="15" hidden="false" customHeight="false" outlineLevel="0" collapsed="false">
      <c r="A94" s="6" t="n">
        <v>89</v>
      </c>
      <c r="B94" s="5" t="s">
        <v>76</v>
      </c>
      <c r="C94" s="5" t="s">
        <v>25</v>
      </c>
      <c r="D94" s="11" t="n">
        <v>44463</v>
      </c>
      <c r="E94" s="11" t="n">
        <v>44522</v>
      </c>
      <c r="F94" s="5" t="s">
        <v>73</v>
      </c>
      <c r="G94" s="12" t="n">
        <v>724952.258896727</v>
      </c>
      <c r="H94" s="13" t="n">
        <v>77.27</v>
      </c>
      <c r="I94" s="13" t="n">
        <v>78.52</v>
      </c>
      <c r="J94" s="5" t="s">
        <v>74</v>
      </c>
      <c r="K94" s="8" t="n">
        <v>72.5765103785726</v>
      </c>
      <c r="L94" s="8" t="n">
        <v>1553.11326761901</v>
      </c>
      <c r="M94" s="8" t="n">
        <f aca="false">M93+L94</f>
        <v>1731049.16496904</v>
      </c>
      <c r="N94" s="5" t="str">
        <f aca="false">IF(L94&gt;0,"прибыль",IF(L94&lt;0,"убыток","ноль"))</f>
        <v>прибыль</v>
      </c>
      <c r="O94" s="6" t="n">
        <f aca="false">IF(L94&lt;0,O93+1,0)</f>
        <v>0</v>
      </c>
      <c r="P94" s="6" t="n">
        <v>40</v>
      </c>
    </row>
    <row r="95" customFormat="false" ht="15" hidden="false" customHeight="false" outlineLevel="0" collapsed="false">
      <c r="A95" s="6" t="n">
        <v>90</v>
      </c>
      <c r="B95" s="5" t="s">
        <v>76</v>
      </c>
      <c r="C95" s="5" t="s">
        <v>25</v>
      </c>
      <c r="D95" s="11" t="n">
        <v>44529</v>
      </c>
      <c r="E95" s="11" t="n">
        <v>44558</v>
      </c>
      <c r="F95" s="5" t="s">
        <v>75</v>
      </c>
      <c r="G95" s="12" t="n">
        <v>407264.438165256</v>
      </c>
      <c r="H95" s="13" t="n">
        <v>72.53</v>
      </c>
      <c r="I95" s="13" t="n">
        <v>78.7</v>
      </c>
      <c r="J95" s="5" t="s">
        <v>74</v>
      </c>
      <c r="K95" s="8" t="n">
        <v>42.6455977960849</v>
      </c>
      <c r="L95" s="8" t="n">
        <v>-38425.7251889835</v>
      </c>
      <c r="M95" s="8" t="n">
        <f aca="false">M94+L95</f>
        <v>1692623.43978006</v>
      </c>
      <c r="N95" s="5" t="str">
        <f aca="false">IF(L95&gt;0,"прибыль",IF(L95&lt;0,"убыток","ноль"))</f>
        <v>убыток</v>
      </c>
      <c r="O95" s="6" t="n">
        <f aca="false">IF(L95&lt;0,O94+1,0)</f>
        <v>1</v>
      </c>
      <c r="P95" s="6" t="n">
        <v>21</v>
      </c>
    </row>
    <row r="96" customFormat="false" ht="15" hidden="false" customHeight="false" outlineLevel="0" collapsed="false">
      <c r="A96" s="6" t="n">
        <v>91</v>
      </c>
      <c r="B96" s="5" t="s">
        <v>76</v>
      </c>
      <c r="C96" s="5" t="s">
        <v>25</v>
      </c>
      <c r="D96" s="11" t="n">
        <v>44573</v>
      </c>
      <c r="E96" s="11" t="n">
        <v>44608</v>
      </c>
      <c r="F96" s="5" t="s">
        <v>73</v>
      </c>
      <c r="G96" s="12" t="n">
        <v>166308.517704487</v>
      </c>
      <c r="H96" s="13" t="n">
        <v>83.74</v>
      </c>
      <c r="I96" s="13" t="n">
        <v>93.12</v>
      </c>
      <c r="J96" s="5" t="s">
        <v>74</v>
      </c>
      <c r="K96" s="8" t="n">
        <v>44.4957989569863</v>
      </c>
      <c r="L96" s="8" t="n">
        <v>20058.7492100339</v>
      </c>
      <c r="M96" s="8" t="n">
        <f aca="false">M95+L96</f>
        <v>1712682.18899009</v>
      </c>
      <c r="N96" s="5" t="str">
        <f aca="false">IF(L96&gt;0,"прибыль",IF(L96&lt;0,"убыток","ноль"))</f>
        <v>прибыль</v>
      </c>
      <c r="O96" s="6" t="n">
        <f aca="false">IF(L96&lt;0,O95+1,0)</f>
        <v>0</v>
      </c>
      <c r="P96" s="6" t="n">
        <v>25</v>
      </c>
    </row>
    <row r="97" customFormat="false" ht="15" hidden="false" customHeight="false" outlineLevel="0" collapsed="false">
      <c r="A97" s="6" t="n">
        <v>92</v>
      </c>
      <c r="B97" s="5" t="s">
        <v>76</v>
      </c>
      <c r="C97" s="5" t="s">
        <v>25</v>
      </c>
      <c r="D97" s="11" t="n">
        <v>44608</v>
      </c>
      <c r="E97" s="11" t="n">
        <v>44623</v>
      </c>
      <c r="F97" s="5" t="s">
        <v>73</v>
      </c>
      <c r="G97" s="12" t="n">
        <v>352736.15065954</v>
      </c>
      <c r="H97" s="13" t="n">
        <v>93.12</v>
      </c>
      <c r="I97" s="13" t="n">
        <v>114.46</v>
      </c>
      <c r="J97" s="5" t="s">
        <v>74</v>
      </c>
      <c r="K97" s="8" t="n">
        <v>25.413766042889</v>
      </c>
      <c r="L97" s="8" t="n">
        <v>155513.756432197</v>
      </c>
      <c r="M97" s="8" t="n">
        <f aca="false">M96+L97</f>
        <v>1868195.94542229</v>
      </c>
      <c r="N97" s="5" t="str">
        <f aca="false">IF(L97&gt;0,"прибыль",IF(L97&lt;0,"убыток","ноль"))</f>
        <v>прибыль</v>
      </c>
      <c r="O97" s="6" t="n">
        <f aca="false">IF(L97&lt;0,O96+1,0)</f>
        <v>0</v>
      </c>
      <c r="P97" s="6" t="n">
        <v>9</v>
      </c>
    </row>
    <row r="98" customFormat="false" ht="15" hidden="false" customHeight="false" outlineLevel="0" collapsed="false">
      <c r="A98" s="6" t="n">
        <v>93</v>
      </c>
      <c r="B98" s="5" t="s">
        <v>76</v>
      </c>
      <c r="C98" s="5" t="s">
        <v>25</v>
      </c>
      <c r="D98" s="11" t="n">
        <v>44623</v>
      </c>
      <c r="E98" s="11" t="n">
        <v>44630</v>
      </c>
      <c r="F98" s="5" t="s">
        <v>73</v>
      </c>
      <c r="G98" s="12" t="n">
        <v>42123.9024166566</v>
      </c>
      <c r="H98" s="13" t="n">
        <v>114.46</v>
      </c>
      <c r="I98" s="13" t="n">
        <v>120</v>
      </c>
      <c r="K98" s="8" t="n">
        <v>3.18087895130485</v>
      </c>
      <c r="L98" s="8" t="n">
        <v>21490.495730489</v>
      </c>
      <c r="M98" s="8" t="n">
        <f aca="false">M97+L98</f>
        <v>1889686.44115278</v>
      </c>
      <c r="N98" s="5" t="str">
        <f aca="false">IF(L98&gt;0,"прибыль",IF(L98&lt;0,"убыток","ноль"))</f>
        <v>прибыль</v>
      </c>
      <c r="O98" s="6" t="n">
        <f aca="false">IF(L98&lt;0,O97+1,0)</f>
        <v>0</v>
      </c>
      <c r="P98" s="6" t="n">
        <v>3</v>
      </c>
    </row>
    <row r="99" customFormat="false" ht="15" hidden="false" customHeight="false" outlineLevel="0" collapsed="false">
      <c r="A99" s="6" t="n">
        <v>94</v>
      </c>
      <c r="B99" s="5" t="s">
        <v>76</v>
      </c>
      <c r="C99" s="5" t="s">
        <v>25</v>
      </c>
      <c r="D99" s="11" t="n">
        <v>44630</v>
      </c>
      <c r="E99" s="11" t="n">
        <v>44644</v>
      </c>
      <c r="F99" s="5" t="s">
        <v>73</v>
      </c>
      <c r="G99" s="12" t="n">
        <v>31494.365319836</v>
      </c>
      <c r="H99" s="13" t="n">
        <v>120</v>
      </c>
      <c r="I99" s="13" t="n">
        <v>121.45</v>
      </c>
      <c r="K99" s="8" t="n">
        <v>2.40554488657787</v>
      </c>
      <c r="L99" s="8" t="n">
        <v>16614.1268668347</v>
      </c>
      <c r="M99" s="8" t="n">
        <f aca="false">M98+L99</f>
        <v>1906300.56801961</v>
      </c>
      <c r="N99" s="5" t="str">
        <f aca="false">IF(L99&gt;0,"прибыль",IF(L99&lt;0,"убыток","ноль"))</f>
        <v>прибыль</v>
      </c>
      <c r="O99" s="6" t="n">
        <f aca="false">IF(L99&lt;0,O98+1,0)</f>
        <v>0</v>
      </c>
      <c r="P99" s="6" t="n">
        <v>10</v>
      </c>
    </row>
    <row r="100" customFormat="false" ht="15" hidden="false" customHeight="false" outlineLevel="0" collapsed="false">
      <c r="A100" s="6" t="n">
        <v>95</v>
      </c>
      <c r="B100" s="5" t="s">
        <v>76</v>
      </c>
      <c r="C100" s="5" t="s">
        <v>25</v>
      </c>
      <c r="D100" s="11" t="n">
        <v>44644</v>
      </c>
      <c r="E100" s="11" t="n">
        <v>44748</v>
      </c>
      <c r="F100" s="5" t="s">
        <v>73</v>
      </c>
      <c r="G100" s="12" t="n">
        <v>494123.36796632</v>
      </c>
      <c r="H100" s="13" t="n">
        <v>121.45</v>
      </c>
      <c r="I100" s="13" t="n">
        <v>105.83</v>
      </c>
      <c r="J100" s="5" t="s">
        <v>74</v>
      </c>
      <c r="K100" s="8" t="n">
        <v>46.4550561140074</v>
      </c>
      <c r="L100" s="8" t="n">
        <v>51649.2116171205</v>
      </c>
      <c r="M100" s="8" t="n">
        <f aca="false">M99+L100</f>
        <v>1957949.77963673</v>
      </c>
      <c r="N100" s="5" t="str">
        <f aca="false">IF(L100&gt;0,"прибыль",IF(L100&lt;0,"убыток","ноль"))</f>
        <v>прибыль</v>
      </c>
      <c r="O100" s="6" t="n">
        <f aca="false">IF(L100&lt;0,O99+1,0)</f>
        <v>0</v>
      </c>
      <c r="P100" s="6" t="n">
        <v>69</v>
      </c>
    </row>
    <row r="101" customFormat="false" ht="15" hidden="false" customHeight="false" outlineLevel="0" collapsed="false">
      <c r="A101" s="6" t="n">
        <v>96</v>
      </c>
      <c r="B101" s="5" t="s">
        <v>76</v>
      </c>
      <c r="C101" s="5" t="s">
        <v>25</v>
      </c>
      <c r="D101" s="11" t="n">
        <v>44830</v>
      </c>
      <c r="E101" s="11" t="n">
        <v>45013</v>
      </c>
      <c r="F101" s="5" t="s">
        <v>75</v>
      </c>
      <c r="G101" s="12" t="n">
        <v>188042.755677285</v>
      </c>
      <c r="H101" s="13" t="n">
        <v>87.62</v>
      </c>
      <c r="I101" s="13" t="n">
        <v>77.93</v>
      </c>
      <c r="J101" s="5" t="s">
        <v>74</v>
      </c>
      <c r="K101" s="8" t="n">
        <v>47.3385794519056</v>
      </c>
      <c r="L101" s="8" t="n">
        <v>43270.358902957</v>
      </c>
      <c r="M101" s="8" t="n">
        <f aca="false">M100+L101</f>
        <v>2001220.13853969</v>
      </c>
      <c r="N101" s="5" t="str">
        <f aca="false">IF(L101&gt;0,"прибыль",IF(L101&lt;0,"убыток","ноль"))</f>
        <v>прибыль</v>
      </c>
      <c r="O101" s="6" t="n">
        <f aca="false">IF(L101&lt;0,O100+1,0)</f>
        <v>0</v>
      </c>
      <c r="P101" s="6" t="n">
        <v>127</v>
      </c>
    </row>
    <row r="102" customFormat="false" ht="15" hidden="false" customHeight="false" outlineLevel="0" collapsed="false">
      <c r="A102" s="6" t="n">
        <v>97</v>
      </c>
      <c r="B102" s="5" t="s">
        <v>76</v>
      </c>
      <c r="C102" s="5" t="s">
        <v>25</v>
      </c>
      <c r="D102" s="11" t="n">
        <v>45013</v>
      </c>
      <c r="E102" s="11" t="n">
        <v>45029</v>
      </c>
      <c r="F102" s="5" t="s">
        <v>75</v>
      </c>
      <c r="G102" s="12" t="n">
        <v>614003.775165952</v>
      </c>
      <c r="H102" s="13" t="n">
        <v>77.93</v>
      </c>
      <c r="I102" s="13" t="n">
        <v>87.64</v>
      </c>
      <c r="J102" s="5" t="s">
        <v>74</v>
      </c>
      <c r="K102" s="8" t="n">
        <v>24.5335880063942</v>
      </c>
      <c r="L102" s="8" t="n">
        <v>123307.481450062</v>
      </c>
      <c r="M102" s="8" t="n">
        <f aca="false">M101+L102</f>
        <v>2124527.61998975</v>
      </c>
      <c r="N102" s="5" t="str">
        <f aca="false">IF(L102&gt;0,"прибыль",IF(L102&lt;0,"убыток","ноль"))</f>
        <v>прибыль</v>
      </c>
      <c r="O102" s="6" t="n">
        <f aca="false">IF(L102&lt;0,O101+1,0)</f>
        <v>0</v>
      </c>
      <c r="P102" s="6" t="n">
        <v>12</v>
      </c>
    </row>
    <row r="103" customFormat="false" ht="15" hidden="false" customHeight="false" outlineLevel="0" collapsed="false">
      <c r="A103" s="6" t="n">
        <v>98</v>
      </c>
      <c r="B103" s="5" t="s">
        <v>76</v>
      </c>
      <c r="C103" s="5" t="s">
        <v>25</v>
      </c>
      <c r="D103" s="11" t="n">
        <v>45050</v>
      </c>
      <c r="E103" s="11" t="n">
        <v>45119</v>
      </c>
      <c r="F103" s="5" t="s">
        <v>75</v>
      </c>
      <c r="G103" s="12" t="n">
        <v>596238.5174586</v>
      </c>
      <c r="H103" s="13" t="n">
        <v>75.47</v>
      </c>
      <c r="I103" s="13" t="n">
        <v>79.44</v>
      </c>
      <c r="J103" s="5" t="s">
        <v>74</v>
      </c>
      <c r="K103" s="8" t="n">
        <v>59.7284505745904</v>
      </c>
      <c r="L103" s="8" t="n">
        <v>-2151.7050251829</v>
      </c>
      <c r="M103" s="8" t="n">
        <f aca="false">M102+L103</f>
        <v>2122375.91496457</v>
      </c>
      <c r="N103" s="5" t="str">
        <f aca="false">IF(L103&gt;0,"прибыль",IF(L103&lt;0,"убыток","ноль"))</f>
        <v>убыток</v>
      </c>
      <c r="O103" s="6" t="n">
        <f aca="false">IF(L103&lt;0,O102+1,0)</f>
        <v>1</v>
      </c>
      <c r="P103" s="6" t="n">
        <v>47</v>
      </c>
    </row>
    <row r="104" customFormat="false" ht="15" hidden="false" customHeight="false" outlineLevel="0" collapsed="false">
      <c r="A104" s="6" t="n">
        <v>99</v>
      </c>
      <c r="B104" s="5" t="s">
        <v>76</v>
      </c>
      <c r="C104" s="5" t="s">
        <v>25</v>
      </c>
      <c r="D104" s="11" t="n">
        <v>45132</v>
      </c>
      <c r="E104" s="11" t="n">
        <v>45198</v>
      </c>
      <c r="F104" s="5" t="s">
        <v>73</v>
      </c>
      <c r="G104" s="12" t="n">
        <v>253566.795175838</v>
      </c>
      <c r="H104" s="13" t="n">
        <v>82.99</v>
      </c>
      <c r="I104" s="13" t="n">
        <v>95.12</v>
      </c>
      <c r="J104" s="5" t="s">
        <v>74</v>
      </c>
      <c r="K104" s="8" t="n">
        <v>67.7070347101258</v>
      </c>
      <c r="L104" s="8" t="n">
        <v>24192.3994386997</v>
      </c>
      <c r="M104" s="8" t="n">
        <f aca="false">M103+L104</f>
        <v>2146568.31440327</v>
      </c>
      <c r="N104" s="5" t="str">
        <f aca="false">IF(L104&gt;0,"прибыль",IF(L104&lt;0,"убыток","ноль"))</f>
        <v>прибыль</v>
      </c>
      <c r="O104" s="6" t="n">
        <f aca="false">IF(L104&lt;0,O103+1,0)</f>
        <v>0</v>
      </c>
      <c r="P104" s="6" t="n">
        <v>48</v>
      </c>
    </row>
    <row r="105" customFormat="false" ht="15" hidden="false" customHeight="false" outlineLevel="0" collapsed="false">
      <c r="A105" s="6" t="n">
        <v>100</v>
      </c>
      <c r="B105" s="5" t="s">
        <v>76</v>
      </c>
      <c r="C105" s="5" t="s">
        <v>25</v>
      </c>
      <c r="D105" s="11" t="n">
        <v>45198</v>
      </c>
      <c r="E105" s="11" t="n">
        <v>45204</v>
      </c>
      <c r="F105" s="5" t="s">
        <v>73</v>
      </c>
      <c r="G105" s="12" t="n">
        <v>265972.271788116</v>
      </c>
      <c r="H105" s="13" t="n">
        <v>95.12</v>
      </c>
      <c r="I105" s="13" t="n">
        <v>86.64</v>
      </c>
      <c r="J105" s="5" t="s">
        <v>74</v>
      </c>
      <c r="K105" s="8" t="n">
        <v>13.8983953616217</v>
      </c>
      <c r="L105" s="8" t="n">
        <v>11981.7370489569</v>
      </c>
      <c r="M105" s="8" t="n">
        <f aca="false">M104+L105</f>
        <v>2158550.05145223</v>
      </c>
      <c r="N105" s="5" t="str">
        <f aca="false">IF(L105&gt;0,"прибыль",IF(L105&lt;0,"убыток","ноль"))</f>
        <v>прибыль</v>
      </c>
      <c r="O105" s="6" t="n">
        <f aca="false">IF(L105&lt;0,O104+1,0)</f>
        <v>0</v>
      </c>
      <c r="P105" s="6" t="n">
        <v>4</v>
      </c>
    </row>
    <row r="106" customFormat="false" ht="15" hidden="false" customHeight="false" outlineLevel="0" collapsed="false">
      <c r="A106" s="6" t="n">
        <v>101</v>
      </c>
      <c r="B106" s="5" t="s">
        <v>76</v>
      </c>
      <c r="C106" s="5" t="s">
        <v>25</v>
      </c>
      <c r="D106" s="11" t="n">
        <v>45204</v>
      </c>
      <c r="E106" s="11" t="n">
        <v>45205</v>
      </c>
      <c r="F106" s="5" t="s">
        <v>73</v>
      </c>
      <c r="G106" s="12" t="n">
        <v>556774.725589316</v>
      </c>
      <c r="H106" s="13" t="n">
        <v>86.64</v>
      </c>
      <c r="I106" s="13" t="n">
        <v>84.75</v>
      </c>
      <c r="K106" s="8" t="n">
        <v>28.4588581282854</v>
      </c>
      <c r="L106" s="8" t="n">
        <v>12373.9781182641</v>
      </c>
      <c r="M106" s="8" t="n">
        <f aca="false">M105+L106</f>
        <v>2170924.02957049</v>
      </c>
      <c r="N106" s="5" t="str">
        <f aca="false">IF(L106&gt;0,"прибыль",IF(L106&lt;0,"убыток","ноль"))</f>
        <v>прибыль</v>
      </c>
      <c r="O106" s="6" t="n">
        <f aca="false">IF(L106&lt;0,O105+1,0)</f>
        <v>0</v>
      </c>
      <c r="P106" s="6" t="n">
        <v>1</v>
      </c>
    </row>
    <row r="107" customFormat="false" ht="15" hidden="false" customHeight="false" outlineLevel="0" collapsed="false">
      <c r="A107" s="6" t="n">
        <v>102</v>
      </c>
      <c r="B107" s="5" t="s">
        <v>76</v>
      </c>
      <c r="C107" s="5" t="s">
        <v>25</v>
      </c>
      <c r="D107" s="11" t="n">
        <v>45219</v>
      </c>
      <c r="E107" s="11" t="n">
        <v>45238</v>
      </c>
      <c r="F107" s="5" t="s">
        <v>73</v>
      </c>
      <c r="G107" s="12" t="n">
        <v>497335.88549634</v>
      </c>
      <c r="H107" s="13" t="n">
        <v>93.43</v>
      </c>
      <c r="I107" s="13" t="n">
        <v>83.24</v>
      </c>
      <c r="J107" s="5" t="s">
        <v>74</v>
      </c>
      <c r="K107" s="8" t="n">
        <v>47.6151893108062</v>
      </c>
      <c r="L107" s="8" t="n">
        <v>-42415.5999658665</v>
      </c>
      <c r="M107" s="8" t="n">
        <f aca="false">M106+L107</f>
        <v>2128508.42960462</v>
      </c>
      <c r="N107" s="5" t="str">
        <f aca="false">IF(L107&gt;0,"прибыль",IF(L107&lt;0,"убыток","ноль"))</f>
        <v>убыток</v>
      </c>
      <c r="O107" s="6" t="n">
        <f aca="false">IF(L107&lt;0,O106+1,0)</f>
        <v>1</v>
      </c>
      <c r="P107" s="6" t="n">
        <v>13</v>
      </c>
    </row>
    <row r="108" customFormat="false" ht="15" hidden="false" customHeight="false" outlineLevel="0" collapsed="false">
      <c r="A108" s="6" t="n">
        <v>103</v>
      </c>
      <c r="B108" s="5" t="s">
        <v>76</v>
      </c>
      <c r="C108" s="5" t="s">
        <v>25</v>
      </c>
      <c r="D108" s="11" t="n">
        <v>45239</v>
      </c>
      <c r="E108" s="11" t="n">
        <v>45317</v>
      </c>
      <c r="F108" s="5" t="s">
        <v>75</v>
      </c>
      <c r="G108" s="12" t="n">
        <v>677801.743785313</v>
      </c>
      <c r="H108" s="13" t="n">
        <v>81.75</v>
      </c>
      <c r="I108" s="13" t="n">
        <v>82.3</v>
      </c>
      <c r="J108" s="5" t="s">
        <v>74</v>
      </c>
      <c r="K108" s="8" t="n">
        <v>102.719449279072</v>
      </c>
      <c r="L108" s="8" t="n">
        <v>-43417.5040343013</v>
      </c>
      <c r="M108" s="8" t="n">
        <f aca="false">M107+L108</f>
        <v>2085090.92557032</v>
      </c>
      <c r="N108" s="5" t="str">
        <f aca="false">IF(L108&gt;0,"прибыль",IF(L108&lt;0,"убыток","ноль"))</f>
        <v>убыток</v>
      </c>
      <c r="O108" s="6" t="n">
        <f aca="false">IF(L108&lt;0,O107+1,0)</f>
        <v>2</v>
      </c>
      <c r="P108" s="6" t="n">
        <v>54</v>
      </c>
    </row>
    <row r="109" customFormat="false" ht="15" hidden="false" customHeight="false" outlineLevel="0" collapsed="false">
      <c r="A109" s="6" t="n">
        <v>104</v>
      </c>
      <c r="B109" s="5" t="s">
        <v>76</v>
      </c>
      <c r="C109" s="5" t="s">
        <v>25</v>
      </c>
      <c r="D109" s="11" t="n">
        <v>45317</v>
      </c>
      <c r="E109" s="11" t="n">
        <v>45400</v>
      </c>
      <c r="F109" s="5" t="s">
        <v>73</v>
      </c>
      <c r="G109" s="12" t="n">
        <v>232869.743084749</v>
      </c>
      <c r="H109" s="13" t="n">
        <v>82.3</v>
      </c>
      <c r="I109" s="13" t="n">
        <v>87.78</v>
      </c>
      <c r="J109" s="5" t="s">
        <v>74</v>
      </c>
      <c r="K109" s="8" t="n">
        <v>32.0755242562645</v>
      </c>
      <c r="L109" s="8" t="n">
        <v>16988.4384700148</v>
      </c>
      <c r="M109" s="8" t="n">
        <f aca="false">M108+L109</f>
        <v>2102079.36404034</v>
      </c>
      <c r="N109" s="5" t="str">
        <f aca="false">IF(L109&gt;0,"прибыль",IF(L109&lt;0,"убыток","ноль"))</f>
        <v>прибыль</v>
      </c>
      <c r="O109" s="6" t="n">
        <f aca="false">IF(L109&lt;0,O108+1,0)</f>
        <v>0</v>
      </c>
      <c r="P109" s="6" t="n">
        <v>57</v>
      </c>
    </row>
    <row r="110" customFormat="false" ht="15" hidden="false" customHeight="false" outlineLevel="0" collapsed="false">
      <c r="A110" s="6" t="n">
        <v>105</v>
      </c>
      <c r="B110" s="5" t="s">
        <v>76</v>
      </c>
      <c r="C110" s="5" t="s">
        <v>25</v>
      </c>
      <c r="D110" s="11" t="n">
        <v>45400</v>
      </c>
      <c r="E110" s="11" t="n">
        <v>45443</v>
      </c>
      <c r="F110" s="5" t="s">
        <v>73</v>
      </c>
      <c r="G110" s="12" t="n">
        <v>223802.384065277</v>
      </c>
      <c r="H110" s="13" t="n">
        <v>87.78</v>
      </c>
      <c r="I110" s="13" t="n">
        <v>81.84</v>
      </c>
      <c r="J110" s="5" t="s">
        <v>74</v>
      </c>
      <c r="K110" s="8" t="n">
        <v>25.0269324631467</v>
      </c>
      <c r="L110" s="8" t="n">
        <v>6070.2070654131</v>
      </c>
      <c r="M110" s="8" t="n">
        <f aca="false">M109+L110</f>
        <v>2108149.57110575</v>
      </c>
      <c r="N110" s="5" t="str">
        <f aca="false">IF(L110&gt;0,"прибыль",IF(L110&lt;0,"убыток","ноль"))</f>
        <v>прибыль</v>
      </c>
      <c r="O110" s="6" t="n">
        <f aca="false">IF(L110&lt;0,O109+1,0)</f>
        <v>0</v>
      </c>
      <c r="P110" s="6" t="n">
        <v>30</v>
      </c>
    </row>
    <row r="111" customFormat="false" ht="15" hidden="false" customHeight="false" outlineLevel="0" collapsed="false">
      <c r="A111" s="6" t="n">
        <v>106</v>
      </c>
      <c r="B111" s="5" t="s">
        <v>76</v>
      </c>
      <c r="C111" s="5" t="s">
        <v>25</v>
      </c>
      <c r="D111" s="11" t="n">
        <v>45443</v>
      </c>
      <c r="E111" s="11" t="n">
        <v>45454</v>
      </c>
      <c r="F111" s="5" t="s">
        <v>73</v>
      </c>
      <c r="G111" s="12" t="n">
        <v>177437.549214558</v>
      </c>
      <c r="H111" s="13" t="n">
        <v>81.84</v>
      </c>
      <c r="I111" s="13" t="n">
        <v>81.42</v>
      </c>
      <c r="J111" s="5" t="s">
        <v>74</v>
      </c>
      <c r="K111" s="8" t="n">
        <v>9.48179324572251</v>
      </c>
      <c r="L111" s="8" t="n">
        <v>12188.8339066469</v>
      </c>
      <c r="M111" s="8" t="n">
        <f aca="false">M110+L111</f>
        <v>2120338.4050124</v>
      </c>
      <c r="N111" s="5" t="str">
        <f aca="false">IF(L111&gt;0,"прибыль",IF(L111&lt;0,"убыток","ноль"))</f>
        <v>прибыль</v>
      </c>
      <c r="O111" s="6" t="n">
        <f aca="false">IF(L111&lt;0,O110+1,0)</f>
        <v>0</v>
      </c>
      <c r="P111" s="6" t="n">
        <v>7</v>
      </c>
    </row>
    <row r="112" customFormat="false" ht="15" hidden="false" customHeight="false" outlineLevel="0" collapsed="false">
      <c r="A112" s="6" t="n">
        <v>107</v>
      </c>
      <c r="B112" s="5" t="s">
        <v>76</v>
      </c>
      <c r="C112" s="5" t="s">
        <v>25</v>
      </c>
      <c r="D112" s="11" t="n">
        <v>45454</v>
      </c>
      <c r="E112" s="11" t="n">
        <v>45490</v>
      </c>
      <c r="F112" s="5" t="s">
        <v>73</v>
      </c>
      <c r="G112" s="12" t="n">
        <v>969376.375079666</v>
      </c>
      <c r="H112" s="13" t="n">
        <v>81.42</v>
      </c>
      <c r="I112" s="13" t="n">
        <v>83.83</v>
      </c>
      <c r="J112" s="5" t="s">
        <v>74</v>
      </c>
      <c r="K112" s="8" t="n">
        <v>65.7912913731478</v>
      </c>
      <c r="L112" s="8" t="n">
        <v>60629.5823195121</v>
      </c>
      <c r="M112" s="8" t="n">
        <f aca="false">M111+L112</f>
        <v>2180967.98733191</v>
      </c>
      <c r="N112" s="5" t="str">
        <f aca="false">IF(L112&gt;0,"прибыль",IF(L112&lt;0,"убыток","ноль"))</f>
        <v>прибыль</v>
      </c>
      <c r="O112" s="6" t="n">
        <f aca="false">IF(L112&lt;0,O111+1,0)</f>
        <v>0</v>
      </c>
      <c r="P112" s="6" t="n">
        <v>25</v>
      </c>
    </row>
    <row r="113" customFormat="false" ht="15" hidden="false" customHeight="false" outlineLevel="0" collapsed="false">
      <c r="A113" s="6" t="n">
        <v>108</v>
      </c>
      <c r="B113" s="5" t="s">
        <v>76</v>
      </c>
      <c r="C113" s="5" t="s">
        <v>25</v>
      </c>
      <c r="D113" s="11" t="n">
        <v>45539</v>
      </c>
      <c r="E113" s="11" t="n">
        <v>45573</v>
      </c>
      <c r="F113" s="5" t="s">
        <v>75</v>
      </c>
      <c r="G113" s="12" t="n">
        <v>571423.67212229</v>
      </c>
      <c r="H113" s="13" t="n">
        <v>73.92</v>
      </c>
      <c r="I113" s="13" t="n">
        <v>79.89</v>
      </c>
      <c r="J113" s="5" t="s">
        <v>74</v>
      </c>
      <c r="K113" s="8" t="n">
        <v>58.3824706831918</v>
      </c>
      <c r="L113" s="8" t="n">
        <v>-24860.4518899386</v>
      </c>
      <c r="M113" s="8" t="n">
        <f aca="false">M112+L113</f>
        <v>2156107.53544197</v>
      </c>
      <c r="N113" s="5" t="str">
        <f aca="false">IF(L113&gt;0,"прибыль",IF(L113&lt;0,"убыток","ноль"))</f>
        <v>убыток</v>
      </c>
      <c r="O113" s="6" t="n">
        <f aca="false">IF(L113&lt;0,O112+1,0)</f>
        <v>1</v>
      </c>
      <c r="P113" s="6" t="n">
        <v>24</v>
      </c>
    </row>
    <row r="114" customFormat="false" ht="15" hidden="false" customHeight="false" outlineLevel="0" collapsed="false">
      <c r="A114" s="6" t="n">
        <v>109</v>
      </c>
      <c r="B114" s="5" t="s">
        <v>76</v>
      </c>
      <c r="C114" s="5" t="s">
        <v>25</v>
      </c>
      <c r="D114" s="11" t="n">
        <v>45594</v>
      </c>
      <c r="E114" s="11" t="n">
        <v>45670</v>
      </c>
      <c r="F114" s="5" t="s">
        <v>75</v>
      </c>
      <c r="G114" s="12" t="n">
        <v>1007311.09710517</v>
      </c>
      <c r="H114" s="13" t="n">
        <v>71.46</v>
      </c>
      <c r="I114" s="13" t="n">
        <v>81.28</v>
      </c>
      <c r="J114" s="5" t="s">
        <v>74</v>
      </c>
      <c r="K114" s="8" t="n">
        <v>153.538611368528</v>
      </c>
      <c r="L114" s="8" t="n">
        <v>-99220.8866498679</v>
      </c>
      <c r="M114" s="8" t="n">
        <f aca="false">M113+L114</f>
        <v>2056886.6487921</v>
      </c>
      <c r="N114" s="5" t="str">
        <f aca="false">IF(L114&gt;0,"прибыль",IF(L114&lt;0,"убыток","ноль"))</f>
        <v>убыток</v>
      </c>
      <c r="O114" s="6" t="n">
        <f aca="false">IF(L114&lt;0,O113+1,0)</f>
        <v>2</v>
      </c>
      <c r="P114" s="6" t="n">
        <v>51</v>
      </c>
    </row>
    <row r="115" customFormat="false" ht="15" hidden="false" customHeight="false" outlineLevel="0" collapsed="false">
      <c r="A115" s="6" t="n">
        <v>110</v>
      </c>
      <c r="B115" s="5" t="s">
        <v>76</v>
      </c>
      <c r="C115" s="5" t="s">
        <v>25</v>
      </c>
      <c r="D115" s="11" t="n">
        <v>45670</v>
      </c>
      <c r="E115" s="11" t="n">
        <v>45685</v>
      </c>
      <c r="F115" s="5" t="s">
        <v>73</v>
      </c>
      <c r="G115" s="12" t="n">
        <v>213574.37694484</v>
      </c>
      <c r="H115" s="13" t="n">
        <v>81.28</v>
      </c>
      <c r="I115" s="13" t="n">
        <v>77.41</v>
      </c>
      <c r="K115" s="8" t="n">
        <v>10.1523702923504</v>
      </c>
      <c r="L115" s="8" t="n">
        <v>-10537.1234681246</v>
      </c>
      <c r="M115" s="8" t="n">
        <f aca="false">M114+L115</f>
        <v>2046349.52532398</v>
      </c>
      <c r="N115" s="5" t="str">
        <f aca="false">IF(L115&gt;0,"прибыль",IF(L115&lt;0,"убыток","ноль"))</f>
        <v>убыток</v>
      </c>
      <c r="O115" s="6" t="n">
        <f aca="false">IF(L115&lt;0,O114+1,0)</f>
        <v>3</v>
      </c>
      <c r="P115" s="6" t="n">
        <v>11</v>
      </c>
    </row>
    <row r="116" customFormat="false" ht="15" hidden="false" customHeight="false" outlineLevel="0" collapsed="false">
      <c r="A116" s="6" t="n">
        <v>111</v>
      </c>
      <c r="B116" s="5" t="s">
        <v>76</v>
      </c>
      <c r="C116" s="5" t="s">
        <v>25</v>
      </c>
      <c r="D116" s="11" t="n">
        <v>45685</v>
      </c>
      <c r="E116" s="11" t="n">
        <v>45714</v>
      </c>
      <c r="F116" s="5" t="s">
        <v>73</v>
      </c>
      <c r="G116" s="12" t="n">
        <v>896956.4133388</v>
      </c>
      <c r="H116" s="13" t="n">
        <v>77.41</v>
      </c>
      <c r="I116" s="13" t="n">
        <v>73.29</v>
      </c>
      <c r="J116" s="5" t="s">
        <v>74</v>
      </c>
      <c r="K116" s="8" t="n">
        <v>87.3324558674852</v>
      </c>
      <c r="L116" s="8" t="n">
        <v>-65134.3821540417</v>
      </c>
      <c r="M116" s="8" t="n">
        <f aca="false">M115+L116</f>
        <v>1981215.14316994</v>
      </c>
      <c r="N116" s="5" t="str">
        <f aca="false">IF(L116&gt;0,"прибыль",IF(L116&lt;0,"убыток","ноль"))</f>
        <v>убыток</v>
      </c>
      <c r="O116" s="6" t="n">
        <f aca="false">IF(L116&lt;0,O115+1,0)</f>
        <v>4</v>
      </c>
      <c r="P116" s="6" t="n">
        <v>21</v>
      </c>
    </row>
    <row r="117" customFormat="false" ht="15" hidden="false" customHeight="false" outlineLevel="0" collapsed="false">
      <c r="A117" s="6" t="n">
        <v>112</v>
      </c>
      <c r="B117" s="5" t="s">
        <v>76</v>
      </c>
      <c r="C117" s="5" t="s">
        <v>25</v>
      </c>
      <c r="D117" s="11" t="n">
        <v>45714</v>
      </c>
      <c r="E117" s="11" t="n">
        <v>45741</v>
      </c>
      <c r="F117" s="5" t="s">
        <v>75</v>
      </c>
      <c r="G117" s="12" t="n">
        <v>761291.648547152</v>
      </c>
      <c r="H117" s="13" t="n">
        <v>73.29</v>
      </c>
      <c r="I117" s="13" t="n">
        <v>72.97</v>
      </c>
      <c r="J117" s="5" t="s">
        <v>74</v>
      </c>
      <c r="K117" s="8" t="n">
        <v>39.0901933499076</v>
      </c>
      <c r="L117" s="8" t="n">
        <v>-20551.3086443505</v>
      </c>
      <c r="M117" s="8" t="n">
        <f aca="false">M116+L117</f>
        <v>1960663.83452559</v>
      </c>
      <c r="N117" s="5" t="str">
        <f aca="false">IF(L117&gt;0,"прибыль",IF(L117&lt;0,"убыток","ноль"))</f>
        <v>убыток</v>
      </c>
      <c r="O117" s="6" t="n">
        <f aca="false">IF(L117&lt;0,O116+1,0)</f>
        <v>5</v>
      </c>
      <c r="P117" s="6" t="n">
        <v>19</v>
      </c>
    </row>
    <row r="118" customFormat="false" ht="15" hidden="false" customHeight="false" outlineLevel="0" collapsed="false">
      <c r="A118" s="6" t="n">
        <v>113</v>
      </c>
      <c r="B118" s="5" t="s">
        <v>76</v>
      </c>
      <c r="C118" s="5" t="s">
        <v>25</v>
      </c>
      <c r="D118" s="11" t="n">
        <v>45754</v>
      </c>
      <c r="E118" s="11" t="n">
        <v>45757</v>
      </c>
      <c r="F118" s="5" t="s">
        <v>75</v>
      </c>
      <c r="G118" s="12" t="n">
        <v>112571.238853599</v>
      </c>
      <c r="H118" s="13" t="n">
        <v>64.9</v>
      </c>
      <c r="I118" s="13" t="n">
        <v>65.08</v>
      </c>
      <c r="K118" s="8" t="n">
        <v>27.6582224140102</v>
      </c>
      <c r="L118" s="8" t="n">
        <v>-683.678657988878</v>
      </c>
      <c r="M118" s="8" t="n">
        <f aca="false">M117+L118</f>
        <v>1959980.1558676</v>
      </c>
      <c r="N118" s="5" t="str">
        <f aca="false">IF(L118&gt;0,"прибыль",IF(L118&lt;0,"убыток","ноль"))</f>
        <v>убыток</v>
      </c>
      <c r="O118" s="6" t="n">
        <f aca="false">IF(L118&lt;0,O117+1,0)</f>
        <v>6</v>
      </c>
      <c r="P118" s="6" t="n">
        <v>3</v>
      </c>
    </row>
    <row r="119" customFormat="false" ht="15" hidden="false" customHeight="false" outlineLevel="0" collapsed="false">
      <c r="A119" s="6" t="n">
        <v>114</v>
      </c>
      <c r="B119" s="5" t="s">
        <v>76</v>
      </c>
      <c r="C119" s="5" t="s">
        <v>25</v>
      </c>
      <c r="D119" s="11" t="n">
        <v>45757</v>
      </c>
      <c r="E119" s="11" t="n">
        <v>45791</v>
      </c>
      <c r="F119" s="5" t="s">
        <v>75</v>
      </c>
      <c r="G119" s="12" t="n">
        <v>492721.083447653</v>
      </c>
      <c r="H119" s="13" t="n">
        <v>65.08</v>
      </c>
      <c r="I119" s="13" t="n">
        <v>66.3</v>
      </c>
      <c r="J119" s="5" t="s">
        <v>74</v>
      </c>
      <c r="K119" s="8" t="n">
        <v>34.6644826086424</v>
      </c>
      <c r="L119" s="8" t="n">
        <v>-35248.0998975803</v>
      </c>
      <c r="M119" s="8" t="n">
        <f aca="false">M118+L119</f>
        <v>1924732.05597002</v>
      </c>
      <c r="N119" s="5" t="str">
        <f aca="false">IF(L119&gt;0,"прибыль",IF(L119&lt;0,"убыток","ноль"))</f>
        <v>убыток</v>
      </c>
      <c r="O119" s="6" t="n">
        <f aca="false">IF(L119&lt;0,O118+1,0)</f>
        <v>7</v>
      </c>
      <c r="P119" s="6" t="n">
        <v>22</v>
      </c>
    </row>
    <row r="120" customFormat="false" ht="15" hidden="false" customHeight="false" outlineLevel="0" collapsed="false">
      <c r="A120" s="6" t="n">
        <v>115</v>
      </c>
      <c r="B120" s="5" t="s">
        <v>76</v>
      </c>
      <c r="C120" s="5" t="s">
        <v>25</v>
      </c>
      <c r="D120" s="11" t="n">
        <v>45821</v>
      </c>
      <c r="E120" s="11" t="n">
        <v>45824</v>
      </c>
      <c r="F120" s="5" t="s">
        <v>73</v>
      </c>
      <c r="G120" s="12" t="n">
        <v>201733.856236383</v>
      </c>
      <c r="H120" s="13" t="n">
        <v>73.76</v>
      </c>
      <c r="I120" s="13" t="n">
        <v>74.63</v>
      </c>
      <c r="K120" s="8" t="n">
        <v>42.0762788992184</v>
      </c>
      <c r="L120" s="8" t="n">
        <v>1841.44065012255</v>
      </c>
      <c r="M120" s="8" t="n">
        <f aca="false">M119+L120</f>
        <v>1926573.49662014</v>
      </c>
      <c r="N120" s="5" t="str">
        <f aca="false">IF(L120&gt;0,"прибыль",IF(L120&lt;0,"убыток","ноль"))</f>
        <v>прибыль</v>
      </c>
      <c r="O120" s="6" t="n">
        <f aca="false">IF(L120&lt;0,O119+1,0)</f>
        <v>0</v>
      </c>
      <c r="P120" s="6" t="n">
        <v>1</v>
      </c>
    </row>
    <row r="121" customFormat="false" ht="15" hidden="false" customHeight="false" outlineLevel="0" collapsed="false">
      <c r="A121" s="6" t="n">
        <v>116</v>
      </c>
      <c r="B121" s="5" t="s">
        <v>76</v>
      </c>
      <c r="C121" s="5" t="s">
        <v>25</v>
      </c>
      <c r="D121" s="11" t="n">
        <v>45824</v>
      </c>
      <c r="E121" s="11" t="n">
        <v>45832</v>
      </c>
      <c r="F121" s="5" t="s">
        <v>73</v>
      </c>
      <c r="G121" s="12" t="n">
        <v>135850.179670889</v>
      </c>
      <c r="H121" s="13" t="n">
        <v>74.63</v>
      </c>
      <c r="I121" s="13" t="n">
        <v>68.78</v>
      </c>
      <c r="K121" s="8" t="n">
        <v>6.31486662152615</v>
      </c>
      <c r="L121" s="8" t="n">
        <v>-9559.1621069873</v>
      </c>
      <c r="M121" s="8" t="n">
        <f aca="false">M120+L121</f>
        <v>1917014.33451315</v>
      </c>
      <c r="N121" s="5" t="str">
        <f aca="false">IF(L121&gt;0,"прибыль",IF(L121&lt;0,"убыток","ноль"))</f>
        <v>убыток</v>
      </c>
      <c r="O121" s="6" t="n">
        <f aca="false">IF(L121&lt;0,O120+1,0)</f>
        <v>1</v>
      </c>
      <c r="P121" s="6" t="n">
        <v>6</v>
      </c>
    </row>
    <row r="122" customFormat="false" ht="15" hidden="false" customHeight="false" outlineLevel="0" collapsed="false">
      <c r="A122" s="6" t="n">
        <v>117</v>
      </c>
      <c r="B122" s="5" t="s">
        <v>76</v>
      </c>
      <c r="C122" s="5" t="s">
        <v>25</v>
      </c>
      <c r="D122" s="11" t="n">
        <v>45832</v>
      </c>
      <c r="E122" s="11" t="n">
        <v>45924</v>
      </c>
      <c r="F122" s="5" t="s">
        <v>73</v>
      </c>
      <c r="G122" s="12" t="n">
        <v>199677.30521594</v>
      </c>
      <c r="H122" s="13" t="n">
        <v>68.78</v>
      </c>
      <c r="I122" s="13" t="n">
        <v>67.72</v>
      </c>
      <c r="J122" s="5" t="s">
        <v>74</v>
      </c>
      <c r="K122" s="8" t="n">
        <v>44.2937154125537</v>
      </c>
      <c r="L122" s="8" t="n">
        <v>-865.550405412604</v>
      </c>
      <c r="M122" s="8" t="n">
        <f aca="false">M121+L122</f>
        <v>1916148.78410774</v>
      </c>
      <c r="N122" s="5" t="str">
        <f aca="false">IF(L122&gt;0,"прибыль",IF(L122&lt;0,"убыток","ноль"))</f>
        <v>убыток</v>
      </c>
      <c r="O122" s="6" t="n">
        <f aca="false">IF(L122&lt;0,O121+1,0)</f>
        <v>2</v>
      </c>
      <c r="P122" s="6" t="n">
        <v>76</v>
      </c>
    </row>
    <row r="123" customFormat="false" ht="15" hidden="false" customHeight="false" outlineLevel="0" collapsed="false">
      <c r="A123" s="6" t="n">
        <v>118</v>
      </c>
      <c r="B123" s="5" t="s">
        <v>76</v>
      </c>
      <c r="C123" s="5" t="s">
        <v>25</v>
      </c>
      <c r="D123" s="11" t="n">
        <v>45924</v>
      </c>
      <c r="E123" s="11" t="n">
        <v>45933</v>
      </c>
      <c r="F123" s="5" t="s">
        <v>73</v>
      </c>
      <c r="G123" s="12" t="n">
        <v>787665.123420886</v>
      </c>
      <c r="H123" s="13" t="n">
        <v>67.72</v>
      </c>
      <c r="I123" s="13" t="n">
        <v>64.66</v>
      </c>
      <c r="J123" s="5" t="s">
        <v>74</v>
      </c>
      <c r="K123" s="8" t="n">
        <v>38.1809012121131</v>
      </c>
      <c r="L123" s="8" t="n">
        <v>-24085.2800798359</v>
      </c>
      <c r="M123" s="8" t="n">
        <f aca="false">M122+L123</f>
        <v>1892063.5040279</v>
      </c>
      <c r="N123" s="5" t="str">
        <f aca="false">IF(L123&gt;0,"прибыль",IF(L123&lt;0,"убыток","ноль"))</f>
        <v>убыток</v>
      </c>
      <c r="O123" s="6" t="n">
        <f aca="false">IF(L123&lt;0,O122+1,0)</f>
        <v>3</v>
      </c>
      <c r="P123" s="6" t="n">
        <v>9</v>
      </c>
    </row>
    <row r="124" customFormat="false" ht="15" hidden="false" customHeight="false" outlineLevel="0" collapsed="false">
      <c r="A124" s="6" t="n">
        <v>119</v>
      </c>
      <c r="B124" s="5" t="s">
        <v>76</v>
      </c>
      <c r="C124" s="5" t="s">
        <v>25</v>
      </c>
      <c r="D124" s="11" t="n">
        <v>45941</v>
      </c>
      <c r="E124" s="11" t="n">
        <v>46014</v>
      </c>
      <c r="F124" s="5" t="s">
        <v>75</v>
      </c>
      <c r="G124" s="12" t="n">
        <v>209185.369058049</v>
      </c>
      <c r="H124" s="13" t="n">
        <v>62.42</v>
      </c>
      <c r="I124" s="13" t="n">
        <v>61.89</v>
      </c>
      <c r="J124" s="5" t="s">
        <v>74</v>
      </c>
      <c r="K124" s="8" t="n">
        <v>56.4795584156643</v>
      </c>
      <c r="L124" s="8" t="n">
        <v>1747.52764629648</v>
      </c>
      <c r="M124" s="8" t="n">
        <f aca="false">M123+L124</f>
        <v>1893811.0316742</v>
      </c>
      <c r="N124" s="5" t="str">
        <f aca="false">IF(L124&gt;0,"прибыль",IF(L124&lt;0,"убыток","ноль"))</f>
        <v>прибыль</v>
      </c>
      <c r="O124" s="6" t="n">
        <f aca="false">IF(L124&lt;0,O123+1,0)</f>
        <v>0</v>
      </c>
      <c r="P124" s="6" t="n">
        <v>65</v>
      </c>
    </row>
    <row r="125" customFormat="false" ht="15" hidden="false" customHeight="false" outlineLevel="0" collapsed="false">
      <c r="A125" s="6" t="n">
        <v>120</v>
      </c>
      <c r="B125" s="5" t="s">
        <v>76</v>
      </c>
      <c r="C125" s="5" t="s">
        <v>25</v>
      </c>
      <c r="D125" s="11" t="n">
        <v>46014</v>
      </c>
      <c r="E125" s="11" t="n">
        <v>46031</v>
      </c>
      <c r="F125" s="5" t="s">
        <v>75</v>
      </c>
      <c r="G125" s="12" t="n">
        <v>713024.437401901</v>
      </c>
      <c r="H125" s="13" t="n">
        <v>61.89</v>
      </c>
      <c r="I125" s="13" t="n">
        <v>62.34</v>
      </c>
      <c r="J125" s="5" t="s">
        <v>74</v>
      </c>
      <c r="K125" s="8" t="n">
        <v>35.8128944388244</v>
      </c>
      <c r="L125" s="8" t="n">
        <v>-3269.26426902522</v>
      </c>
      <c r="M125" s="8" t="n">
        <f aca="false">M124+L125</f>
        <v>1890541.76740518</v>
      </c>
      <c r="N125" s="5" t="str">
        <f aca="false">IF(L125&gt;0,"прибыль",IF(L125&lt;0,"убыток","ноль"))</f>
        <v>убыток</v>
      </c>
      <c r="O125" s="6" t="n">
        <f aca="false">IF(L125&lt;0,O124+1,0)</f>
        <v>1</v>
      </c>
      <c r="P125" s="6" t="n">
        <v>11</v>
      </c>
    </row>
    <row r="126" customFormat="false" ht="15" hidden="false" customHeight="false" outlineLevel="0" collapsed="false">
      <c r="A126" s="6" t="n">
        <v>121</v>
      </c>
      <c r="B126" s="5" t="s">
        <v>76</v>
      </c>
      <c r="C126" s="5" t="s">
        <v>25</v>
      </c>
      <c r="D126" s="11" t="n">
        <v>46036</v>
      </c>
      <c r="E126" s="11" t="n">
        <v>46052</v>
      </c>
      <c r="F126" s="5" t="s">
        <v>73</v>
      </c>
      <c r="G126" s="12" t="n">
        <v>133983.054370372</v>
      </c>
      <c r="H126" s="13" t="n">
        <v>65.22</v>
      </c>
      <c r="I126" s="13" t="n">
        <v>70.03</v>
      </c>
      <c r="K126" s="8" t="n">
        <v>39.7272215195943</v>
      </c>
      <c r="L126" s="8" t="n">
        <v>9533.29862650725</v>
      </c>
      <c r="M126" s="8" t="n">
        <f aca="false">M125+L126</f>
        <v>1900075.06603168</v>
      </c>
      <c r="N126" s="5" t="str">
        <f aca="false">IF(L126&gt;0,"прибыль",IF(L126&lt;0,"убыток","ноль"))</f>
        <v>прибыль</v>
      </c>
      <c r="O126" s="6" t="n">
        <f aca="false">IF(L126&lt;0,O125+1,0)</f>
        <v>0</v>
      </c>
      <c r="P126" s="6" t="n">
        <v>16</v>
      </c>
    </row>
    <row r="127" customFormat="false" ht="15" hidden="false" customHeight="false" outlineLevel="0" collapsed="false">
      <c r="A127" s="6" t="n">
        <v>122</v>
      </c>
      <c r="B127" s="5" t="s">
        <v>76</v>
      </c>
      <c r="C127" s="5" t="s">
        <v>25</v>
      </c>
      <c r="D127" s="11" t="n">
        <v>46052</v>
      </c>
      <c r="E127" s="11" t="n">
        <v>46090</v>
      </c>
      <c r="F127" s="5" t="s">
        <v>73</v>
      </c>
      <c r="G127" s="12" t="n">
        <v>222744.321944722</v>
      </c>
      <c r="H127" s="13" t="n">
        <v>70.03</v>
      </c>
      <c r="I127" s="13" t="n">
        <v>105.61</v>
      </c>
      <c r="J127" s="5" t="s">
        <v>74</v>
      </c>
      <c r="K127" s="8" t="n">
        <v>17.3772571851765</v>
      </c>
      <c r="L127" s="8" t="n">
        <v>124783.444501622</v>
      </c>
      <c r="M127" s="8" t="n">
        <f aca="false">M126+L127</f>
        <v>2024858.5105333</v>
      </c>
      <c r="N127" s="5" t="str">
        <f aca="false">IF(L127&gt;0,"прибыль",IF(L127&lt;0,"убыток","ноль"))</f>
        <v>прибыль</v>
      </c>
      <c r="O127" s="6" t="n">
        <f aca="false">IF(L127&lt;0,O126+1,0)</f>
        <v>0</v>
      </c>
      <c r="P127" s="6" t="n">
        <v>34</v>
      </c>
    </row>
    <row r="128" customFormat="false" ht="15" hidden="false" customHeight="false" outlineLevel="0" collapsed="false">
      <c r="A128" s="6" t="n">
        <v>123</v>
      </c>
      <c r="B128" s="5" t="s">
        <v>76</v>
      </c>
      <c r="C128" s="5" t="s">
        <v>25</v>
      </c>
      <c r="D128" s="11" t="n">
        <v>46090</v>
      </c>
      <c r="E128" s="11" t="n">
        <v>46094</v>
      </c>
      <c r="F128" s="5" t="s">
        <v>73</v>
      </c>
      <c r="G128" s="12" t="n">
        <v>97712.0727576246</v>
      </c>
      <c r="H128" s="13" t="n">
        <v>105.61</v>
      </c>
      <c r="I128" s="13" t="n">
        <v>101.16</v>
      </c>
      <c r="K128" s="8" t="n">
        <v>7.29874814945939</v>
      </c>
      <c r="L128" s="8" t="n">
        <v>48255.5914834136</v>
      </c>
      <c r="M128" s="8" t="n">
        <f aca="false">M127+L128</f>
        <v>2073114.10201672</v>
      </c>
      <c r="N128" s="5" t="str">
        <f aca="false">IF(L128&gt;0,"прибыль",IF(L128&lt;0,"убыток","ноль"))</f>
        <v>прибыль</v>
      </c>
      <c r="O128" s="6" t="n">
        <f aca="false">IF(L128&lt;0,O127+1,0)</f>
        <v>0</v>
      </c>
      <c r="P128" s="6" t="n">
        <v>4</v>
      </c>
    </row>
    <row r="129" customFormat="false" ht="15" hidden="false" customHeight="false" outlineLevel="0" collapsed="false">
      <c r="A129" s="6" t="n">
        <v>124</v>
      </c>
      <c r="B129" s="5" t="s">
        <v>76</v>
      </c>
      <c r="C129" s="5" t="s">
        <v>25</v>
      </c>
      <c r="D129" s="11" t="n">
        <v>46094</v>
      </c>
      <c r="E129" s="11" t="n">
        <v>46105</v>
      </c>
      <c r="F129" s="5" t="s">
        <v>73</v>
      </c>
      <c r="G129" s="12" t="n">
        <v>47214.4057036764</v>
      </c>
      <c r="H129" s="13" t="n">
        <v>101.16</v>
      </c>
      <c r="I129" s="13" t="n">
        <v>103.95</v>
      </c>
      <c r="K129" s="8" t="n">
        <v>3.62211716392975</v>
      </c>
      <c r="L129" s="8" t="n">
        <v>25224.3154577547</v>
      </c>
      <c r="M129" s="8" t="n">
        <f aca="false">M128+L129</f>
        <v>2098338.41747447</v>
      </c>
      <c r="N129" s="5" t="str">
        <f aca="false">IF(L129&gt;0,"прибыль",IF(L129&lt;0,"убыток","ноль"))</f>
        <v>прибыль</v>
      </c>
      <c r="O129" s="6" t="n">
        <f aca="false">IF(L129&lt;0,O128+1,0)</f>
        <v>0</v>
      </c>
      <c r="P129" s="6" t="n">
        <v>9</v>
      </c>
    </row>
    <row r="130" customFormat="false" ht="15" hidden="false" customHeight="false" outlineLevel="0" collapsed="false">
      <c r="A130" s="6" t="n">
        <v>125</v>
      </c>
      <c r="B130" s="5" t="s">
        <v>76</v>
      </c>
      <c r="C130" s="5" t="s">
        <v>25</v>
      </c>
      <c r="D130" s="11" t="n">
        <v>46105</v>
      </c>
      <c r="E130" s="11" t="n">
        <v>46168</v>
      </c>
      <c r="F130" s="5" t="s">
        <v>73</v>
      </c>
      <c r="G130" s="12" t="n">
        <v>218187.198318419</v>
      </c>
      <c r="H130" s="13" t="n">
        <v>103.95</v>
      </c>
      <c r="I130" s="13" t="n">
        <v>98.61</v>
      </c>
      <c r="J130" s="5" t="s">
        <v>74</v>
      </c>
      <c r="K130" s="8" t="n">
        <v>18.5793681516554</v>
      </c>
      <c r="L130" s="8" t="n">
        <v>84528.8824252093</v>
      </c>
      <c r="M130" s="8" t="n">
        <f aca="false">M129+L130</f>
        <v>2182867.29989968</v>
      </c>
      <c r="N130" s="5" t="str">
        <f aca="false">IF(L130&gt;0,"прибыль",IF(L130&lt;0,"убыток","ноль"))</f>
        <v>прибыль</v>
      </c>
      <c r="O130" s="6" t="n">
        <f aca="false">IF(L130&lt;0,O129+1,0)</f>
        <v>0</v>
      </c>
      <c r="P130" s="6" t="n">
        <v>61</v>
      </c>
    </row>
    <row r="131" customFormat="false" ht="15" hidden="false" customHeight="false" outlineLevel="0" collapsed="false">
      <c r="A131" s="6" t="n">
        <v>126</v>
      </c>
      <c r="B131" s="5" t="s">
        <v>76</v>
      </c>
      <c r="C131" s="5" t="s">
        <v>25</v>
      </c>
      <c r="D131" s="11" t="n">
        <v>46183</v>
      </c>
      <c r="E131" s="11" t="n">
        <v>46213</v>
      </c>
      <c r="F131" s="5" t="s">
        <v>75</v>
      </c>
      <c r="G131" s="12" t="n">
        <v>106020.177987959</v>
      </c>
      <c r="H131" s="13" t="n">
        <v>92.04</v>
      </c>
      <c r="I131" s="13" t="n">
        <v>76.55</v>
      </c>
      <c r="J131" s="5" t="s">
        <v>74</v>
      </c>
      <c r="K131" s="8" t="n">
        <v>30.5938288212935</v>
      </c>
      <c r="L131" s="8" t="n">
        <v>11937.9147257594</v>
      </c>
      <c r="M131" s="8" t="n">
        <f aca="false">M130+L131</f>
        <v>2194805.21462544</v>
      </c>
      <c r="N131" s="5" t="str">
        <f aca="false">IF(L131&gt;0,"прибыль",IF(L131&lt;0,"убыток","ноль"))</f>
        <v>прибыль</v>
      </c>
      <c r="O131" s="6" t="n">
        <f aca="false">IF(L131&lt;0,O130+1,0)</f>
        <v>0</v>
      </c>
      <c r="P131" s="6" t="n">
        <v>28</v>
      </c>
    </row>
    <row r="132" customFormat="false" ht="15" hidden="false" customHeight="false" outlineLevel="0" collapsed="false">
      <c r="A132" s="6" t="n">
        <v>127</v>
      </c>
      <c r="B132" s="5" t="s">
        <v>76</v>
      </c>
      <c r="C132" s="5" t="s">
        <v>25</v>
      </c>
      <c r="D132" s="11" t="n">
        <v>46213</v>
      </c>
      <c r="E132" s="11" t="n">
        <v>46217</v>
      </c>
      <c r="F132" s="5" t="s">
        <v>75</v>
      </c>
      <c r="G132" s="12" t="n">
        <v>411804.729004533</v>
      </c>
      <c r="H132" s="13" t="n">
        <v>76.55</v>
      </c>
      <c r="I132" s="13" t="n">
        <v>84.72</v>
      </c>
      <c r="K132" s="8" t="n">
        <v>20.2176416486643</v>
      </c>
      <c r="L132" s="8" t="n">
        <v>7431.67838959744</v>
      </c>
      <c r="M132" s="8" t="n">
        <f aca="false">M131+L132</f>
        <v>2202236.89301504</v>
      </c>
      <c r="N132" s="5" t="str">
        <f aca="false">IF(L132&gt;0,"прибыль",IF(L132&lt;0,"убыток","ноль"))</f>
        <v>прибыль</v>
      </c>
      <c r="O132" s="6" t="n">
        <f aca="false">IF(L132&lt;0,O131+1,0)</f>
        <v>0</v>
      </c>
      <c r="P132" s="6" t="n">
        <v>4</v>
      </c>
    </row>
    <row r="133" customFormat="false" ht="15" hidden="false" customHeight="false" outlineLevel="0" collapsed="false">
      <c r="A133" s="6" t="n">
        <v>128</v>
      </c>
      <c r="B133" s="5" t="s">
        <v>76</v>
      </c>
      <c r="C133" s="5" t="s">
        <v>25</v>
      </c>
      <c r="D133" s="11" t="n">
        <v>46226</v>
      </c>
      <c r="E133" s="11" t="n">
        <v>46230</v>
      </c>
      <c r="F133" s="5" t="s">
        <v>73</v>
      </c>
      <c r="G133" s="12" t="n">
        <v>90810.6401129444</v>
      </c>
      <c r="H133" s="13" t="n">
        <v>96.36</v>
      </c>
      <c r="I133" s="13" t="n">
        <v>92.48</v>
      </c>
      <c r="K133" s="8" t="n">
        <v>24.1146536341772</v>
      </c>
      <c r="L133" s="8" t="n">
        <v>-3977.68816371348</v>
      </c>
      <c r="M133" s="8" t="n">
        <f aca="false">M132+L133</f>
        <v>2198259.20485133</v>
      </c>
      <c r="N133" s="5" t="str">
        <f aca="false">IF(L133&gt;0,"прибыль",IF(L133&lt;0,"убыток","ноль"))</f>
        <v>убыток</v>
      </c>
      <c r="O133" s="6" t="n">
        <f aca="false">IF(L133&lt;0,O132+1,0)</f>
        <v>1</v>
      </c>
      <c r="P133" s="6" t="n">
        <v>4</v>
      </c>
    </row>
    <row r="134" customFormat="false" ht="15" hidden="false" customHeight="false" outlineLevel="0" collapsed="false">
      <c r="A134" s="6" t="n">
        <v>129</v>
      </c>
      <c r="B134" s="5" t="s">
        <v>76</v>
      </c>
      <c r="C134" s="5" t="s">
        <v>25</v>
      </c>
      <c r="D134" s="11" t="n">
        <v>46230</v>
      </c>
      <c r="E134" s="11" t="n">
        <v>46245</v>
      </c>
      <c r="F134" s="5" t="s">
        <v>73</v>
      </c>
      <c r="G134" s="12" t="n">
        <v>67856.5243839968</v>
      </c>
      <c r="H134" s="13" t="n">
        <v>92.48</v>
      </c>
      <c r="I134" s="13" t="n">
        <v>87.88</v>
      </c>
      <c r="J134" s="5" t="s">
        <v>74</v>
      </c>
      <c r="K134" s="8" t="n">
        <v>3.2515650378423</v>
      </c>
      <c r="L134" s="8" t="n">
        <v>-2828.47519218864</v>
      </c>
      <c r="M134" s="8" t="n">
        <f aca="false">M133+L134</f>
        <v>2195430.72965914</v>
      </c>
      <c r="N134" s="5" t="str">
        <f aca="false">IF(L134&gt;0,"прибыль",IF(L134&lt;0,"убыток","ноль"))</f>
        <v>убыток</v>
      </c>
      <c r="O134" s="6" t="n">
        <f aca="false">IF(L134&lt;0,O133+1,0)</f>
        <v>2</v>
      </c>
      <c r="P134" s="6" t="n">
        <v>13</v>
      </c>
    </row>
    <row r="135" customFormat="false" ht="15" hidden="false" customHeight="false" outlineLevel="0" collapsed="false">
      <c r="A135" s="6" t="n">
        <v>130</v>
      </c>
      <c r="B135" s="5" t="s">
        <v>76</v>
      </c>
      <c r="C135" s="5" t="s">
        <v>25</v>
      </c>
      <c r="D135" s="11" t="n">
        <v>46245</v>
      </c>
      <c r="E135" s="11" t="n">
        <v>46276</v>
      </c>
      <c r="F135" s="5" t="s">
        <v>73</v>
      </c>
      <c r="G135" s="12" t="n">
        <v>163227.511387216</v>
      </c>
      <c r="H135" s="13" t="n">
        <v>87.88</v>
      </c>
      <c r="I135" s="13" t="n">
        <v>108.66</v>
      </c>
      <c r="J135" s="5" t="s">
        <v>74</v>
      </c>
      <c r="K135" s="8" t="n">
        <v>22.2824294725517</v>
      </c>
      <c r="L135" s="8" t="n">
        <v>25718.8922596572</v>
      </c>
      <c r="M135" s="8" t="n">
        <f aca="false">M134+L135</f>
        <v>2221149.62191879</v>
      </c>
      <c r="N135" s="5" t="str">
        <f aca="false">IF(L135&gt;0,"прибыль",IF(L135&lt;0,"убыток","ноль"))</f>
        <v>прибыль</v>
      </c>
      <c r="O135" s="6" t="n">
        <f aca="false">IF(L135&lt;0,O134+1,0)</f>
        <v>0</v>
      </c>
      <c r="P135" s="6" t="n">
        <v>29</v>
      </c>
    </row>
    <row r="136" customFormat="false" ht="15" hidden="false" customHeight="false" outlineLevel="0" collapsed="false">
      <c r="A136" s="6" t="n">
        <v>131</v>
      </c>
      <c r="B136" s="5" t="s">
        <v>76</v>
      </c>
      <c r="C136" s="5" t="s">
        <v>25</v>
      </c>
      <c r="E136" s="11" t="n">
        <v>46298</v>
      </c>
      <c r="F136" s="5" t="s">
        <v>73</v>
      </c>
      <c r="I136" s="13" t="n">
        <v>102.44</v>
      </c>
      <c r="L136" s="8" t="n">
        <v>35079.389901449</v>
      </c>
      <c r="M136" s="8" t="n">
        <f aca="false">M135+L136</f>
        <v>2256229.01182024</v>
      </c>
      <c r="N136" s="5" t="str">
        <f aca="false">IF(L136&gt;0,"прибыль",IF(L136&lt;0,"убыток","ноль"))</f>
        <v>прибыль</v>
      </c>
      <c r="O136" s="6" t="n">
        <f aca="false">IF(L136&lt;0,O135+1,0)</f>
        <v>0</v>
      </c>
      <c r="Q136" s="5" t="s">
        <v>77</v>
      </c>
    </row>
  </sheetData>
  <autoFilter ref="A5:Q1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5" min="4" style="0" width="17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9" min="8" style="0" width="12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7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60"/>
  </cols>
  <sheetData>
    <row r="1" customFormat="false" ht="15" hidden="false" customHeight="false" outlineLevel="0" collapsed="false">
      <c r="A1" s="10" t="s">
        <v>39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A3" s="2" t="s">
        <v>54</v>
      </c>
    </row>
    <row r="5" customFormat="false" ht="30" hidden="false" customHeight="true" outlineLevel="0" collapsed="false">
      <c r="A5" s="3" t="s">
        <v>55</v>
      </c>
      <c r="B5" s="3" t="s">
        <v>56</v>
      </c>
      <c r="C5" s="3" t="s">
        <v>57</v>
      </c>
      <c r="D5" s="3" t="s">
        <v>58</v>
      </c>
      <c r="E5" s="3" t="s">
        <v>59</v>
      </c>
      <c r="F5" s="3" t="s">
        <v>60</v>
      </c>
      <c r="G5" s="3" t="s">
        <v>61</v>
      </c>
      <c r="H5" s="3" t="s">
        <v>62</v>
      </c>
      <c r="I5" s="3" t="s">
        <v>63</v>
      </c>
      <c r="J5" s="3" t="s">
        <v>64</v>
      </c>
      <c r="K5" s="3" t="s">
        <v>65</v>
      </c>
      <c r="L5" s="3" t="s">
        <v>66</v>
      </c>
      <c r="M5" s="3" t="s">
        <v>67</v>
      </c>
      <c r="N5" s="3" t="s">
        <v>68</v>
      </c>
      <c r="O5" s="3" t="s">
        <v>69</v>
      </c>
      <c r="P5" s="3" t="s">
        <v>70</v>
      </c>
      <c r="Q5" s="3" t="s">
        <v>71</v>
      </c>
    </row>
    <row r="6" customFormat="false" ht="15" hidden="false" customHeight="false" outlineLevel="0" collapsed="false">
      <c r="A6" s="6" t="n">
        <v>1</v>
      </c>
      <c r="B6" s="5" t="s">
        <v>72</v>
      </c>
      <c r="C6" s="5" t="s">
        <v>30</v>
      </c>
      <c r="D6" s="11" t="n">
        <v>43901</v>
      </c>
      <c r="E6" s="11" t="n">
        <v>43909</v>
      </c>
      <c r="F6" s="5" t="s">
        <v>73</v>
      </c>
      <c r="G6" s="12" t="n">
        <v>242285.293498301</v>
      </c>
      <c r="H6" s="13" t="n">
        <v>1.924</v>
      </c>
      <c r="I6" s="13" t="n">
        <v>1.634</v>
      </c>
      <c r="K6" s="8" t="n">
        <v>22.3558668141473</v>
      </c>
      <c r="L6" s="8" t="n">
        <v>-37475.6065804701</v>
      </c>
      <c r="M6" s="8" t="n">
        <f aca="false">L6</f>
        <v>-37475.6065804701</v>
      </c>
      <c r="N6" s="5" t="str">
        <f aca="false">IF(L6&gt;0,"прибыль",IF(L6&lt;0,"убыток","ноль"))</f>
        <v>убыток</v>
      </c>
      <c r="O6" s="6" t="n">
        <f aca="false">IF(L6&lt;0,1,0)</f>
        <v>1</v>
      </c>
      <c r="P6" s="6" t="n">
        <v>6</v>
      </c>
    </row>
    <row r="7" customFormat="false" ht="15" hidden="false" customHeight="false" outlineLevel="0" collapsed="false">
      <c r="A7" s="6" t="n">
        <v>2</v>
      </c>
      <c r="B7" s="5" t="s">
        <v>72</v>
      </c>
      <c r="C7" s="5" t="s">
        <v>30</v>
      </c>
      <c r="D7" s="11" t="n">
        <v>43942</v>
      </c>
      <c r="E7" s="11" t="n">
        <v>43965</v>
      </c>
      <c r="F7" s="5" t="s">
        <v>73</v>
      </c>
      <c r="G7" s="12" t="n">
        <v>188409.496961043</v>
      </c>
      <c r="H7" s="13" t="n">
        <v>1.918</v>
      </c>
      <c r="I7" s="13" t="n">
        <v>1.64</v>
      </c>
      <c r="J7" s="5" t="s">
        <v>74</v>
      </c>
      <c r="K7" s="8" t="n">
        <v>17.0836336969845</v>
      </c>
      <c r="L7" s="8" t="n">
        <v>-35163.4036160947</v>
      </c>
      <c r="M7" s="8" t="n">
        <f aca="false">M6+L7</f>
        <v>-72639.0101965648</v>
      </c>
      <c r="N7" s="5" t="str">
        <f aca="false">IF(L7&gt;0,"прибыль",IF(L7&lt;0,"убыток","ноль"))</f>
        <v>убыток</v>
      </c>
      <c r="O7" s="6" t="n">
        <f aca="false">IF(L7&lt;0,O6+1,0)</f>
        <v>2</v>
      </c>
      <c r="P7" s="6" t="n">
        <v>15</v>
      </c>
    </row>
    <row r="8" customFormat="false" ht="15" hidden="false" customHeight="false" outlineLevel="0" collapsed="false">
      <c r="A8" s="6" t="n">
        <v>3</v>
      </c>
      <c r="B8" s="5" t="s">
        <v>72</v>
      </c>
      <c r="C8" s="5" t="s">
        <v>30</v>
      </c>
      <c r="D8" s="11" t="n">
        <v>43998</v>
      </c>
      <c r="E8" s="11" t="n">
        <v>44012</v>
      </c>
      <c r="F8" s="5" t="s">
        <v>75</v>
      </c>
      <c r="G8" s="12" t="n">
        <v>78125.9823315274</v>
      </c>
      <c r="H8" s="13" t="n">
        <v>1.681</v>
      </c>
      <c r="I8" s="13" t="n">
        <v>1.708</v>
      </c>
      <c r="J8" s="5" t="s">
        <v>74</v>
      </c>
      <c r="K8" s="8" t="n">
        <v>20.5056126666978</v>
      </c>
      <c r="L8" s="8" t="n">
        <v>1840.33303805159</v>
      </c>
      <c r="M8" s="8" t="n">
        <f aca="false">M7+L8</f>
        <v>-70798.6771585132</v>
      </c>
      <c r="N8" s="5" t="str">
        <f aca="false">IF(L8&gt;0,"прибыль",IF(L8&lt;0,"убыток","ноль"))</f>
        <v>прибыль</v>
      </c>
      <c r="O8" s="6" t="n">
        <f aca="false">IF(L8&lt;0,O7+1,0)</f>
        <v>0</v>
      </c>
      <c r="P8" s="6" t="n">
        <v>9</v>
      </c>
    </row>
    <row r="9" customFormat="false" ht="15" hidden="false" customHeight="false" outlineLevel="0" collapsed="false">
      <c r="A9" s="6" t="n">
        <v>4</v>
      </c>
      <c r="B9" s="5" t="s">
        <v>72</v>
      </c>
      <c r="C9" s="5" t="s">
        <v>30</v>
      </c>
      <c r="D9" s="11" t="n">
        <v>44012</v>
      </c>
      <c r="E9" s="11" t="n">
        <v>44019</v>
      </c>
      <c r="F9" s="5" t="s">
        <v>75</v>
      </c>
      <c r="G9" s="12" t="n">
        <v>255721.12732162</v>
      </c>
      <c r="H9" s="13" t="n">
        <v>1.708</v>
      </c>
      <c r="I9" s="13" t="n">
        <v>1.835</v>
      </c>
      <c r="K9" s="8" t="n">
        <v>13.4111952040847</v>
      </c>
      <c r="L9" s="8" t="n">
        <v>-12516.1879552792</v>
      </c>
      <c r="M9" s="8" t="n">
        <f aca="false">M8+L9</f>
        <v>-83314.8651137923</v>
      </c>
      <c r="N9" s="5" t="str">
        <f aca="false">IF(L9&gt;0,"прибыль",IF(L9&lt;0,"убыток","ноль"))</f>
        <v>убыток</v>
      </c>
      <c r="O9" s="6" t="n">
        <f aca="false">IF(L9&lt;0,O8+1,0)</f>
        <v>1</v>
      </c>
      <c r="P9" s="6" t="n">
        <v>4</v>
      </c>
    </row>
    <row r="10" customFormat="false" ht="15" hidden="false" customHeight="false" outlineLevel="0" collapsed="false">
      <c r="A10" s="6" t="n">
        <v>5</v>
      </c>
      <c r="B10" s="5" t="s">
        <v>72</v>
      </c>
      <c r="C10" s="5" t="s">
        <v>30</v>
      </c>
      <c r="D10" s="11" t="n">
        <v>44047</v>
      </c>
      <c r="E10" s="11" t="n">
        <v>44077</v>
      </c>
      <c r="F10" s="5" t="s">
        <v>73</v>
      </c>
      <c r="G10" s="12" t="n">
        <v>291488.942764021</v>
      </c>
      <c r="H10" s="13" t="n">
        <v>2.1</v>
      </c>
      <c r="I10" s="13" t="n">
        <v>2.502</v>
      </c>
      <c r="J10" s="5" t="s">
        <v>74</v>
      </c>
      <c r="K10" s="8" t="n">
        <v>29.6900251061011</v>
      </c>
      <c r="L10" s="8" t="n">
        <v>10792.9265688742</v>
      </c>
      <c r="M10" s="8" t="n">
        <f aca="false">M9+L10</f>
        <v>-72521.9385449182</v>
      </c>
      <c r="N10" s="5" t="str">
        <f aca="false">IF(L10&gt;0,"прибыль",IF(L10&lt;0,"убыток","ноль"))</f>
        <v>прибыль</v>
      </c>
      <c r="O10" s="6" t="n">
        <f aca="false">IF(L10&lt;0,O9+1,0)</f>
        <v>0</v>
      </c>
      <c r="P10" s="6" t="n">
        <v>22</v>
      </c>
    </row>
    <row r="11" customFormat="false" ht="15" hidden="false" customHeight="false" outlineLevel="0" collapsed="false">
      <c r="A11" s="6" t="n">
        <v>6</v>
      </c>
      <c r="B11" s="5" t="s">
        <v>72</v>
      </c>
      <c r="C11" s="5" t="s">
        <v>30</v>
      </c>
      <c r="D11" s="11" t="n">
        <v>44085</v>
      </c>
      <c r="E11" s="11" t="n">
        <v>44098</v>
      </c>
      <c r="F11" s="5" t="s">
        <v>75</v>
      </c>
      <c r="G11" s="12" t="n">
        <v>121397.213213407</v>
      </c>
      <c r="H11" s="13" t="n">
        <v>2.312</v>
      </c>
      <c r="I11" s="13" t="n">
        <v>2.199</v>
      </c>
      <c r="K11" s="8" t="n">
        <v>19.7409964141244</v>
      </c>
      <c r="L11" s="8" t="n">
        <v>5300.11010625224</v>
      </c>
      <c r="M11" s="8" t="n">
        <f aca="false">M10+L11</f>
        <v>-67221.8284386659</v>
      </c>
      <c r="N11" s="5" t="str">
        <f aca="false">IF(L11&gt;0,"прибыль",IF(L11&lt;0,"убыток","ноль"))</f>
        <v>прибыль</v>
      </c>
      <c r="O11" s="6" t="n">
        <f aca="false">IF(L11&lt;0,O10+1,0)</f>
        <v>0</v>
      </c>
      <c r="P11" s="6" t="n">
        <v>9</v>
      </c>
    </row>
    <row r="12" customFormat="false" ht="15" hidden="false" customHeight="false" outlineLevel="0" collapsed="false">
      <c r="A12" s="6" t="n">
        <v>7</v>
      </c>
      <c r="B12" s="5" t="s">
        <v>72</v>
      </c>
      <c r="C12" s="5" t="s">
        <v>30</v>
      </c>
      <c r="D12" s="11" t="n">
        <v>44098</v>
      </c>
      <c r="E12" s="11" t="n">
        <v>44117</v>
      </c>
      <c r="F12" s="5" t="s">
        <v>75</v>
      </c>
      <c r="G12" s="12" t="n">
        <v>157345.35295834</v>
      </c>
      <c r="H12" s="13" t="n">
        <v>2.199</v>
      </c>
      <c r="I12" s="13" t="n">
        <v>2.83</v>
      </c>
      <c r="J12" s="5" t="s">
        <v>74</v>
      </c>
      <c r="K12" s="8" t="n">
        <v>7.47968265410456</v>
      </c>
      <c r="L12" s="8" t="n">
        <v>7744.22019359454</v>
      </c>
      <c r="M12" s="8" t="n">
        <f aca="false">M11+L12</f>
        <v>-59477.6082450714</v>
      </c>
      <c r="N12" s="5" t="str">
        <f aca="false">IF(L12&gt;0,"прибыль",IF(L12&lt;0,"убыток","ноль"))</f>
        <v>прибыль</v>
      </c>
      <c r="O12" s="6" t="n">
        <f aca="false">IF(L12&lt;0,O11+1,0)</f>
        <v>0</v>
      </c>
      <c r="P12" s="6" t="n">
        <v>13</v>
      </c>
    </row>
    <row r="13" customFormat="false" ht="15" hidden="false" customHeight="false" outlineLevel="0" collapsed="false">
      <c r="A13" s="6" t="n">
        <v>8</v>
      </c>
      <c r="B13" s="5" t="s">
        <v>72</v>
      </c>
      <c r="C13" s="5" t="s">
        <v>30</v>
      </c>
      <c r="D13" s="11" t="n">
        <v>44126</v>
      </c>
      <c r="E13" s="11" t="n">
        <v>44140</v>
      </c>
      <c r="F13" s="5" t="s">
        <v>73</v>
      </c>
      <c r="G13" s="12" t="n">
        <v>263156.495268311</v>
      </c>
      <c r="H13" s="13" t="n">
        <v>3.035</v>
      </c>
      <c r="I13" s="13" t="n">
        <v>3.051</v>
      </c>
      <c r="J13" s="5" t="s">
        <v>74</v>
      </c>
      <c r="K13" s="8" t="n">
        <v>25.2564981411554</v>
      </c>
      <c r="L13" s="8" t="n">
        <v>-21208.2842116543</v>
      </c>
      <c r="M13" s="8" t="n">
        <f aca="false">M12+L13</f>
        <v>-80685.8924567257</v>
      </c>
      <c r="N13" s="5" t="str">
        <f aca="false">IF(L13&gt;0,"прибыль",IF(L13&lt;0,"убыток","ноль"))</f>
        <v>убыток</v>
      </c>
      <c r="O13" s="6" t="n">
        <f aca="false">IF(L13&lt;0,O12+1,0)</f>
        <v>1</v>
      </c>
      <c r="P13" s="6" t="n">
        <v>9</v>
      </c>
    </row>
    <row r="14" customFormat="false" ht="15" hidden="false" customHeight="false" outlineLevel="0" collapsed="false">
      <c r="A14" s="6" t="n">
        <v>9</v>
      </c>
      <c r="B14" s="5" t="s">
        <v>72</v>
      </c>
      <c r="C14" s="5" t="s">
        <v>30</v>
      </c>
      <c r="D14" s="11" t="n">
        <v>44152</v>
      </c>
      <c r="E14" s="11" t="n">
        <v>44188</v>
      </c>
      <c r="F14" s="5" t="s">
        <v>75</v>
      </c>
      <c r="G14" s="12" t="n">
        <v>289819.874431069</v>
      </c>
      <c r="H14" s="13" t="n">
        <v>2.69</v>
      </c>
      <c r="I14" s="13" t="n">
        <v>2.769</v>
      </c>
      <c r="J14" s="5" t="s">
        <v>74</v>
      </c>
      <c r="K14" s="8" t="n">
        <v>28.7767839950743</v>
      </c>
      <c r="L14" s="8" t="n">
        <v>4075.29217665683</v>
      </c>
      <c r="M14" s="8" t="n">
        <f aca="false">M13+L14</f>
        <v>-76610.6002800689</v>
      </c>
      <c r="N14" s="5" t="str">
        <f aca="false">IF(L14&gt;0,"прибыль",IF(L14&lt;0,"убыток","ноль"))</f>
        <v>прибыль</v>
      </c>
      <c r="O14" s="6" t="n">
        <f aca="false">IF(L14&lt;0,O13+1,0)</f>
        <v>0</v>
      </c>
      <c r="P14" s="6" t="n">
        <v>26</v>
      </c>
    </row>
    <row r="15" customFormat="false" ht="15" hidden="false" customHeight="false" outlineLevel="0" collapsed="false">
      <c r="A15" s="6" t="n">
        <v>10</v>
      </c>
      <c r="B15" s="5" t="s">
        <v>72</v>
      </c>
      <c r="C15" s="5" t="s">
        <v>30</v>
      </c>
      <c r="D15" s="11" t="n">
        <v>44244</v>
      </c>
      <c r="E15" s="11" t="n">
        <v>44265</v>
      </c>
      <c r="F15" s="5" t="s">
        <v>73</v>
      </c>
      <c r="G15" s="12" t="n">
        <v>324967.227732241</v>
      </c>
      <c r="H15" s="13" t="n">
        <v>3.116</v>
      </c>
      <c r="I15" s="13" t="n">
        <v>2.655</v>
      </c>
      <c r="J15" s="5" t="s">
        <v>74</v>
      </c>
      <c r="K15" s="8" t="n">
        <v>45.88852603746</v>
      </c>
      <c r="L15" s="8" t="n">
        <v>-34690.4459308887</v>
      </c>
      <c r="M15" s="8" t="n">
        <f aca="false">M14+L15</f>
        <v>-111301.046210958</v>
      </c>
      <c r="N15" s="5" t="str">
        <f aca="false">IF(L15&gt;0,"прибыль",IF(L15&lt;0,"убыток","ноль"))</f>
        <v>убыток</v>
      </c>
      <c r="O15" s="6" t="n">
        <f aca="false">IF(L15&lt;0,O14+1,0)</f>
        <v>1</v>
      </c>
      <c r="P15" s="6" t="n">
        <v>14</v>
      </c>
    </row>
    <row r="16" customFormat="false" ht="15" hidden="false" customHeight="false" outlineLevel="0" collapsed="false">
      <c r="A16" s="6" t="n">
        <v>11</v>
      </c>
      <c r="B16" s="5" t="s">
        <v>72</v>
      </c>
      <c r="C16" s="5" t="s">
        <v>30</v>
      </c>
      <c r="D16" s="11" t="n">
        <v>44265</v>
      </c>
      <c r="E16" s="11" t="n">
        <v>44306</v>
      </c>
      <c r="F16" s="5" t="s">
        <v>75</v>
      </c>
      <c r="G16" s="12" t="n">
        <v>450771.233917792</v>
      </c>
      <c r="H16" s="13" t="n">
        <v>2.655</v>
      </c>
      <c r="I16" s="13" t="n">
        <v>2.74</v>
      </c>
      <c r="J16" s="5" t="s">
        <v>74</v>
      </c>
      <c r="K16" s="8" t="n">
        <v>56.0453611509814</v>
      </c>
      <c r="L16" s="8" t="n">
        <v>-8482.85358977267</v>
      </c>
      <c r="M16" s="8" t="n">
        <f aca="false">M15+L16</f>
        <v>-119783.89980073</v>
      </c>
      <c r="N16" s="5" t="str">
        <f aca="false">IF(L16&gt;0,"прибыль",IF(L16&lt;0,"убыток","ноль"))</f>
        <v>убыток</v>
      </c>
      <c r="O16" s="6" t="n">
        <f aca="false">IF(L16&lt;0,O15+1,0)</f>
        <v>2</v>
      </c>
      <c r="P16" s="6" t="n">
        <v>29</v>
      </c>
    </row>
    <row r="17" customFormat="false" ht="15" hidden="false" customHeight="false" outlineLevel="0" collapsed="false">
      <c r="A17" s="6" t="n">
        <v>12</v>
      </c>
      <c r="B17" s="5" t="s">
        <v>72</v>
      </c>
      <c r="C17" s="5" t="s">
        <v>30</v>
      </c>
      <c r="D17" s="11" t="n">
        <v>44306</v>
      </c>
      <c r="E17" s="11" t="n">
        <v>44307</v>
      </c>
      <c r="F17" s="5" t="s">
        <v>73</v>
      </c>
      <c r="G17" s="12" t="n">
        <v>7.84599389761937E-011</v>
      </c>
      <c r="H17" s="13" t="n">
        <v>2.74</v>
      </c>
      <c r="I17" s="13" t="n">
        <v>2.722</v>
      </c>
      <c r="K17" s="8" t="n">
        <v>3.88810568545771E-015</v>
      </c>
      <c r="L17" s="8" t="n">
        <v>-7.01713372725066E-013</v>
      </c>
      <c r="M17" s="8" t="n">
        <f aca="false">M16+L17</f>
        <v>-119783.89980073</v>
      </c>
      <c r="N17" s="5" t="str">
        <f aca="false">IF(L17&gt;0,"прибыль",IF(L17&lt;0,"убыток","ноль"))</f>
        <v>убыток</v>
      </c>
      <c r="O17" s="6" t="n">
        <f aca="false">IF(L17&lt;0,O16+1,0)</f>
        <v>3</v>
      </c>
      <c r="P17" s="6" t="n">
        <v>1</v>
      </c>
    </row>
    <row r="18" customFormat="false" ht="15" hidden="false" customHeight="false" outlineLevel="0" collapsed="false">
      <c r="A18" s="6" t="n">
        <v>13</v>
      </c>
      <c r="B18" s="5" t="s">
        <v>72</v>
      </c>
      <c r="C18" s="5" t="s">
        <v>30</v>
      </c>
      <c r="D18" s="11" t="n">
        <v>44307</v>
      </c>
      <c r="E18" s="11" t="n">
        <v>44334</v>
      </c>
      <c r="F18" s="5" t="s">
        <v>73</v>
      </c>
      <c r="G18" s="12" t="n">
        <v>142120.524530794</v>
      </c>
      <c r="H18" s="13" t="n">
        <v>2.722</v>
      </c>
      <c r="I18" s="13" t="n">
        <v>3.12</v>
      </c>
      <c r="J18" s="5" t="s">
        <v>74</v>
      </c>
      <c r="K18" s="8" t="n">
        <v>13.5815635996762</v>
      </c>
      <c r="L18" s="8" t="n">
        <v>13810.957613836</v>
      </c>
      <c r="M18" s="8" t="n">
        <f aca="false">M17+L18</f>
        <v>-105972.942186894</v>
      </c>
      <c r="N18" s="5" t="str">
        <f aca="false">IF(L18&gt;0,"прибыль",IF(L18&lt;0,"убыток","ноль"))</f>
        <v>прибыль</v>
      </c>
      <c r="O18" s="6" t="n">
        <f aca="false">IF(L18&lt;0,O17+1,0)</f>
        <v>0</v>
      </c>
      <c r="P18" s="6" t="n">
        <v>18</v>
      </c>
    </row>
    <row r="19" customFormat="false" ht="15" hidden="false" customHeight="false" outlineLevel="0" collapsed="false">
      <c r="A19" s="6" t="n">
        <v>14</v>
      </c>
      <c r="B19" s="5" t="s">
        <v>72</v>
      </c>
      <c r="C19" s="5" t="s">
        <v>30</v>
      </c>
      <c r="D19" s="11" t="n">
        <v>44334</v>
      </c>
      <c r="E19" s="11" t="n">
        <v>44384</v>
      </c>
      <c r="F19" s="5" t="s">
        <v>73</v>
      </c>
      <c r="G19" s="12" t="n">
        <v>112927.878359566</v>
      </c>
      <c r="H19" s="13" t="n">
        <v>3.12</v>
      </c>
      <c r="I19" s="13" t="n">
        <v>3.679</v>
      </c>
      <c r="J19" s="5" t="s">
        <v>74</v>
      </c>
      <c r="K19" s="8" t="n">
        <v>6.89278572524914</v>
      </c>
      <c r="L19" s="8" t="n">
        <v>24920.9433596912</v>
      </c>
      <c r="M19" s="8" t="n">
        <f aca="false">M18+L19</f>
        <v>-81051.9988272031</v>
      </c>
      <c r="N19" s="5" t="str">
        <f aca="false">IF(L19&gt;0,"прибыль",IF(L19&lt;0,"убыток","ноль"))</f>
        <v>прибыль</v>
      </c>
      <c r="O19" s="6" t="n">
        <f aca="false">IF(L19&lt;0,O18+1,0)</f>
        <v>0</v>
      </c>
      <c r="P19" s="6" t="n">
        <v>36</v>
      </c>
    </row>
    <row r="20" customFormat="false" ht="15" hidden="false" customHeight="false" outlineLevel="0" collapsed="false">
      <c r="A20" s="6" t="n">
        <v>15</v>
      </c>
      <c r="B20" s="5" t="s">
        <v>72</v>
      </c>
      <c r="C20" s="5" t="s">
        <v>30</v>
      </c>
      <c r="D20" s="11" t="n">
        <v>44384</v>
      </c>
      <c r="E20" s="11" t="n">
        <v>44424</v>
      </c>
      <c r="F20" s="5" t="s">
        <v>73</v>
      </c>
      <c r="G20" s="12" t="n">
        <v>374056.375039924</v>
      </c>
      <c r="H20" s="13" t="n">
        <v>3.679</v>
      </c>
      <c r="I20" s="13" t="n">
        <v>3.855</v>
      </c>
      <c r="J20" s="5" t="s">
        <v>74</v>
      </c>
      <c r="K20" s="8" t="n">
        <v>24.121317698469</v>
      </c>
      <c r="L20" s="8" t="n">
        <v>108345.857611758</v>
      </c>
      <c r="M20" s="8" t="n">
        <f aca="false">M19+L20</f>
        <v>27293.8587845547</v>
      </c>
      <c r="N20" s="5" t="str">
        <f aca="false">IF(L20&gt;0,"прибыль",IF(L20&lt;0,"убыток","ноль"))</f>
        <v>прибыль</v>
      </c>
      <c r="O20" s="6" t="n">
        <f aca="false">IF(L20&lt;0,O19+1,0)</f>
        <v>0</v>
      </c>
      <c r="P20" s="6" t="n">
        <v>28</v>
      </c>
    </row>
    <row r="21" customFormat="false" ht="15" hidden="false" customHeight="false" outlineLevel="0" collapsed="false">
      <c r="A21" s="6" t="n">
        <v>16</v>
      </c>
      <c r="B21" s="5" t="s">
        <v>72</v>
      </c>
      <c r="C21" s="5" t="s">
        <v>30</v>
      </c>
      <c r="D21" s="11" t="n">
        <v>44441</v>
      </c>
      <c r="E21" s="11" t="n">
        <v>44459</v>
      </c>
      <c r="F21" s="5" t="s">
        <v>73</v>
      </c>
      <c r="G21" s="12" t="n">
        <v>77535.0424574897</v>
      </c>
      <c r="H21" s="13" t="n">
        <v>4.628</v>
      </c>
      <c r="I21" s="13" t="n">
        <v>5.055</v>
      </c>
      <c r="K21" s="8" t="n">
        <v>22.1243099964421</v>
      </c>
      <c r="L21" s="8" t="n">
        <v>6845.99755199991</v>
      </c>
      <c r="M21" s="8" t="n">
        <f aca="false">M20+L21</f>
        <v>34139.8563365546</v>
      </c>
      <c r="N21" s="5" t="str">
        <f aca="false">IF(L21&gt;0,"прибыль",IF(L21&lt;0,"убыток","ноль"))</f>
        <v>прибыль</v>
      </c>
      <c r="O21" s="6" t="n">
        <f aca="false">IF(L21&lt;0,O20+1,0)</f>
        <v>0</v>
      </c>
      <c r="P21" s="6" t="n">
        <v>12</v>
      </c>
    </row>
    <row r="22" customFormat="false" ht="15" hidden="false" customHeight="false" outlineLevel="0" collapsed="false">
      <c r="A22" s="6" t="n">
        <v>17</v>
      </c>
      <c r="B22" s="5" t="s">
        <v>72</v>
      </c>
      <c r="C22" s="5" t="s">
        <v>30</v>
      </c>
      <c r="D22" s="11" t="n">
        <v>44459</v>
      </c>
      <c r="E22" s="11" t="n">
        <v>44467</v>
      </c>
      <c r="F22" s="5" t="s">
        <v>73</v>
      </c>
      <c r="G22" s="12" t="n">
        <v>77470.7326456873</v>
      </c>
      <c r="H22" s="13" t="n">
        <v>5.055</v>
      </c>
      <c r="I22" s="13" t="n">
        <v>5.707</v>
      </c>
      <c r="K22" s="8" t="n">
        <v>4.75890974239172</v>
      </c>
      <c r="L22" s="8" t="n">
        <v>17702.7032924047</v>
      </c>
      <c r="M22" s="8" t="n">
        <f aca="false">M21+L22</f>
        <v>51842.5596289593</v>
      </c>
      <c r="N22" s="5" t="str">
        <f aca="false">IF(L22&gt;0,"прибыль",IF(L22&lt;0,"убыток","ноль"))</f>
        <v>прибыль</v>
      </c>
      <c r="O22" s="6" t="n">
        <f aca="false">IF(L22&lt;0,O21+1,0)</f>
        <v>0</v>
      </c>
      <c r="P22" s="6" t="n">
        <v>6</v>
      </c>
    </row>
    <row r="23" customFormat="false" ht="15" hidden="false" customHeight="false" outlineLevel="0" collapsed="false">
      <c r="A23" s="6" t="n">
        <v>18</v>
      </c>
      <c r="B23" s="5" t="s">
        <v>72</v>
      </c>
      <c r="C23" s="5" t="s">
        <v>30</v>
      </c>
      <c r="D23" s="11" t="n">
        <v>44467</v>
      </c>
      <c r="E23" s="11" t="n">
        <v>44474</v>
      </c>
      <c r="F23" s="5" t="s">
        <v>73</v>
      </c>
      <c r="G23" s="12" t="n">
        <v>45035.2181581288</v>
      </c>
      <c r="H23" s="13" t="n">
        <v>5.707</v>
      </c>
      <c r="I23" s="13" t="n">
        <v>5.82</v>
      </c>
      <c r="J23" s="5" t="s">
        <v>74</v>
      </c>
      <c r="K23" s="8" t="n">
        <v>2.76832650409442</v>
      </c>
      <c r="L23" s="8" t="n">
        <v>10328.5435972555</v>
      </c>
      <c r="M23" s="8" t="n">
        <f aca="false">M22+L23</f>
        <v>62171.1032262148</v>
      </c>
      <c r="N23" s="5" t="str">
        <f aca="false">IF(L23&gt;0,"прибыль",IF(L23&lt;0,"убыток","ноль"))</f>
        <v>прибыль</v>
      </c>
      <c r="O23" s="6" t="n">
        <f aca="false">IF(L23&lt;0,O22+1,0)</f>
        <v>0</v>
      </c>
      <c r="P23" s="6" t="n">
        <v>5</v>
      </c>
    </row>
    <row r="24" customFormat="false" ht="15" hidden="false" customHeight="false" outlineLevel="0" collapsed="false">
      <c r="A24" s="6" t="n">
        <v>19</v>
      </c>
      <c r="B24" s="5" t="s">
        <v>72</v>
      </c>
      <c r="C24" s="5" t="s">
        <v>30</v>
      </c>
      <c r="D24" s="11" t="n">
        <v>44474</v>
      </c>
      <c r="E24" s="11" t="n">
        <v>44488</v>
      </c>
      <c r="F24" s="5" t="s">
        <v>73</v>
      </c>
      <c r="G24" s="12" t="n">
        <v>158042.04234805</v>
      </c>
      <c r="H24" s="13" t="n">
        <v>5.82</v>
      </c>
      <c r="I24" s="13" t="n">
        <v>4.971</v>
      </c>
      <c r="K24" s="8" t="n">
        <v>8.29382385087203</v>
      </c>
      <c r="L24" s="8" t="n">
        <v>7826.14084554014</v>
      </c>
      <c r="M24" s="8" t="n">
        <f aca="false">M23+L24</f>
        <v>69997.244071755</v>
      </c>
      <c r="N24" s="5" t="str">
        <f aca="false">IF(L24&gt;0,"прибыль",IF(L24&lt;0,"убыток","ноль"))</f>
        <v>прибыль</v>
      </c>
      <c r="O24" s="6" t="n">
        <f aca="false">IF(L24&lt;0,O23+1,0)</f>
        <v>0</v>
      </c>
      <c r="P24" s="6" t="n">
        <v>10</v>
      </c>
    </row>
    <row r="25" customFormat="false" ht="15" hidden="false" customHeight="false" outlineLevel="0" collapsed="false">
      <c r="A25" s="6" t="n">
        <v>20</v>
      </c>
      <c r="B25" s="5" t="s">
        <v>72</v>
      </c>
      <c r="C25" s="5" t="s">
        <v>30</v>
      </c>
      <c r="D25" s="11" t="n">
        <v>44510</v>
      </c>
      <c r="E25" s="11" t="n">
        <v>44572</v>
      </c>
      <c r="F25" s="5" t="s">
        <v>75</v>
      </c>
      <c r="G25" s="12" t="n">
        <v>273139.561929302</v>
      </c>
      <c r="H25" s="13" t="n">
        <v>4.965</v>
      </c>
      <c r="I25" s="13" t="n">
        <v>4.142</v>
      </c>
      <c r="J25" s="5" t="s">
        <v>74</v>
      </c>
      <c r="K25" s="8" t="n">
        <v>37.8163564331625</v>
      </c>
      <c r="L25" s="8" t="n">
        <v>23878.2164163131</v>
      </c>
      <c r="M25" s="8" t="n">
        <f aca="false">M24+L25</f>
        <v>93875.4604880681</v>
      </c>
      <c r="N25" s="5" t="str">
        <f aca="false">IF(L25&gt;0,"прибыль",IF(L25&lt;0,"убыток","ноль"))</f>
        <v>прибыль</v>
      </c>
      <c r="O25" s="6" t="n">
        <f aca="false">IF(L25&lt;0,O24+1,0)</f>
        <v>0</v>
      </c>
      <c r="P25" s="6" t="n">
        <v>43</v>
      </c>
    </row>
    <row r="26" customFormat="false" ht="15" hidden="false" customHeight="false" outlineLevel="0" collapsed="false">
      <c r="A26" s="6" t="n">
        <v>21</v>
      </c>
      <c r="B26" s="5" t="s">
        <v>72</v>
      </c>
      <c r="C26" s="5" t="s">
        <v>30</v>
      </c>
      <c r="D26" s="11" t="n">
        <v>44572</v>
      </c>
      <c r="E26" s="11" t="n">
        <v>44573</v>
      </c>
      <c r="F26" s="5" t="s">
        <v>73</v>
      </c>
      <c r="G26" s="12" t="n">
        <v>4.8584787423184E-011</v>
      </c>
      <c r="H26" s="13" t="n">
        <v>4.142</v>
      </c>
      <c r="I26" s="13" t="n">
        <v>4.232</v>
      </c>
      <c r="K26" s="8" t="n">
        <v>2.47081882435546E-015</v>
      </c>
      <c r="L26" s="8" t="n">
        <v>8.29118245100788E-013</v>
      </c>
      <c r="M26" s="8" t="n">
        <f aca="false">M25+L26</f>
        <v>93875.4604880681</v>
      </c>
      <c r="N26" s="5" t="str">
        <f aca="false">IF(L26&gt;0,"прибыль",IF(L26&lt;0,"убыток","ноль"))</f>
        <v>прибыль</v>
      </c>
      <c r="O26" s="6" t="n">
        <f aca="false">IF(L26&lt;0,O25+1,0)</f>
        <v>0</v>
      </c>
      <c r="P26" s="6" t="n">
        <v>1</v>
      </c>
    </row>
    <row r="27" customFormat="false" ht="15" hidden="false" customHeight="false" outlineLevel="0" collapsed="false">
      <c r="A27" s="6" t="n">
        <v>22</v>
      </c>
      <c r="B27" s="5" t="s">
        <v>72</v>
      </c>
      <c r="C27" s="5" t="s">
        <v>30</v>
      </c>
      <c r="D27" s="11" t="n">
        <v>44573</v>
      </c>
      <c r="E27" s="11" t="n">
        <v>44574</v>
      </c>
      <c r="F27" s="5" t="s">
        <v>73</v>
      </c>
      <c r="G27" s="12" t="n">
        <v>67624.6501883387</v>
      </c>
      <c r="H27" s="13" t="n">
        <v>4.232</v>
      </c>
      <c r="I27" s="13" t="n">
        <v>4.817</v>
      </c>
      <c r="K27" s="8" t="n">
        <v>3.91285033043017</v>
      </c>
      <c r="L27" s="8" t="n">
        <v>10628.4435699343</v>
      </c>
      <c r="M27" s="8" t="n">
        <f aca="false">M26+L27</f>
        <v>104503.904058002</v>
      </c>
      <c r="N27" s="5" t="str">
        <f aca="false">IF(L27&gt;0,"прибыль",IF(L27&lt;0,"убыток","ноль"))</f>
        <v>прибыль</v>
      </c>
      <c r="O27" s="6" t="n">
        <f aca="false">IF(L27&lt;0,O26+1,0)</f>
        <v>0</v>
      </c>
      <c r="P27" s="6" t="n">
        <v>1</v>
      </c>
    </row>
    <row r="28" customFormat="false" ht="15" hidden="false" customHeight="false" outlineLevel="0" collapsed="false">
      <c r="A28" s="6" t="n">
        <v>23</v>
      </c>
      <c r="B28" s="5" t="s">
        <v>72</v>
      </c>
      <c r="C28" s="5" t="s">
        <v>30</v>
      </c>
      <c r="D28" s="11" t="n">
        <v>44574</v>
      </c>
      <c r="E28" s="11" t="n">
        <v>44595</v>
      </c>
      <c r="F28" s="5" t="s">
        <v>73</v>
      </c>
      <c r="G28" s="12" t="n">
        <v>38616.3451297497</v>
      </c>
      <c r="H28" s="13" t="n">
        <v>4.817</v>
      </c>
      <c r="I28" s="13" t="n">
        <v>5.433</v>
      </c>
      <c r="J28" s="5" t="s">
        <v>74</v>
      </c>
      <c r="K28" s="8" t="n">
        <v>2.47225452611989</v>
      </c>
      <c r="L28" s="8" t="n">
        <v>10826.273138122</v>
      </c>
      <c r="M28" s="8" t="n">
        <f aca="false">M27+L28</f>
        <v>115330.177196124</v>
      </c>
      <c r="N28" s="5" t="str">
        <f aca="false">IF(L28&gt;0,"прибыль",IF(L28&lt;0,"убыток","ноль"))</f>
        <v>прибыль</v>
      </c>
      <c r="O28" s="6" t="n">
        <f aca="false">IF(L28&lt;0,O27+1,0)</f>
        <v>0</v>
      </c>
      <c r="P28" s="6" t="n">
        <v>15</v>
      </c>
    </row>
    <row r="29" customFormat="false" ht="15" hidden="false" customHeight="false" outlineLevel="0" collapsed="false">
      <c r="A29" s="6" t="n">
        <v>24</v>
      </c>
      <c r="B29" s="5" t="s">
        <v>72</v>
      </c>
      <c r="C29" s="5" t="s">
        <v>30</v>
      </c>
      <c r="D29" s="11" t="n">
        <v>44595</v>
      </c>
      <c r="E29" s="11" t="n">
        <v>44602</v>
      </c>
      <c r="F29" s="5" t="s">
        <v>73</v>
      </c>
      <c r="G29" s="12" t="n">
        <v>127723.042259303</v>
      </c>
      <c r="H29" s="13" t="n">
        <v>5.433</v>
      </c>
      <c r="I29" s="13" t="n">
        <v>4.001</v>
      </c>
      <c r="K29" s="8" t="n">
        <v>6.02101480164979</v>
      </c>
      <c r="L29" s="8" t="n">
        <v>-7308.76724110863</v>
      </c>
      <c r="M29" s="8" t="n">
        <f aca="false">M28+L29</f>
        <v>108021.409955016</v>
      </c>
      <c r="N29" s="5" t="str">
        <f aca="false">IF(L29&gt;0,"прибыль",IF(L29&lt;0,"убыток","ноль"))</f>
        <v>убыток</v>
      </c>
      <c r="O29" s="6" t="n">
        <f aca="false">IF(L29&lt;0,O28+1,0)</f>
        <v>1</v>
      </c>
      <c r="P29" s="6" t="n">
        <v>5</v>
      </c>
    </row>
    <row r="30" customFormat="false" ht="15" hidden="false" customHeight="false" outlineLevel="0" collapsed="false">
      <c r="A30" s="6" t="n">
        <v>25</v>
      </c>
      <c r="B30" s="5" t="s">
        <v>72</v>
      </c>
      <c r="C30" s="5" t="s">
        <v>30</v>
      </c>
      <c r="D30" s="11" t="n">
        <v>44648</v>
      </c>
      <c r="E30" s="11" t="n">
        <v>44670</v>
      </c>
      <c r="F30" s="5" t="s">
        <v>73</v>
      </c>
      <c r="G30" s="12" t="n">
        <v>87231.1635606576</v>
      </c>
      <c r="H30" s="13" t="n">
        <v>5.34</v>
      </c>
      <c r="I30" s="13" t="n">
        <v>7.2</v>
      </c>
      <c r="J30" s="5" t="s">
        <v>74</v>
      </c>
      <c r="K30" s="8" t="n">
        <v>24.5097714005863</v>
      </c>
      <c r="L30" s="8" t="n">
        <v>33798.4473165976</v>
      </c>
      <c r="M30" s="8" t="n">
        <f aca="false">M29+L30</f>
        <v>141819.857271613</v>
      </c>
      <c r="N30" s="5" t="str">
        <f aca="false">IF(L30&gt;0,"прибыль",IF(L30&lt;0,"убыток","ноль"))</f>
        <v>прибыль</v>
      </c>
      <c r="O30" s="6" t="n">
        <f aca="false">IF(L30&lt;0,O29+1,0)</f>
        <v>0</v>
      </c>
      <c r="P30" s="6" t="n">
        <v>16</v>
      </c>
    </row>
    <row r="31" customFormat="false" ht="15" hidden="false" customHeight="false" outlineLevel="0" collapsed="false">
      <c r="A31" s="6" t="n">
        <v>26</v>
      </c>
      <c r="B31" s="5" t="s">
        <v>72</v>
      </c>
      <c r="C31" s="5" t="s">
        <v>30</v>
      </c>
      <c r="D31" s="11" t="n">
        <v>44670</v>
      </c>
      <c r="E31" s="11" t="n">
        <v>44678</v>
      </c>
      <c r="F31" s="5" t="s">
        <v>73</v>
      </c>
      <c r="G31" s="12" t="n">
        <v>75040.7155937445</v>
      </c>
      <c r="H31" s="13" t="n">
        <v>7.2</v>
      </c>
      <c r="I31" s="13" t="n">
        <v>6.849</v>
      </c>
      <c r="K31" s="8" t="n">
        <v>4.95056523731711</v>
      </c>
      <c r="L31" s="8" t="n">
        <v>23965.6385873603</v>
      </c>
      <c r="M31" s="8" t="n">
        <f aca="false">M30+L31</f>
        <v>165785.495858974</v>
      </c>
      <c r="N31" s="5" t="str">
        <f aca="false">IF(L31&gt;0,"прибыль",IF(L31&lt;0,"убыток","ноль"))</f>
        <v>прибыль</v>
      </c>
      <c r="O31" s="6" t="n">
        <f aca="false">IF(L31&lt;0,O30+1,0)</f>
        <v>0</v>
      </c>
      <c r="P31" s="6" t="n">
        <v>6</v>
      </c>
    </row>
    <row r="32" customFormat="false" ht="15" hidden="false" customHeight="false" outlineLevel="0" collapsed="false">
      <c r="A32" s="6" t="n">
        <v>27</v>
      </c>
      <c r="B32" s="5" t="s">
        <v>72</v>
      </c>
      <c r="C32" s="5" t="s">
        <v>30</v>
      </c>
      <c r="D32" s="11" t="n">
        <v>44678</v>
      </c>
      <c r="E32" s="11" t="n">
        <v>44686</v>
      </c>
      <c r="F32" s="5" t="s">
        <v>73</v>
      </c>
      <c r="G32" s="12" t="n">
        <v>54743.1856869414</v>
      </c>
      <c r="H32" s="13" t="n">
        <v>6.849</v>
      </c>
      <c r="I32" s="13" t="n">
        <v>7.65</v>
      </c>
      <c r="J32" s="5" t="s">
        <v>74</v>
      </c>
      <c r="K32" s="8" t="n">
        <v>3.88994268479363</v>
      </c>
      <c r="L32" s="8" t="n">
        <v>23051.7780662465</v>
      </c>
      <c r="M32" s="8" t="n">
        <f aca="false">M31+L32</f>
        <v>188837.27392522</v>
      </c>
      <c r="N32" s="5" t="str">
        <f aca="false">IF(L32&gt;0,"прибыль",IF(L32&lt;0,"убыток","ноль"))</f>
        <v>прибыль</v>
      </c>
      <c r="O32" s="6" t="n">
        <f aca="false">IF(L32&lt;0,O31+1,0)</f>
        <v>0</v>
      </c>
      <c r="P32" s="6" t="n">
        <v>4</v>
      </c>
    </row>
    <row r="33" customFormat="false" ht="15" hidden="false" customHeight="false" outlineLevel="0" collapsed="false">
      <c r="A33" s="6" t="n">
        <v>28</v>
      </c>
      <c r="B33" s="5" t="s">
        <v>72</v>
      </c>
      <c r="C33" s="5" t="s">
        <v>30</v>
      </c>
      <c r="D33" s="11" t="n">
        <v>44686</v>
      </c>
      <c r="E33" s="11" t="n">
        <v>44727</v>
      </c>
      <c r="F33" s="5" t="s">
        <v>73</v>
      </c>
      <c r="G33" s="12" t="n">
        <v>236963.310003738</v>
      </c>
      <c r="H33" s="13" t="n">
        <v>7.65</v>
      </c>
      <c r="I33" s="13" t="n">
        <v>7.513</v>
      </c>
      <c r="J33" s="5" t="s">
        <v>74</v>
      </c>
      <c r="K33" s="8" t="n">
        <v>18.6473263692118</v>
      </c>
      <c r="L33" s="8" t="n">
        <v>51127.5025721165</v>
      </c>
      <c r="M33" s="8" t="n">
        <f aca="false">M32+L33</f>
        <v>239964.776497337</v>
      </c>
      <c r="N33" s="5" t="str">
        <f aca="false">IF(L33&gt;0,"прибыль",IF(L33&lt;0,"убыток","ноль"))</f>
        <v>прибыль</v>
      </c>
      <c r="O33" s="6" t="n">
        <f aca="false">IF(L33&lt;0,O32+1,0)</f>
        <v>0</v>
      </c>
      <c r="P33" s="6" t="n">
        <v>26</v>
      </c>
    </row>
    <row r="34" customFormat="false" ht="15" hidden="false" customHeight="false" outlineLevel="0" collapsed="false">
      <c r="A34" s="6" t="n">
        <v>29</v>
      </c>
      <c r="B34" s="5" t="s">
        <v>72</v>
      </c>
      <c r="C34" s="5" t="s">
        <v>30</v>
      </c>
      <c r="D34" s="11" t="n">
        <v>44733</v>
      </c>
      <c r="E34" s="11" t="n">
        <v>44757</v>
      </c>
      <c r="F34" s="5" t="s">
        <v>75</v>
      </c>
      <c r="G34" s="12" t="n">
        <v>252774.199133715</v>
      </c>
      <c r="H34" s="13" t="n">
        <v>6.928</v>
      </c>
      <c r="I34" s="13" t="n">
        <v>6.709</v>
      </c>
      <c r="J34" s="5" t="s">
        <v>74</v>
      </c>
      <c r="K34" s="8" t="n">
        <v>24.5545803692054</v>
      </c>
      <c r="L34" s="8" t="n">
        <v>14432.2363029542</v>
      </c>
      <c r="M34" s="8" t="n">
        <f aca="false">M33+L34</f>
        <v>254397.012800291</v>
      </c>
      <c r="N34" s="5" t="str">
        <f aca="false">IF(L34&gt;0,"прибыль",IF(L34&lt;0,"убыток","ноль"))</f>
        <v>прибыль</v>
      </c>
      <c r="O34" s="6" t="n">
        <f aca="false">IF(L34&lt;0,O33+1,0)</f>
        <v>0</v>
      </c>
      <c r="P34" s="6" t="n">
        <v>18</v>
      </c>
    </row>
    <row r="35" customFormat="false" ht="15" hidden="false" customHeight="false" outlineLevel="0" collapsed="false">
      <c r="A35" s="6" t="n">
        <v>30</v>
      </c>
      <c r="B35" s="5" t="s">
        <v>72</v>
      </c>
      <c r="C35" s="5" t="s">
        <v>30</v>
      </c>
      <c r="D35" s="11" t="n">
        <v>44763</v>
      </c>
      <c r="E35" s="11" t="n">
        <v>44811</v>
      </c>
      <c r="F35" s="5" t="s">
        <v>73</v>
      </c>
      <c r="G35" s="12" t="n">
        <v>247614.929976773</v>
      </c>
      <c r="H35" s="13" t="n">
        <v>7.75</v>
      </c>
      <c r="I35" s="13" t="n">
        <v>8.27</v>
      </c>
      <c r="J35" s="5" t="s">
        <v>74</v>
      </c>
      <c r="K35" s="8" t="n">
        <v>25.6625377907095</v>
      </c>
      <c r="L35" s="8" t="n">
        <v>17995.233322852</v>
      </c>
      <c r="M35" s="8" t="n">
        <f aca="false">M34+L35</f>
        <v>272392.246123143</v>
      </c>
      <c r="N35" s="5" t="str">
        <f aca="false">IF(L35&gt;0,"прибыль",IF(L35&lt;0,"убыток","ноль"))</f>
        <v>прибыль</v>
      </c>
      <c r="O35" s="6" t="n">
        <f aca="false">IF(L35&lt;0,O34+1,0)</f>
        <v>0</v>
      </c>
      <c r="P35" s="6" t="n">
        <v>34</v>
      </c>
    </row>
    <row r="36" customFormat="false" ht="15" hidden="false" customHeight="false" outlineLevel="0" collapsed="false">
      <c r="A36" s="6" t="n">
        <v>31</v>
      </c>
      <c r="B36" s="5" t="s">
        <v>72</v>
      </c>
      <c r="C36" s="5" t="s">
        <v>30</v>
      </c>
      <c r="D36" s="11" t="n">
        <v>44823</v>
      </c>
      <c r="E36" s="11" t="n">
        <v>44860</v>
      </c>
      <c r="F36" s="5" t="s">
        <v>75</v>
      </c>
      <c r="G36" s="12" t="n">
        <v>148399.857433703</v>
      </c>
      <c r="H36" s="13" t="n">
        <v>7.89</v>
      </c>
      <c r="I36" s="13" t="n">
        <v>5.709</v>
      </c>
      <c r="J36" s="5" t="s">
        <v>74</v>
      </c>
      <c r="K36" s="8" t="n">
        <v>28.4031944082529</v>
      </c>
      <c r="L36" s="8" t="n">
        <v>31760.1659014627</v>
      </c>
      <c r="M36" s="8" t="n">
        <f aca="false">M35+L36</f>
        <v>304152.412024605</v>
      </c>
      <c r="N36" s="5" t="str">
        <f aca="false">IF(L36&gt;0,"прибыль",IF(L36&lt;0,"убыток","ноль"))</f>
        <v>прибыль</v>
      </c>
      <c r="O36" s="6" t="n">
        <f aca="false">IF(L36&lt;0,O35+1,0)</f>
        <v>0</v>
      </c>
      <c r="P36" s="6" t="n">
        <v>27</v>
      </c>
    </row>
    <row r="37" customFormat="false" ht="15" hidden="false" customHeight="false" outlineLevel="0" collapsed="false">
      <c r="A37" s="6" t="n">
        <v>32</v>
      </c>
      <c r="B37" s="5" t="s">
        <v>72</v>
      </c>
      <c r="C37" s="5" t="s">
        <v>30</v>
      </c>
      <c r="D37" s="11" t="n">
        <v>44860</v>
      </c>
      <c r="E37" s="11" t="n">
        <v>44873</v>
      </c>
      <c r="F37" s="5" t="s">
        <v>75</v>
      </c>
      <c r="G37" s="12" t="n">
        <v>303052.742393523</v>
      </c>
      <c r="H37" s="13" t="n">
        <v>5.709</v>
      </c>
      <c r="I37" s="13" t="n">
        <v>6.75</v>
      </c>
      <c r="J37" s="5" t="s">
        <v>74</v>
      </c>
      <c r="K37" s="8" t="n">
        <v>13.1911345514997</v>
      </c>
      <c r="L37" s="8" t="n">
        <v>39216.8602289775</v>
      </c>
      <c r="M37" s="8" t="n">
        <f aca="false">M36+L37</f>
        <v>343369.272253583</v>
      </c>
      <c r="N37" s="5" t="str">
        <f aca="false">IF(L37&gt;0,"прибыль",IF(L37&lt;0,"убыток","ноль"))</f>
        <v>прибыль</v>
      </c>
      <c r="O37" s="6" t="n">
        <f aca="false">IF(L37&lt;0,O36+1,0)</f>
        <v>0</v>
      </c>
      <c r="P37" s="6" t="n">
        <v>8</v>
      </c>
    </row>
    <row r="38" customFormat="false" ht="15" hidden="false" customHeight="false" outlineLevel="0" collapsed="false">
      <c r="A38" s="6" t="n">
        <v>33</v>
      </c>
      <c r="B38" s="5" t="s">
        <v>72</v>
      </c>
      <c r="C38" s="5" t="s">
        <v>30</v>
      </c>
      <c r="D38" s="11" t="n">
        <v>44889</v>
      </c>
      <c r="E38" s="11" t="n">
        <v>44901</v>
      </c>
      <c r="F38" s="5" t="s">
        <v>73</v>
      </c>
      <c r="G38" s="12" t="n">
        <v>239546.562228671</v>
      </c>
      <c r="H38" s="13" t="n">
        <v>7.225</v>
      </c>
      <c r="I38" s="13" t="n">
        <v>5.92</v>
      </c>
      <c r="J38" s="5" t="s">
        <v>74</v>
      </c>
      <c r="K38" s="8" t="n">
        <v>33.2765652175119</v>
      </c>
      <c r="L38" s="8" t="n">
        <v>-50154.7356614567</v>
      </c>
      <c r="M38" s="8" t="n">
        <f aca="false">M37+L38</f>
        <v>293214.536592126</v>
      </c>
      <c r="N38" s="5" t="str">
        <f aca="false">IF(L38&gt;0,"прибыль",IF(L38&lt;0,"убыток","ноль"))</f>
        <v>убыток</v>
      </c>
      <c r="O38" s="6" t="n">
        <f aca="false">IF(L38&lt;0,O37+1,0)</f>
        <v>1</v>
      </c>
      <c r="P38" s="6" t="n">
        <v>8</v>
      </c>
    </row>
    <row r="39" customFormat="false" ht="15" hidden="false" customHeight="false" outlineLevel="0" collapsed="false">
      <c r="A39" s="6" t="n">
        <v>34</v>
      </c>
      <c r="B39" s="5" t="s">
        <v>72</v>
      </c>
      <c r="C39" s="5" t="s">
        <v>30</v>
      </c>
      <c r="D39" s="11" t="n">
        <v>44901</v>
      </c>
      <c r="E39" s="11" t="n">
        <v>44911</v>
      </c>
      <c r="F39" s="5" t="s">
        <v>75</v>
      </c>
      <c r="G39" s="12" t="n">
        <v>56126.6025922068</v>
      </c>
      <c r="H39" s="13" t="n">
        <v>5.92</v>
      </c>
      <c r="I39" s="13" t="n">
        <v>6.855</v>
      </c>
      <c r="K39" s="8" t="n">
        <v>3.26496204305177</v>
      </c>
      <c r="L39" s="8" t="n">
        <v>-9175.90323087164</v>
      </c>
      <c r="M39" s="8" t="n">
        <f aca="false">M38+L39</f>
        <v>284038.633361255</v>
      </c>
      <c r="N39" s="5" t="str">
        <f aca="false">IF(L39&gt;0,"прибыль",IF(L39&lt;0,"убыток","ноль"))</f>
        <v>убыток</v>
      </c>
      <c r="O39" s="6" t="n">
        <f aca="false">IF(L39&lt;0,O38+1,0)</f>
        <v>2</v>
      </c>
      <c r="P39" s="6" t="n">
        <v>8</v>
      </c>
    </row>
    <row r="40" customFormat="false" ht="15" hidden="false" customHeight="false" outlineLevel="0" collapsed="false">
      <c r="A40" s="6" t="n">
        <v>35</v>
      </c>
      <c r="B40" s="5" t="s">
        <v>72</v>
      </c>
      <c r="C40" s="5" t="s">
        <v>30</v>
      </c>
      <c r="D40" s="11" t="n">
        <v>44911</v>
      </c>
      <c r="E40" s="11" t="n">
        <v>44985</v>
      </c>
      <c r="F40" s="5" t="s">
        <v>75</v>
      </c>
      <c r="G40" s="12" t="n">
        <v>91129.9633313502</v>
      </c>
      <c r="H40" s="13" t="n">
        <v>6.855</v>
      </c>
      <c r="I40" s="13" t="n">
        <v>2.797</v>
      </c>
      <c r="J40" s="5" t="s">
        <v>74</v>
      </c>
      <c r="K40" s="8" t="n">
        <v>13.8112609292191</v>
      </c>
      <c r="L40" s="8" t="n">
        <v>36613.0979822045</v>
      </c>
      <c r="M40" s="8" t="n">
        <f aca="false">M39+L40</f>
        <v>320651.731343459</v>
      </c>
      <c r="N40" s="5" t="str">
        <f aca="false">IF(L40&gt;0,"прибыль",IF(L40&lt;0,"убыток","ноль"))</f>
        <v>прибыль</v>
      </c>
      <c r="O40" s="6" t="n">
        <f aca="false">IF(L40&lt;0,O39+1,0)</f>
        <v>0</v>
      </c>
      <c r="P40" s="6" t="n">
        <v>50</v>
      </c>
    </row>
    <row r="41" customFormat="false" ht="15" hidden="false" customHeight="false" outlineLevel="0" collapsed="false">
      <c r="A41" s="6" t="n">
        <v>36</v>
      </c>
      <c r="B41" s="5" t="s">
        <v>72</v>
      </c>
      <c r="C41" s="5" t="s">
        <v>30</v>
      </c>
      <c r="D41" s="11" t="n">
        <v>44985</v>
      </c>
      <c r="E41" s="11" t="n">
        <v>45034</v>
      </c>
      <c r="F41" s="5" t="s">
        <v>75</v>
      </c>
      <c r="G41" s="12" t="n">
        <v>509234.212553242</v>
      </c>
      <c r="H41" s="13" t="n">
        <v>2.797</v>
      </c>
      <c r="I41" s="13" t="n">
        <v>2.327</v>
      </c>
      <c r="J41" s="5" t="s">
        <v>74</v>
      </c>
      <c r="K41" s="8" t="n">
        <v>26.9641984545748</v>
      </c>
      <c r="L41" s="8" t="n">
        <v>168132.254254791</v>
      </c>
      <c r="M41" s="8" t="n">
        <f aca="false">M40+L41</f>
        <v>488783.98559825</v>
      </c>
      <c r="N41" s="5" t="str">
        <f aca="false">IF(L41&gt;0,"прибыль",IF(L41&lt;0,"убыток","ноль"))</f>
        <v>прибыль</v>
      </c>
      <c r="O41" s="6" t="n">
        <f aca="false">IF(L41&lt;0,O40+1,0)</f>
        <v>0</v>
      </c>
      <c r="P41" s="6" t="n">
        <v>34</v>
      </c>
    </row>
    <row r="42" customFormat="false" ht="15" hidden="false" customHeight="false" outlineLevel="0" collapsed="false">
      <c r="A42" s="6" t="n">
        <v>37</v>
      </c>
      <c r="B42" s="5" t="s">
        <v>72</v>
      </c>
      <c r="C42" s="5" t="s">
        <v>30</v>
      </c>
      <c r="D42" s="11" t="n">
        <v>45065</v>
      </c>
      <c r="E42" s="11" t="n">
        <v>45076</v>
      </c>
      <c r="F42" s="5" t="s">
        <v>73</v>
      </c>
      <c r="G42" s="12" t="n">
        <v>254617.161730334</v>
      </c>
      <c r="H42" s="13" t="n">
        <v>2.609</v>
      </c>
      <c r="I42" s="13" t="n">
        <v>2.41</v>
      </c>
      <c r="J42" s="5" t="s">
        <v>74</v>
      </c>
      <c r="K42" s="8" t="n">
        <v>23.6845575269587</v>
      </c>
      <c r="L42" s="8" t="n">
        <v>-35566.8574790205</v>
      </c>
      <c r="M42" s="8" t="n">
        <f aca="false">M41+L42</f>
        <v>453217.128119229</v>
      </c>
      <c r="N42" s="5" t="str">
        <f aca="false">IF(L42&gt;0,"прибыль",IF(L42&lt;0,"убыток","ноль"))</f>
        <v>убыток</v>
      </c>
      <c r="O42" s="6" t="n">
        <f aca="false">IF(L42&lt;0,O41+1,0)</f>
        <v>1</v>
      </c>
      <c r="P42" s="6" t="n">
        <v>7</v>
      </c>
    </row>
    <row r="43" customFormat="false" ht="15" hidden="false" customHeight="false" outlineLevel="0" collapsed="false">
      <c r="A43" s="6" t="n">
        <v>38</v>
      </c>
      <c r="B43" s="5" t="s">
        <v>72</v>
      </c>
      <c r="C43" s="5" t="s">
        <v>30</v>
      </c>
      <c r="D43" s="11" t="n">
        <v>45079</v>
      </c>
      <c r="E43" s="11" t="n">
        <v>45093</v>
      </c>
      <c r="F43" s="5" t="s">
        <v>75</v>
      </c>
      <c r="G43" s="12" t="n">
        <v>250242.968111935</v>
      </c>
      <c r="H43" s="13" t="n">
        <v>2.217</v>
      </c>
      <c r="I43" s="13" t="n">
        <v>2.573</v>
      </c>
      <c r="K43" s="8" t="n">
        <v>27.098063049649</v>
      </c>
      <c r="L43" s="8" t="n">
        <v>-41502.4228321598</v>
      </c>
      <c r="M43" s="8" t="n">
        <f aca="false">M42+L43</f>
        <v>411714.70528707</v>
      </c>
      <c r="N43" s="5" t="str">
        <f aca="false">IF(L43&gt;0,"прибыль",IF(L43&lt;0,"убыток","ноль"))</f>
        <v>убыток</v>
      </c>
      <c r="O43" s="6" t="n">
        <f aca="false">IF(L43&lt;0,O42+1,0)</f>
        <v>2</v>
      </c>
      <c r="P43" s="6" t="n">
        <v>9</v>
      </c>
    </row>
    <row r="44" customFormat="false" ht="15" hidden="false" customHeight="false" outlineLevel="0" collapsed="false">
      <c r="A44" s="6" t="n">
        <v>39</v>
      </c>
      <c r="B44" s="5" t="s">
        <v>72</v>
      </c>
      <c r="C44" s="5" t="s">
        <v>30</v>
      </c>
      <c r="D44" s="11" t="n">
        <v>45103</v>
      </c>
      <c r="E44" s="11" t="n">
        <v>45141</v>
      </c>
      <c r="F44" s="5" t="s">
        <v>73</v>
      </c>
      <c r="G44" s="12" t="n">
        <v>340732.586527661</v>
      </c>
      <c r="H44" s="13" t="n">
        <v>2.728</v>
      </c>
      <c r="I44" s="13" t="n">
        <v>2.507</v>
      </c>
      <c r="J44" s="5" t="s">
        <v>74</v>
      </c>
      <c r="K44" s="8" t="n">
        <v>33.3595330645168</v>
      </c>
      <c r="L44" s="8" t="n">
        <v>-14307.8712980512</v>
      </c>
      <c r="M44" s="8" t="n">
        <f aca="false">M43+L44</f>
        <v>397406.833989018</v>
      </c>
      <c r="N44" s="5" t="str">
        <f aca="false">IF(L44&gt;0,"прибыль",IF(L44&lt;0,"убыток","ноль"))</f>
        <v>убыток</v>
      </c>
      <c r="O44" s="6" t="n">
        <f aca="false">IF(L44&lt;0,O43+1,0)</f>
        <v>3</v>
      </c>
      <c r="P44" s="6" t="n">
        <v>28</v>
      </c>
    </row>
    <row r="45" customFormat="false" ht="15" hidden="false" customHeight="false" outlineLevel="0" collapsed="false">
      <c r="A45" s="6" t="n">
        <v>40</v>
      </c>
      <c r="B45" s="5" t="s">
        <v>72</v>
      </c>
      <c r="C45" s="5" t="s">
        <v>30</v>
      </c>
      <c r="D45" s="11" t="n">
        <v>45147</v>
      </c>
      <c r="E45" s="11" t="n">
        <v>45162</v>
      </c>
      <c r="F45" s="5" t="s">
        <v>73</v>
      </c>
      <c r="G45" s="12" t="n">
        <v>370545.567450096</v>
      </c>
      <c r="H45" s="13" t="n">
        <v>2.782</v>
      </c>
      <c r="I45" s="13" t="n">
        <v>2.493</v>
      </c>
      <c r="K45" s="8" t="n">
        <v>35.0731901729828</v>
      </c>
      <c r="L45" s="8" t="n">
        <v>-39662.4046307075</v>
      </c>
      <c r="M45" s="8" t="n">
        <f aca="false">M44+L45</f>
        <v>357744.429358311</v>
      </c>
      <c r="N45" s="5" t="str">
        <f aca="false">IF(L45&gt;0,"прибыль",IF(L45&lt;0,"убыток","ноль"))</f>
        <v>убыток</v>
      </c>
      <c r="O45" s="6" t="n">
        <f aca="false">IF(L45&lt;0,O44+1,0)</f>
        <v>4</v>
      </c>
      <c r="P45" s="6" t="n">
        <v>11</v>
      </c>
    </row>
    <row r="46" customFormat="false" ht="15" hidden="false" customHeight="false" outlineLevel="0" collapsed="false">
      <c r="A46" s="6" t="n">
        <v>41</v>
      </c>
      <c r="B46" s="5" t="s">
        <v>72</v>
      </c>
      <c r="C46" s="5" t="s">
        <v>30</v>
      </c>
      <c r="D46" s="11" t="n">
        <v>45176</v>
      </c>
      <c r="E46" s="11" t="n">
        <v>45189</v>
      </c>
      <c r="F46" s="5" t="s">
        <v>75</v>
      </c>
      <c r="G46" s="12" t="n">
        <v>354982.622484379</v>
      </c>
      <c r="H46" s="13" t="n">
        <v>2.54</v>
      </c>
      <c r="I46" s="13" t="n">
        <v>2.841</v>
      </c>
      <c r="K46" s="8" t="n">
        <v>37.6640265779153</v>
      </c>
      <c r="L46" s="8" t="n">
        <v>-43352.950616125</v>
      </c>
      <c r="M46" s="8" t="n">
        <f aca="false">M45+L46</f>
        <v>314391.478742186</v>
      </c>
      <c r="N46" s="5" t="str">
        <f aca="false">IF(L46&gt;0,"прибыль",IF(L46&lt;0,"убыток","ноль"))</f>
        <v>убыток</v>
      </c>
      <c r="O46" s="6" t="n">
        <f aca="false">IF(L46&lt;0,O45+1,0)</f>
        <v>5</v>
      </c>
      <c r="P46" s="6" t="n">
        <v>9</v>
      </c>
    </row>
    <row r="47" customFormat="false" ht="15" hidden="false" customHeight="false" outlineLevel="0" collapsed="false">
      <c r="A47" s="6" t="n">
        <v>42</v>
      </c>
      <c r="B47" s="5" t="s">
        <v>72</v>
      </c>
      <c r="C47" s="5" t="s">
        <v>30</v>
      </c>
      <c r="D47" s="11" t="n">
        <v>45205</v>
      </c>
      <c r="E47" s="11" t="n">
        <v>45222</v>
      </c>
      <c r="F47" s="5" t="s">
        <v>73</v>
      </c>
      <c r="G47" s="12" t="n">
        <v>346839.894986444</v>
      </c>
      <c r="H47" s="13" t="n">
        <v>3.171</v>
      </c>
      <c r="I47" s="13" t="n">
        <v>2.934</v>
      </c>
      <c r="K47" s="8" t="n">
        <v>33.3366994292659</v>
      </c>
      <c r="L47" s="8" t="n">
        <v>-26979.1380869995</v>
      </c>
      <c r="M47" s="8" t="n">
        <f aca="false">M46+L47</f>
        <v>287412.340655186</v>
      </c>
      <c r="N47" s="5" t="str">
        <f aca="false">IF(L47&gt;0,"прибыль",IF(L47&lt;0,"убыток","ноль"))</f>
        <v>убыток</v>
      </c>
      <c r="O47" s="6" t="n">
        <f aca="false">IF(L47&lt;0,O46+1,0)</f>
        <v>6</v>
      </c>
      <c r="P47" s="6" t="n">
        <v>11</v>
      </c>
    </row>
    <row r="48" customFormat="false" ht="15" hidden="false" customHeight="false" outlineLevel="0" collapsed="false">
      <c r="A48" s="6" t="n">
        <v>43</v>
      </c>
      <c r="B48" s="5" t="s">
        <v>72</v>
      </c>
      <c r="C48" s="5" t="s">
        <v>30</v>
      </c>
      <c r="D48" s="11" t="n">
        <v>45251</v>
      </c>
      <c r="E48" s="11" t="n">
        <v>45278</v>
      </c>
      <c r="F48" s="5" t="s">
        <v>75</v>
      </c>
      <c r="G48" s="12" t="n">
        <v>130982.417209731</v>
      </c>
      <c r="H48" s="13" t="n">
        <v>2.936</v>
      </c>
      <c r="I48" s="13" t="n">
        <v>2.527</v>
      </c>
      <c r="J48" s="5" t="s">
        <v>74</v>
      </c>
      <c r="K48" s="8" t="n">
        <v>33.3312386196591</v>
      </c>
      <c r="L48" s="8" t="n">
        <v>13643.1007262194</v>
      </c>
      <c r="M48" s="8" t="n">
        <f aca="false">M47+L48</f>
        <v>301055.441381406</v>
      </c>
      <c r="N48" s="5" t="str">
        <f aca="false">IF(L48&gt;0,"прибыль",IF(L48&lt;0,"убыток","ноль"))</f>
        <v>прибыль</v>
      </c>
      <c r="O48" s="6" t="n">
        <f aca="false">IF(L48&lt;0,O47+1,0)</f>
        <v>0</v>
      </c>
      <c r="P48" s="6" t="n">
        <v>19</v>
      </c>
    </row>
    <row r="49" customFormat="false" ht="15" hidden="false" customHeight="false" outlineLevel="0" collapsed="false">
      <c r="A49" s="6" t="n">
        <v>44</v>
      </c>
      <c r="B49" s="5" t="s">
        <v>72</v>
      </c>
      <c r="C49" s="5" t="s">
        <v>30</v>
      </c>
      <c r="D49" s="11" t="n">
        <v>45278</v>
      </c>
      <c r="E49" s="11" t="n">
        <v>45282</v>
      </c>
      <c r="F49" s="5" t="s">
        <v>75</v>
      </c>
      <c r="G49" s="12" t="n">
        <v>97775.2141597358</v>
      </c>
      <c r="H49" s="13" t="n">
        <v>2.527</v>
      </c>
      <c r="I49" s="13" t="n">
        <v>2.579</v>
      </c>
      <c r="K49" s="8" t="n">
        <v>4.46980779448258</v>
      </c>
      <c r="L49" s="8" t="n">
        <v>8374.58846228965</v>
      </c>
      <c r="M49" s="8" t="n">
        <f aca="false">M48+L49</f>
        <v>309430.029843695</v>
      </c>
      <c r="N49" s="5" t="str">
        <f aca="false">IF(L49&gt;0,"прибыль",IF(L49&lt;0,"убыток","ноль"))</f>
        <v>прибыль</v>
      </c>
      <c r="O49" s="6" t="n">
        <f aca="false">IF(L49&lt;0,O48+1,0)</f>
        <v>0</v>
      </c>
      <c r="P49" s="6" t="n">
        <v>4</v>
      </c>
    </row>
    <row r="50" customFormat="false" ht="15" hidden="false" customHeight="false" outlineLevel="0" collapsed="false">
      <c r="A50" s="6" t="n">
        <v>45</v>
      </c>
      <c r="B50" s="5" t="s">
        <v>72</v>
      </c>
      <c r="C50" s="5" t="s">
        <v>30</v>
      </c>
      <c r="D50" s="11" t="n">
        <v>45282</v>
      </c>
      <c r="E50" s="11" t="n">
        <v>45289</v>
      </c>
      <c r="F50" s="5" t="s">
        <v>75</v>
      </c>
      <c r="G50" s="12" t="n">
        <v>320561.155778823</v>
      </c>
      <c r="H50" s="13" t="n">
        <v>2.579</v>
      </c>
      <c r="I50" s="13" t="n">
        <v>2.555</v>
      </c>
      <c r="J50" s="5" t="s">
        <v>74</v>
      </c>
      <c r="K50" s="8" t="n">
        <v>14.8806207092602</v>
      </c>
      <c r="L50" s="8" t="n">
        <v>22933.8609729096</v>
      </c>
      <c r="M50" s="8" t="n">
        <f aca="false">M49+L50</f>
        <v>332363.890816605</v>
      </c>
      <c r="N50" s="5" t="str">
        <f aca="false">IF(L50&gt;0,"прибыль",IF(L50&lt;0,"убыток","ноль"))</f>
        <v>прибыль</v>
      </c>
      <c r="O50" s="6" t="n">
        <f aca="false">IF(L50&lt;0,O49+1,0)</f>
        <v>0</v>
      </c>
      <c r="P50" s="6" t="n">
        <v>5</v>
      </c>
    </row>
    <row r="51" customFormat="false" ht="15" hidden="false" customHeight="false" outlineLevel="0" collapsed="false">
      <c r="A51" s="6" t="n">
        <v>46</v>
      </c>
      <c r="B51" s="5" t="s">
        <v>72</v>
      </c>
      <c r="C51" s="5" t="s">
        <v>30</v>
      </c>
      <c r="D51" s="11" t="n">
        <v>45296</v>
      </c>
      <c r="E51" s="11" t="n">
        <v>45308</v>
      </c>
      <c r="F51" s="5" t="s">
        <v>73</v>
      </c>
      <c r="G51" s="12" t="n">
        <v>52787.6211533393</v>
      </c>
      <c r="H51" s="13" t="n">
        <v>2.805</v>
      </c>
      <c r="I51" s="13" t="n">
        <v>2.829</v>
      </c>
      <c r="K51" s="8" t="n">
        <v>14.8350727049907</v>
      </c>
      <c r="L51" s="8" t="n">
        <v>180.446969363062</v>
      </c>
      <c r="M51" s="8" t="n">
        <f aca="false">M50+L51</f>
        <v>332544.337785968</v>
      </c>
      <c r="N51" s="5" t="str">
        <f aca="false">IF(L51&gt;0,"прибыль",IF(L51&lt;0,"убыток","ноль"))</f>
        <v>прибыль</v>
      </c>
      <c r="O51" s="6" t="n">
        <f aca="false">IF(L51&lt;0,O50+1,0)</f>
        <v>0</v>
      </c>
      <c r="P51" s="6" t="n">
        <v>8</v>
      </c>
    </row>
    <row r="52" customFormat="false" ht="15" hidden="false" customHeight="false" outlineLevel="0" collapsed="false">
      <c r="A52" s="6" t="n">
        <v>47</v>
      </c>
      <c r="B52" s="5" t="s">
        <v>72</v>
      </c>
      <c r="C52" s="5" t="s">
        <v>30</v>
      </c>
      <c r="D52" s="11" t="n">
        <v>45308</v>
      </c>
      <c r="E52" s="11" t="n">
        <v>45313</v>
      </c>
      <c r="F52" s="5" t="s">
        <v>73</v>
      </c>
      <c r="G52" s="12" t="n">
        <v>190930.929751068</v>
      </c>
      <c r="H52" s="13" t="n">
        <v>2.829</v>
      </c>
      <c r="I52" s="13" t="n">
        <v>2.333</v>
      </c>
      <c r="K52" s="8" t="n">
        <v>7.90072298615735</v>
      </c>
      <c r="L52" s="8" t="n">
        <v>-32924.3707509074</v>
      </c>
      <c r="M52" s="8" t="n">
        <f aca="false">M51+L52</f>
        <v>299619.967035061</v>
      </c>
      <c r="N52" s="5" t="str">
        <f aca="false">IF(L52&gt;0,"прибыль",IF(L52&lt;0,"убыток","ноль"))</f>
        <v>убыток</v>
      </c>
      <c r="O52" s="6" t="n">
        <f aca="false">IF(L52&lt;0,O51+1,0)</f>
        <v>1</v>
      </c>
      <c r="P52" s="6" t="n">
        <v>3</v>
      </c>
    </row>
    <row r="53" customFormat="false" ht="15" hidden="false" customHeight="false" outlineLevel="0" collapsed="false">
      <c r="A53" s="6" t="n">
        <v>48</v>
      </c>
      <c r="B53" s="5" t="s">
        <v>78</v>
      </c>
      <c r="C53" s="5" t="s">
        <v>30</v>
      </c>
      <c r="D53" s="11" t="n">
        <v>45335</v>
      </c>
      <c r="E53" s="11" t="n">
        <v>45415</v>
      </c>
      <c r="F53" s="5" t="s">
        <v>75</v>
      </c>
      <c r="G53" s="12" t="n">
        <v>80242.9735239675</v>
      </c>
      <c r="H53" s="13" t="n">
        <v>1.78</v>
      </c>
      <c r="I53" s="13" t="n">
        <v>2.029</v>
      </c>
      <c r="J53" s="5" t="s">
        <v>74</v>
      </c>
      <c r="K53" s="8" t="n">
        <v>22.3386974157399</v>
      </c>
      <c r="L53" s="8" t="n">
        <v>12666.2627558177</v>
      </c>
      <c r="M53" s="8" t="n">
        <f aca="false">M52+L53</f>
        <v>312286.229790878</v>
      </c>
      <c r="N53" s="5" t="str">
        <f aca="false">IF(L53&gt;0,"прибыль",IF(L53&lt;0,"убыток","ноль"))</f>
        <v>прибыль</v>
      </c>
      <c r="O53" s="6" t="n">
        <f aca="false">IF(L53&lt;0,O52+1,0)</f>
        <v>0</v>
      </c>
      <c r="P53" s="6" t="n">
        <v>56</v>
      </c>
    </row>
    <row r="54" customFormat="false" ht="15" hidden="false" customHeight="false" outlineLevel="0" collapsed="false">
      <c r="A54" s="6" t="n">
        <v>49</v>
      </c>
      <c r="B54" s="5" t="s">
        <v>78</v>
      </c>
      <c r="C54" s="5" t="s">
        <v>30</v>
      </c>
      <c r="D54" s="11" t="n">
        <v>45415</v>
      </c>
      <c r="E54" s="11" t="n">
        <v>45419</v>
      </c>
      <c r="F54" s="5" t="s">
        <v>75</v>
      </c>
      <c r="G54" s="12" t="n">
        <v>298976.602720097</v>
      </c>
      <c r="H54" s="13" t="n">
        <v>2.029</v>
      </c>
      <c r="I54" s="13" t="n">
        <v>2.171</v>
      </c>
      <c r="K54" s="8" t="n">
        <v>13.4671443449146</v>
      </c>
      <c r="L54" s="8" t="n">
        <v>29620.2486774592</v>
      </c>
      <c r="M54" s="8" t="n">
        <f aca="false">M53+L54</f>
        <v>341906.478468338</v>
      </c>
      <c r="N54" s="5" t="str">
        <f aca="false">IF(L54&gt;0,"прибыль",IF(L54&lt;0,"убыток","ноль"))</f>
        <v>прибыль</v>
      </c>
      <c r="O54" s="6" t="n">
        <f aca="false">IF(L54&lt;0,O53+1,0)</f>
        <v>0</v>
      </c>
      <c r="P54" s="6" t="n">
        <v>2</v>
      </c>
    </row>
    <row r="55" customFormat="false" ht="15" hidden="false" customHeight="false" outlineLevel="0" collapsed="false">
      <c r="A55" s="6" t="n">
        <v>50</v>
      </c>
      <c r="B55" s="5" t="s">
        <v>76</v>
      </c>
      <c r="C55" s="5" t="s">
        <v>30</v>
      </c>
      <c r="D55" s="11" t="n">
        <v>45426</v>
      </c>
      <c r="E55" s="11" t="n">
        <v>45435</v>
      </c>
      <c r="F55" s="5" t="s">
        <v>73</v>
      </c>
      <c r="G55" s="12" t="n">
        <v>48733.229402243</v>
      </c>
      <c r="H55" s="13" t="n">
        <v>2.363</v>
      </c>
      <c r="I55" s="13" t="n">
        <v>2.805</v>
      </c>
      <c r="K55" s="8" t="n">
        <v>14.9406686055609</v>
      </c>
      <c r="L55" s="8" t="n">
        <v>8839.60674496525</v>
      </c>
      <c r="M55" s="8" t="n">
        <f aca="false">M54+L55</f>
        <v>350746.085213303</v>
      </c>
      <c r="N55" s="5" t="str">
        <f aca="false">IF(L55&gt;0,"прибыль",IF(L55&lt;0,"убыток","ноль"))</f>
        <v>прибыль</v>
      </c>
      <c r="O55" s="6" t="n">
        <f aca="false">IF(L55&lt;0,O54+1,0)</f>
        <v>0</v>
      </c>
      <c r="P55" s="6" t="n">
        <v>7</v>
      </c>
    </row>
    <row r="56" customFormat="false" ht="15" hidden="false" customHeight="false" outlineLevel="0" collapsed="false">
      <c r="A56" s="6" t="n">
        <v>51</v>
      </c>
      <c r="B56" s="5" t="s">
        <v>76</v>
      </c>
      <c r="C56" s="5" t="s">
        <v>30</v>
      </c>
      <c r="D56" s="11" t="n">
        <v>45435</v>
      </c>
      <c r="E56" s="11" t="n">
        <v>45456</v>
      </c>
      <c r="F56" s="5" t="s">
        <v>73</v>
      </c>
      <c r="G56" s="12" t="n">
        <v>61385.2883946182</v>
      </c>
      <c r="H56" s="13" t="n">
        <v>2.805</v>
      </c>
      <c r="I56" s="13" t="n">
        <v>3.035</v>
      </c>
      <c r="J56" s="5" t="s">
        <v>74</v>
      </c>
      <c r="K56" s="8" t="n">
        <v>6.64749591056938</v>
      </c>
      <c r="L56" s="8" t="n">
        <v>12948.0526485423</v>
      </c>
      <c r="M56" s="8" t="n">
        <f aca="false">M55+L56</f>
        <v>363694.137861845</v>
      </c>
      <c r="N56" s="5" t="str">
        <f aca="false">IF(L56&gt;0,"прибыль",IF(L56&lt;0,"убыток","ноль"))</f>
        <v>прибыль</v>
      </c>
      <c r="O56" s="6" t="n">
        <f aca="false">IF(L56&lt;0,O55+1,0)</f>
        <v>0</v>
      </c>
      <c r="P56" s="6" t="n">
        <v>14</v>
      </c>
    </row>
    <row r="57" customFormat="false" ht="15" hidden="false" customHeight="false" outlineLevel="0" collapsed="false">
      <c r="A57" s="6" t="n">
        <v>52</v>
      </c>
      <c r="B57" s="5" t="s">
        <v>76</v>
      </c>
      <c r="C57" s="5" t="s">
        <v>30</v>
      </c>
      <c r="D57" s="11" t="n">
        <v>45456</v>
      </c>
      <c r="E57" s="11" t="n">
        <v>45474</v>
      </c>
      <c r="F57" s="5" t="s">
        <v>73</v>
      </c>
      <c r="G57" s="12" t="n">
        <v>189717.007170859</v>
      </c>
      <c r="H57" s="13" t="n">
        <v>3.035</v>
      </c>
      <c r="I57" s="13" t="n">
        <v>2.604</v>
      </c>
      <c r="J57" s="5" t="s">
        <v>74</v>
      </c>
      <c r="K57" s="8" t="n">
        <v>9.8344575223938</v>
      </c>
      <c r="L57" s="8" t="n">
        <v>6962.3088194946</v>
      </c>
      <c r="M57" s="8" t="n">
        <f aca="false">M56+L57</f>
        <v>370656.44668134</v>
      </c>
      <c r="N57" s="5" t="str">
        <f aca="false">IF(L57&gt;0,"прибыль",IF(L57&lt;0,"убыток","ноль"))</f>
        <v>прибыль</v>
      </c>
      <c r="O57" s="6" t="n">
        <f aca="false">IF(L57&lt;0,O56+1,0)</f>
        <v>0</v>
      </c>
      <c r="P57" s="6" t="n">
        <v>12</v>
      </c>
    </row>
    <row r="58" customFormat="false" ht="15" hidden="false" customHeight="false" outlineLevel="0" collapsed="false">
      <c r="A58" s="6" t="n">
        <v>53</v>
      </c>
      <c r="B58" s="5" t="s">
        <v>76</v>
      </c>
      <c r="C58" s="5" t="s">
        <v>30</v>
      </c>
      <c r="D58" s="11" t="n">
        <v>45475</v>
      </c>
      <c r="E58" s="11" t="n">
        <v>45548</v>
      </c>
      <c r="F58" s="5" t="s">
        <v>75</v>
      </c>
      <c r="G58" s="12" t="n">
        <v>412194.807886456</v>
      </c>
      <c r="H58" s="13" t="n">
        <v>2.508</v>
      </c>
      <c r="I58" s="13" t="n">
        <v>2.385</v>
      </c>
      <c r="J58" s="5" t="s">
        <v>74</v>
      </c>
      <c r="K58" s="8" t="n">
        <v>38.7475144047694</v>
      </c>
      <c r="L58" s="8" t="n">
        <v>49400.5801631197</v>
      </c>
      <c r="M58" s="8" t="n">
        <f aca="false">M57+L58</f>
        <v>420057.026844459</v>
      </c>
      <c r="N58" s="5" t="str">
        <f aca="false">IF(L58&gt;0,"прибыль",IF(L58&lt;0,"убыток","ноль"))</f>
        <v>прибыль</v>
      </c>
      <c r="O58" s="6" t="n">
        <f aca="false">IF(L58&lt;0,O57+1,0)</f>
        <v>0</v>
      </c>
      <c r="P58" s="6" t="n">
        <v>53</v>
      </c>
    </row>
    <row r="59" customFormat="false" ht="15" hidden="false" customHeight="false" outlineLevel="0" collapsed="false">
      <c r="A59" s="6" t="n">
        <v>54</v>
      </c>
      <c r="B59" s="5" t="s">
        <v>76</v>
      </c>
      <c r="C59" s="5" t="s">
        <v>30</v>
      </c>
      <c r="D59" s="11" t="n">
        <v>45558</v>
      </c>
      <c r="E59" s="11" t="n">
        <v>45565</v>
      </c>
      <c r="F59" s="5" t="s">
        <v>73</v>
      </c>
      <c r="G59" s="12" t="n">
        <v>63767.6242528951</v>
      </c>
      <c r="H59" s="13" t="n">
        <v>2.465</v>
      </c>
      <c r="I59" s="13" t="n">
        <v>2.893</v>
      </c>
      <c r="J59" s="5" t="s">
        <v>74</v>
      </c>
      <c r="K59" s="8" t="n">
        <v>18.4279495586793</v>
      </c>
      <c r="L59" s="8" t="n">
        <v>7233.11212369413</v>
      </c>
      <c r="M59" s="8" t="n">
        <f aca="false">M58+L59</f>
        <v>427290.138968154</v>
      </c>
      <c r="N59" s="5" t="str">
        <f aca="false">IF(L59&gt;0,"прибыль",IF(L59&lt;0,"убыток","ноль"))</f>
        <v>прибыль</v>
      </c>
      <c r="O59" s="6" t="n">
        <f aca="false">IF(L59&lt;0,O58+1,0)</f>
        <v>0</v>
      </c>
      <c r="P59" s="6" t="n">
        <v>5</v>
      </c>
    </row>
    <row r="60" customFormat="false" ht="15" hidden="false" customHeight="false" outlineLevel="0" collapsed="false">
      <c r="A60" s="6" t="n">
        <v>55</v>
      </c>
      <c r="B60" s="5" t="s">
        <v>76</v>
      </c>
      <c r="C60" s="5" t="s">
        <v>30</v>
      </c>
      <c r="D60" s="11" t="n">
        <v>45565</v>
      </c>
      <c r="E60" s="11" t="n">
        <v>45575</v>
      </c>
      <c r="F60" s="5" t="s">
        <v>73</v>
      </c>
      <c r="G60" s="12" t="n">
        <v>233772.202594543</v>
      </c>
      <c r="H60" s="13" t="n">
        <v>2.893</v>
      </c>
      <c r="I60" s="13" t="n">
        <v>2.656</v>
      </c>
      <c r="K60" s="8" t="n">
        <v>11.9525749332658</v>
      </c>
      <c r="L60" s="8" t="n">
        <v>5267.3434958404</v>
      </c>
      <c r="M60" s="8" t="n">
        <f aca="false">M59+L60</f>
        <v>432557.482463994</v>
      </c>
      <c r="N60" s="5" t="str">
        <f aca="false">IF(L60&gt;0,"прибыль",IF(L60&lt;0,"убыток","ноль"))</f>
        <v>прибыль</v>
      </c>
      <c r="O60" s="6" t="n">
        <f aca="false">IF(L60&lt;0,O59+1,0)</f>
        <v>0</v>
      </c>
      <c r="P60" s="6" t="n">
        <v>8</v>
      </c>
    </row>
    <row r="61" customFormat="false" ht="15" hidden="false" customHeight="false" outlineLevel="0" collapsed="false">
      <c r="A61" s="6" t="n">
        <v>56</v>
      </c>
      <c r="B61" s="5" t="s">
        <v>76</v>
      </c>
      <c r="C61" s="5" t="s">
        <v>30</v>
      </c>
      <c r="D61" s="11" t="n">
        <v>45586</v>
      </c>
      <c r="E61" s="11" t="n">
        <v>45608</v>
      </c>
      <c r="F61" s="5" t="s">
        <v>75</v>
      </c>
      <c r="G61" s="12" t="n">
        <v>57505.1722985026</v>
      </c>
      <c r="H61" s="13" t="n">
        <v>2.272</v>
      </c>
      <c r="I61" s="13" t="n">
        <v>2.955</v>
      </c>
      <c r="J61" s="5" t="s">
        <v>74</v>
      </c>
      <c r="K61" s="8" t="n">
        <v>16.7422030013066</v>
      </c>
      <c r="L61" s="8" t="n">
        <v>-2546.04140679477</v>
      </c>
      <c r="M61" s="8" t="n">
        <f aca="false">M60+L61</f>
        <v>430011.441057199</v>
      </c>
      <c r="N61" s="5" t="str">
        <f aca="false">IF(L61&gt;0,"прибыль",IF(L61&lt;0,"убыток","ноль"))</f>
        <v>убыток</v>
      </c>
      <c r="O61" s="6" t="n">
        <f aca="false">IF(L61&lt;0,O60+1,0)</f>
        <v>1</v>
      </c>
      <c r="P61" s="6" t="n">
        <v>16</v>
      </c>
    </row>
    <row r="62" customFormat="false" ht="15" hidden="false" customHeight="false" outlineLevel="0" collapsed="false">
      <c r="A62" s="6" t="n">
        <v>57</v>
      </c>
      <c r="B62" s="5" t="s">
        <v>76</v>
      </c>
      <c r="C62" s="5" t="s">
        <v>30</v>
      </c>
      <c r="D62" s="11" t="n">
        <v>45608</v>
      </c>
      <c r="E62" s="11" t="n">
        <v>45617</v>
      </c>
      <c r="F62" s="5" t="s">
        <v>75</v>
      </c>
      <c r="G62" s="12" t="n">
        <v>217304.416225334</v>
      </c>
      <c r="H62" s="13" t="n">
        <v>2.955</v>
      </c>
      <c r="I62" s="13" t="n">
        <v>3.313</v>
      </c>
      <c r="K62" s="8" t="n">
        <v>12.7205120916758</v>
      </c>
      <c r="L62" s="8" t="n">
        <v>-37118.5461202742</v>
      </c>
      <c r="M62" s="8" t="n">
        <f aca="false">M61+L62</f>
        <v>392892.894936925</v>
      </c>
      <c r="N62" s="5" t="str">
        <f aca="false">IF(L62&gt;0,"прибыль",IF(L62&lt;0,"убыток","ноль"))</f>
        <v>убыток</v>
      </c>
      <c r="O62" s="6" t="n">
        <f aca="false">IF(L62&lt;0,O61+1,0)</f>
        <v>2</v>
      </c>
      <c r="P62" s="6" t="n">
        <v>7</v>
      </c>
    </row>
    <row r="63" customFormat="false" ht="15" hidden="false" customHeight="false" outlineLevel="0" collapsed="false">
      <c r="A63" s="6" t="n">
        <v>58</v>
      </c>
      <c r="B63" s="5" t="s">
        <v>76</v>
      </c>
      <c r="C63" s="5" t="s">
        <v>30</v>
      </c>
      <c r="D63" s="11" t="n">
        <v>45618</v>
      </c>
      <c r="E63" s="11" t="n">
        <v>45660</v>
      </c>
      <c r="F63" s="5" t="s">
        <v>73</v>
      </c>
      <c r="G63" s="12" t="n">
        <v>44796.8463703831</v>
      </c>
      <c r="H63" s="13" t="n">
        <v>3.369</v>
      </c>
      <c r="I63" s="13" t="n">
        <v>3.666</v>
      </c>
      <c r="J63" s="5" t="s">
        <v>74</v>
      </c>
      <c r="K63" s="8" t="n">
        <v>12.8568296841934</v>
      </c>
      <c r="L63" s="8" t="n">
        <v>8336.11765158007</v>
      </c>
      <c r="M63" s="8" t="n">
        <f aca="false">M62+L63</f>
        <v>401229.012588505</v>
      </c>
      <c r="N63" s="5" t="str">
        <f aca="false">IF(L63&gt;0,"прибыль",IF(L63&lt;0,"убыток","ноль"))</f>
        <v>прибыль</v>
      </c>
      <c r="O63" s="6" t="n">
        <f aca="false">IF(L63&lt;0,O62+1,0)</f>
        <v>0</v>
      </c>
      <c r="P63" s="6" t="n">
        <v>28</v>
      </c>
    </row>
    <row r="64" customFormat="false" ht="15" hidden="false" customHeight="false" outlineLevel="0" collapsed="false">
      <c r="A64" s="6" t="n">
        <v>59</v>
      </c>
      <c r="B64" s="5" t="s">
        <v>76</v>
      </c>
      <c r="C64" s="5" t="s">
        <v>30</v>
      </c>
      <c r="D64" s="11" t="n">
        <v>45660</v>
      </c>
      <c r="E64" s="11" t="n">
        <v>45665</v>
      </c>
      <c r="F64" s="5" t="s">
        <v>73</v>
      </c>
      <c r="G64" s="12" t="n">
        <v>33047.3985408596</v>
      </c>
      <c r="H64" s="13" t="n">
        <v>3.666</v>
      </c>
      <c r="I64" s="13" t="n">
        <v>3.61</v>
      </c>
      <c r="K64" s="8" t="n">
        <v>1.92892900092319</v>
      </c>
      <c r="L64" s="8" t="n">
        <v>5529.25254860334</v>
      </c>
      <c r="M64" s="8" t="n">
        <f aca="false">M63+L64</f>
        <v>406758.265137108</v>
      </c>
      <c r="N64" s="5" t="str">
        <f aca="false">IF(L64&gt;0,"прибыль",IF(L64&lt;0,"убыток","ноль"))</f>
        <v>прибыль</v>
      </c>
      <c r="O64" s="6" t="n">
        <f aca="false">IF(L64&lt;0,O63+1,0)</f>
        <v>0</v>
      </c>
      <c r="P64" s="6" t="n">
        <v>2</v>
      </c>
    </row>
    <row r="65" customFormat="false" ht="15" hidden="false" customHeight="false" outlineLevel="0" collapsed="false">
      <c r="A65" s="6" t="n">
        <v>60</v>
      </c>
      <c r="B65" s="5" t="s">
        <v>76</v>
      </c>
      <c r="C65" s="5" t="s">
        <v>30</v>
      </c>
      <c r="D65" s="11" t="n">
        <v>45665</v>
      </c>
      <c r="E65" s="11" t="n">
        <v>45685</v>
      </c>
      <c r="F65" s="5" t="s">
        <v>73</v>
      </c>
      <c r="G65" s="12" t="n">
        <v>126146.527920979</v>
      </c>
      <c r="H65" s="13" t="n">
        <v>3.61</v>
      </c>
      <c r="I65" s="13" t="n">
        <v>3.685</v>
      </c>
      <c r="K65" s="8" t="n">
        <v>7.51449440517836</v>
      </c>
      <c r="L65" s="8" t="n">
        <v>24135.8456881832</v>
      </c>
      <c r="M65" s="8" t="n">
        <f aca="false">M64+L65</f>
        <v>430894.110825292</v>
      </c>
      <c r="N65" s="5" t="str">
        <f aca="false">IF(L65&gt;0,"прибыль",IF(L65&lt;0,"убыток","ноль"))</f>
        <v>прибыль</v>
      </c>
      <c r="O65" s="6" t="n">
        <f aca="false">IF(L65&lt;0,O64+1,0)</f>
        <v>0</v>
      </c>
      <c r="P65" s="6" t="n">
        <v>14</v>
      </c>
    </row>
    <row r="66" customFormat="false" ht="15" hidden="false" customHeight="false" outlineLevel="0" collapsed="false">
      <c r="A66" s="6" t="n">
        <v>61</v>
      </c>
      <c r="B66" s="5" t="s">
        <v>76</v>
      </c>
      <c r="C66" s="5" t="s">
        <v>30</v>
      </c>
      <c r="D66" s="11" t="n">
        <v>45688</v>
      </c>
      <c r="E66" s="11" t="n">
        <v>45700</v>
      </c>
      <c r="F66" s="5" t="s">
        <v>75</v>
      </c>
      <c r="G66" s="12" t="n">
        <v>191227.266075855</v>
      </c>
      <c r="H66" s="13" t="n">
        <v>3.098</v>
      </c>
      <c r="I66" s="13" t="n">
        <v>3.515</v>
      </c>
      <c r="K66" s="8" t="n">
        <v>20.3895348738689</v>
      </c>
      <c r="L66" s="8" t="n">
        <v>-25356.5548605406</v>
      </c>
      <c r="M66" s="8" t="n">
        <f aca="false">M65+L66</f>
        <v>405537.555964751</v>
      </c>
      <c r="N66" s="5" t="str">
        <f aca="false">IF(L66&gt;0,"прибыль",IF(L66&lt;0,"убыток","ноль"))</f>
        <v>убыток</v>
      </c>
      <c r="O66" s="6" t="n">
        <f aca="false">IF(L66&lt;0,O65+1,0)</f>
        <v>1</v>
      </c>
      <c r="P66" s="6" t="n">
        <v>8</v>
      </c>
    </row>
    <row r="67" customFormat="false" ht="15" hidden="false" customHeight="false" outlineLevel="0" collapsed="false">
      <c r="A67" s="6" t="n">
        <v>62</v>
      </c>
      <c r="B67" s="5" t="s">
        <v>76</v>
      </c>
      <c r="C67" s="5" t="s">
        <v>30</v>
      </c>
      <c r="D67" s="11" t="n">
        <v>45707</v>
      </c>
      <c r="E67" s="11" t="n">
        <v>45742</v>
      </c>
      <c r="F67" s="5" t="s">
        <v>73</v>
      </c>
      <c r="G67" s="12" t="n">
        <v>249826.272148631</v>
      </c>
      <c r="H67" s="13" t="n">
        <v>4.001</v>
      </c>
      <c r="I67" s="13" t="n">
        <v>3.882</v>
      </c>
      <c r="J67" s="5" t="s">
        <v>74</v>
      </c>
      <c r="K67" s="8" t="n">
        <v>25.0866218446885</v>
      </c>
      <c r="L67" s="8" t="n">
        <v>2054.80597466214</v>
      </c>
      <c r="M67" s="8" t="n">
        <f aca="false">M66+L67</f>
        <v>407592.361939413</v>
      </c>
      <c r="N67" s="5" t="str">
        <f aca="false">IF(L67&gt;0,"прибыль",IF(L67&lt;0,"убыток","ноль"))</f>
        <v>прибыль</v>
      </c>
      <c r="O67" s="6" t="n">
        <f aca="false">IF(L67&lt;0,O66+1,0)</f>
        <v>0</v>
      </c>
      <c r="P67" s="6" t="n">
        <v>25</v>
      </c>
    </row>
    <row r="68" customFormat="false" ht="15" hidden="false" customHeight="false" outlineLevel="0" collapsed="false">
      <c r="A68" s="6" t="n">
        <v>63</v>
      </c>
      <c r="B68" s="5" t="s">
        <v>76</v>
      </c>
      <c r="C68" s="5" t="s">
        <v>30</v>
      </c>
      <c r="D68" s="11" t="n">
        <v>45754</v>
      </c>
      <c r="E68" s="11" t="n">
        <v>45811</v>
      </c>
      <c r="F68" s="5" t="s">
        <v>75</v>
      </c>
      <c r="G68" s="12" t="n">
        <v>326083.911749398</v>
      </c>
      <c r="H68" s="13" t="n">
        <v>3.784</v>
      </c>
      <c r="I68" s="13" t="n">
        <v>3.725</v>
      </c>
      <c r="J68" s="5" t="s">
        <v>74</v>
      </c>
      <c r="K68" s="8" t="n">
        <v>30.4099657254383</v>
      </c>
      <c r="L68" s="8" t="n">
        <v>43938.0990243046</v>
      </c>
      <c r="M68" s="8" t="n">
        <f aca="false">M67+L68</f>
        <v>451530.460963718</v>
      </c>
      <c r="N68" s="5" t="str">
        <f aca="false">IF(L68&gt;0,"прибыль",IF(L68&lt;0,"убыток","ноль"))</f>
        <v>прибыль</v>
      </c>
      <c r="O68" s="6" t="n">
        <f aca="false">IF(L68&lt;0,O67+1,0)</f>
        <v>0</v>
      </c>
      <c r="P68" s="6" t="n">
        <v>39</v>
      </c>
    </row>
    <row r="69" customFormat="false" ht="15" hidden="false" customHeight="false" outlineLevel="0" collapsed="false">
      <c r="A69" s="6" t="n">
        <v>64</v>
      </c>
      <c r="B69" s="5" t="s">
        <v>76</v>
      </c>
      <c r="C69" s="5" t="s">
        <v>30</v>
      </c>
      <c r="D69" s="11" t="n">
        <v>45826</v>
      </c>
      <c r="E69" s="11" t="n">
        <v>45834</v>
      </c>
      <c r="F69" s="5" t="s">
        <v>73</v>
      </c>
      <c r="G69" s="12" t="n">
        <v>264611.008982538</v>
      </c>
      <c r="H69" s="13" t="n">
        <v>3.874</v>
      </c>
      <c r="I69" s="13" t="n">
        <v>3.405</v>
      </c>
      <c r="K69" s="8" t="n">
        <v>24.8124083163185</v>
      </c>
      <c r="L69" s="8" t="n">
        <v>-32998.6640470222</v>
      </c>
      <c r="M69" s="8" t="n">
        <f aca="false">M68+L69</f>
        <v>418531.796916695</v>
      </c>
      <c r="N69" s="5" t="str">
        <f aca="false">IF(L69&gt;0,"прибыль",IF(L69&lt;0,"убыток","ноль"))</f>
        <v>убыток</v>
      </c>
      <c r="O69" s="6" t="n">
        <f aca="false">IF(L69&lt;0,O68+1,0)</f>
        <v>1</v>
      </c>
      <c r="P69" s="6" t="n">
        <v>6</v>
      </c>
    </row>
    <row r="70" customFormat="false" ht="15" hidden="false" customHeight="false" outlineLevel="0" collapsed="false">
      <c r="A70" s="6" t="n">
        <v>65</v>
      </c>
      <c r="B70" s="5" t="s">
        <v>76</v>
      </c>
      <c r="C70" s="5" t="s">
        <v>30</v>
      </c>
      <c r="D70" s="11" t="n">
        <v>45839</v>
      </c>
      <c r="E70" s="11" t="n">
        <v>45904</v>
      </c>
      <c r="F70" s="5" t="s">
        <v>75</v>
      </c>
      <c r="G70" s="12" t="n">
        <v>582370.006569642</v>
      </c>
      <c r="H70" s="13" t="n">
        <v>3.457</v>
      </c>
      <c r="I70" s="13" t="n">
        <v>3.081</v>
      </c>
      <c r="J70" s="5" t="s">
        <v>74</v>
      </c>
      <c r="K70" s="8" t="n">
        <v>55.2248450876629</v>
      </c>
      <c r="L70" s="8" t="n">
        <v>60187.8865409371</v>
      </c>
      <c r="M70" s="8" t="n">
        <f aca="false">M69+L70</f>
        <v>478719.683457633</v>
      </c>
      <c r="N70" s="5" t="str">
        <f aca="false">IF(L70&gt;0,"прибыль",IF(L70&lt;0,"убыток","ноль"))</f>
        <v>прибыль</v>
      </c>
      <c r="O70" s="6" t="n">
        <f aca="false">IF(L70&lt;0,O69+1,0)</f>
        <v>0</v>
      </c>
      <c r="P70" s="6" t="n">
        <v>53</v>
      </c>
    </row>
    <row r="71" customFormat="false" ht="15" hidden="false" customHeight="false" outlineLevel="0" collapsed="false">
      <c r="A71" s="6" t="n">
        <v>66</v>
      </c>
      <c r="B71" s="5" t="s">
        <v>76</v>
      </c>
      <c r="C71" s="5" t="s">
        <v>30</v>
      </c>
      <c r="D71" s="11" t="n">
        <v>45923</v>
      </c>
      <c r="E71" s="11" t="n">
        <v>45932</v>
      </c>
      <c r="F71" s="5" t="s">
        <v>75</v>
      </c>
      <c r="G71" s="12" t="n">
        <v>435855.339287912</v>
      </c>
      <c r="H71" s="13" t="n">
        <v>2.799</v>
      </c>
      <c r="I71" s="13" t="n">
        <v>3.445</v>
      </c>
      <c r="J71" s="5" t="s">
        <v>74</v>
      </c>
      <c r="K71" s="8" t="n">
        <v>46.209362984396</v>
      </c>
      <c r="L71" s="8" t="n">
        <v>-52522.79047508</v>
      </c>
      <c r="M71" s="8" t="n">
        <f aca="false">M70+L71</f>
        <v>426196.892982553</v>
      </c>
      <c r="N71" s="5" t="str">
        <f aca="false">IF(L71&gt;0,"прибыль",IF(L71&lt;0,"убыток","ноль"))</f>
        <v>убыток</v>
      </c>
      <c r="O71" s="6" t="n">
        <f aca="false">IF(L71&lt;0,O70+1,0)</f>
        <v>1</v>
      </c>
      <c r="P71" s="6" t="n">
        <v>9</v>
      </c>
    </row>
    <row r="72" customFormat="false" ht="15" hidden="false" customHeight="false" outlineLevel="0" collapsed="false">
      <c r="A72" s="6" t="n">
        <v>67</v>
      </c>
      <c r="B72" s="5" t="s">
        <v>76</v>
      </c>
      <c r="C72" s="5" t="s">
        <v>30</v>
      </c>
      <c r="D72" s="11" t="n">
        <v>45945</v>
      </c>
      <c r="E72" s="11" t="n">
        <v>45951</v>
      </c>
      <c r="F72" s="5" t="s">
        <v>75</v>
      </c>
      <c r="G72" s="12" t="n">
        <v>402234.302276376</v>
      </c>
      <c r="H72" s="13" t="n">
        <v>3.008</v>
      </c>
      <c r="I72" s="13" t="n">
        <v>3.388</v>
      </c>
      <c r="K72" s="8" t="n">
        <v>42.8420372709462</v>
      </c>
      <c r="L72" s="8" t="n">
        <v>-52414.9829034437</v>
      </c>
      <c r="M72" s="8" t="n">
        <f aca="false">M71+L72</f>
        <v>373781.910079109</v>
      </c>
      <c r="N72" s="5" t="str">
        <f aca="false">IF(L72&gt;0,"прибыль",IF(L72&lt;0,"убыток","ноль"))</f>
        <v>убыток</v>
      </c>
      <c r="O72" s="6" t="n">
        <f aca="false">IF(L72&lt;0,O71+1,0)</f>
        <v>2</v>
      </c>
      <c r="P72" s="6" t="n">
        <v>6</v>
      </c>
    </row>
    <row r="73" customFormat="false" ht="15" hidden="false" customHeight="false" outlineLevel="0" collapsed="false">
      <c r="A73" s="6" t="n">
        <v>68</v>
      </c>
      <c r="B73" s="5" t="s">
        <v>76</v>
      </c>
      <c r="C73" s="5" t="s">
        <v>30</v>
      </c>
      <c r="D73" s="11" t="n">
        <v>45962</v>
      </c>
      <c r="E73" s="11" t="n">
        <v>46000</v>
      </c>
      <c r="F73" s="5" t="s">
        <v>73</v>
      </c>
      <c r="G73" s="12" t="n">
        <v>110920.697426329</v>
      </c>
      <c r="H73" s="13" t="n">
        <v>4.103</v>
      </c>
      <c r="I73" s="13" t="n">
        <v>4.846</v>
      </c>
      <c r="J73" s="5" t="s">
        <v>74</v>
      </c>
      <c r="K73" s="8" t="n">
        <v>25.4126932094204</v>
      </c>
      <c r="L73" s="8" t="n">
        <v>17413.9768059533</v>
      </c>
      <c r="M73" s="8" t="n">
        <f aca="false">M72+L73</f>
        <v>391195.886885062</v>
      </c>
      <c r="N73" s="5" t="str">
        <f aca="false">IF(L73&gt;0,"прибыль",IF(L73&lt;0,"убыток","ноль"))</f>
        <v>прибыль</v>
      </c>
      <c r="O73" s="6" t="n">
        <f aca="false">IF(L73&lt;0,O72+1,0)</f>
        <v>0</v>
      </c>
      <c r="P73" s="6" t="n">
        <v>32</v>
      </c>
    </row>
    <row r="74" customFormat="false" ht="15" hidden="false" customHeight="false" outlineLevel="0" collapsed="false">
      <c r="A74" s="6" t="n">
        <v>69</v>
      </c>
      <c r="B74" s="5" t="s">
        <v>76</v>
      </c>
      <c r="C74" s="5" t="s">
        <v>30</v>
      </c>
      <c r="D74" s="11" t="n">
        <v>46000</v>
      </c>
      <c r="E74" s="11" t="n">
        <v>46003</v>
      </c>
      <c r="F74" s="5" t="s">
        <v>73</v>
      </c>
      <c r="G74" s="12" t="n">
        <v>268973.079836586</v>
      </c>
      <c r="H74" s="13" t="n">
        <v>4.846</v>
      </c>
      <c r="I74" s="13" t="n">
        <v>4.243</v>
      </c>
      <c r="K74" s="8" t="n">
        <v>13.6211914361985</v>
      </c>
      <c r="L74" s="8" t="n">
        <v>3437.12769594822</v>
      </c>
      <c r="M74" s="8" t="n">
        <f aca="false">M73+L74</f>
        <v>394633.01458101</v>
      </c>
      <c r="N74" s="5" t="str">
        <f aca="false">IF(L74&gt;0,"прибыль",IF(L74&lt;0,"убыток","ноль"))</f>
        <v>прибыль</v>
      </c>
      <c r="O74" s="6" t="n">
        <f aca="false">IF(L74&lt;0,O73+1,0)</f>
        <v>0</v>
      </c>
      <c r="P74" s="6" t="n">
        <v>3</v>
      </c>
    </row>
    <row r="75" customFormat="false" ht="15" hidden="false" customHeight="false" outlineLevel="0" collapsed="false">
      <c r="A75" s="6" t="n">
        <v>70</v>
      </c>
      <c r="B75" s="5" t="s">
        <v>76</v>
      </c>
      <c r="C75" s="5" t="s">
        <v>30</v>
      </c>
      <c r="D75" s="11" t="n">
        <v>46004</v>
      </c>
      <c r="E75" s="11" t="n">
        <v>46015</v>
      </c>
      <c r="F75" s="5" t="s">
        <v>75</v>
      </c>
      <c r="G75" s="12" t="n">
        <v>244454.008105318</v>
      </c>
      <c r="H75" s="13" t="n">
        <v>4.12</v>
      </c>
      <c r="I75" s="13" t="n">
        <v>4.41</v>
      </c>
      <c r="K75" s="8" t="n">
        <v>25.3683525059051</v>
      </c>
      <c r="L75" s="8" t="n">
        <v>-18484.4022599718</v>
      </c>
      <c r="M75" s="8" t="n">
        <f aca="false">M74+L75</f>
        <v>376148.612321039</v>
      </c>
      <c r="N75" s="5" t="str">
        <f aca="false">IF(L75&gt;0,"прибыль",IF(L75&lt;0,"убыток","ноль"))</f>
        <v>убыток</v>
      </c>
      <c r="O75" s="6" t="n">
        <f aca="false">IF(L75&lt;0,O74+1,0)</f>
        <v>1</v>
      </c>
      <c r="P75" s="6" t="n">
        <v>11</v>
      </c>
    </row>
    <row r="76" customFormat="false" ht="15" hidden="false" customHeight="false" outlineLevel="0" collapsed="false">
      <c r="A76" s="6" t="n">
        <v>71</v>
      </c>
      <c r="B76" s="5" t="s">
        <v>76</v>
      </c>
      <c r="C76" s="5" t="s">
        <v>30</v>
      </c>
      <c r="D76" s="11" t="n">
        <v>46034</v>
      </c>
      <c r="E76" s="11" t="n">
        <v>46042</v>
      </c>
      <c r="F76" s="5" t="s">
        <v>75</v>
      </c>
      <c r="G76" s="12" t="n">
        <v>57898.361134569</v>
      </c>
      <c r="H76" s="13" t="n">
        <v>3.222</v>
      </c>
      <c r="I76" s="13" t="n">
        <v>3.672</v>
      </c>
      <c r="K76" s="8" t="n">
        <v>13.4264000728369</v>
      </c>
      <c r="L76" s="8" t="n">
        <v>-8480.58821204582</v>
      </c>
      <c r="M76" s="8" t="n">
        <f aca="false">M75+L76</f>
        <v>367668.024108993</v>
      </c>
      <c r="N76" s="5" t="str">
        <f aca="false">IF(L76&gt;0,"прибыль",IF(L76&lt;0,"убыток","ноль"))</f>
        <v>убыток</v>
      </c>
      <c r="O76" s="6" t="n">
        <f aca="false">IF(L76&lt;0,O75+1,0)</f>
        <v>2</v>
      </c>
      <c r="P76" s="6" t="n">
        <v>8</v>
      </c>
    </row>
    <row r="77" customFormat="false" ht="15" hidden="false" customHeight="false" outlineLevel="0" collapsed="false">
      <c r="A77" s="6" t="n">
        <v>72</v>
      </c>
      <c r="B77" s="5" t="s">
        <v>76</v>
      </c>
      <c r="C77" s="5" t="s">
        <v>30</v>
      </c>
      <c r="D77" s="11" t="n">
        <v>46042</v>
      </c>
      <c r="E77" s="11" t="n">
        <v>46043</v>
      </c>
      <c r="F77" s="5" t="s">
        <v>75</v>
      </c>
      <c r="G77" s="12" t="n">
        <v>144264.117375628</v>
      </c>
      <c r="H77" s="13" t="n">
        <v>3.672</v>
      </c>
      <c r="I77" s="13" t="n">
        <v>4.176</v>
      </c>
      <c r="K77" s="8" t="n">
        <v>9.40193182570447</v>
      </c>
      <c r="L77" s="8" t="n">
        <v>-43783.9210702874</v>
      </c>
      <c r="M77" s="8" t="n">
        <f aca="false">M76+L77</f>
        <v>323884.103038705</v>
      </c>
      <c r="N77" s="5" t="str">
        <f aca="false">IF(L77&gt;0,"прибыль",IF(L77&lt;0,"убыток","ноль"))</f>
        <v>убыток</v>
      </c>
      <c r="O77" s="6" t="n">
        <f aca="false">IF(L77&lt;0,O76+1,0)</f>
        <v>3</v>
      </c>
      <c r="P77" s="6" t="n">
        <v>1</v>
      </c>
    </row>
    <row r="78" customFormat="false" ht="15" hidden="false" customHeight="false" outlineLevel="0" collapsed="false">
      <c r="A78" s="6" t="n">
        <v>73</v>
      </c>
      <c r="B78" s="5" t="s">
        <v>76</v>
      </c>
      <c r="C78" s="5" t="s">
        <v>30</v>
      </c>
      <c r="D78" s="11" t="n">
        <v>46044</v>
      </c>
      <c r="E78" s="11" t="n">
        <v>46049</v>
      </c>
      <c r="F78" s="5" t="s">
        <v>73</v>
      </c>
      <c r="G78" s="12" t="n">
        <v>42039.3026071494</v>
      </c>
      <c r="H78" s="13" t="n">
        <v>5.341</v>
      </c>
      <c r="I78" s="13" t="n">
        <v>6.546</v>
      </c>
      <c r="K78" s="8" t="n">
        <v>8.68845518214993</v>
      </c>
      <c r="L78" s="8" t="n">
        <v>9001.06519992586</v>
      </c>
      <c r="M78" s="8" t="n">
        <f aca="false">M77+L78</f>
        <v>332885.168238631</v>
      </c>
      <c r="N78" s="5" t="str">
        <f aca="false">IF(L78&gt;0,"прибыль",IF(L78&lt;0,"убыток","ноль"))</f>
        <v>прибыль</v>
      </c>
      <c r="O78" s="6" t="n">
        <f aca="false">IF(L78&lt;0,O77+1,0)</f>
        <v>0</v>
      </c>
      <c r="P78" s="6" t="n">
        <v>5</v>
      </c>
    </row>
    <row r="79" customFormat="false" ht="15" hidden="false" customHeight="false" outlineLevel="0" collapsed="false">
      <c r="A79" s="6" t="n">
        <v>74</v>
      </c>
      <c r="B79" s="5" t="s">
        <v>76</v>
      </c>
      <c r="C79" s="5" t="s">
        <v>30</v>
      </c>
      <c r="D79" s="11" t="n">
        <v>46049</v>
      </c>
      <c r="E79" s="11" t="n">
        <v>46063</v>
      </c>
      <c r="F79" s="5" t="s">
        <v>73</v>
      </c>
      <c r="G79" s="12" t="n">
        <v>80680.7447735916</v>
      </c>
      <c r="H79" s="13" t="n">
        <v>6.546</v>
      </c>
      <c r="I79" s="13" t="n">
        <v>3.111</v>
      </c>
      <c r="J79" s="5" t="s">
        <v>74</v>
      </c>
      <c r="K79" s="8" t="n">
        <v>4.17175842397363</v>
      </c>
      <c r="L79" s="8" t="n">
        <v>2750.25194745709</v>
      </c>
      <c r="M79" s="8" t="n">
        <f aca="false">M78+L79</f>
        <v>335635.420186088</v>
      </c>
      <c r="N79" s="5" t="str">
        <f aca="false">IF(L79&gt;0,"прибыль",IF(L79&lt;0,"убыток","ноль"))</f>
        <v>прибыль</v>
      </c>
      <c r="O79" s="6" t="n">
        <f aca="false">IF(L79&lt;0,O78+1,0)</f>
        <v>0</v>
      </c>
      <c r="P79" s="6" t="n">
        <v>14</v>
      </c>
    </row>
    <row r="80" customFormat="false" ht="15" hidden="false" customHeight="false" outlineLevel="0" collapsed="false">
      <c r="A80" s="6" t="n">
        <v>75</v>
      </c>
      <c r="B80" s="5" t="s">
        <v>76</v>
      </c>
      <c r="C80" s="5" t="s">
        <v>30</v>
      </c>
      <c r="D80" s="11" t="n">
        <v>46078</v>
      </c>
      <c r="E80" s="11" t="n">
        <v>46083</v>
      </c>
      <c r="F80" s="5" t="s">
        <v>75</v>
      </c>
      <c r="G80" s="12" t="n">
        <v>372929.850336012</v>
      </c>
      <c r="H80" s="13" t="n">
        <v>2.915</v>
      </c>
      <c r="I80" s="13" t="n">
        <v>2.94</v>
      </c>
      <c r="J80" s="5" t="s">
        <v>74</v>
      </c>
      <c r="K80" s="8" t="n">
        <v>37.8608963753485</v>
      </c>
      <c r="L80" s="8" t="n">
        <v>-11396.0877313227</v>
      </c>
      <c r="M80" s="8" t="n">
        <f aca="false">M79+L80</f>
        <v>324239.332454766</v>
      </c>
      <c r="N80" s="5" t="str">
        <f aca="false">IF(L80&gt;0,"прибыль",IF(L80&lt;0,"убыток","ноль"))</f>
        <v>убыток</v>
      </c>
      <c r="O80" s="6" t="n">
        <f aca="false">IF(L80&lt;0,O79+1,0)</f>
        <v>1</v>
      </c>
      <c r="P80" s="6" t="n">
        <v>5</v>
      </c>
    </row>
    <row r="81" customFormat="false" ht="15" hidden="false" customHeight="false" outlineLevel="0" collapsed="false">
      <c r="A81" s="6" t="n">
        <v>76</v>
      </c>
      <c r="B81" s="5" t="s">
        <v>76</v>
      </c>
      <c r="C81" s="5" t="s">
        <v>30</v>
      </c>
      <c r="D81" s="11" t="n">
        <v>46112</v>
      </c>
      <c r="E81" s="11" t="n">
        <v>46147</v>
      </c>
      <c r="F81" s="5" t="s">
        <v>75</v>
      </c>
      <c r="G81" s="12" t="n">
        <v>569202.536802407</v>
      </c>
      <c r="H81" s="13" t="n">
        <v>2.928</v>
      </c>
      <c r="I81" s="13" t="n">
        <v>2.857</v>
      </c>
      <c r="J81" s="5" t="s">
        <v>74</v>
      </c>
      <c r="K81" s="8" t="n">
        <v>55.6031782901453</v>
      </c>
      <c r="L81" s="8" t="n">
        <v>26285.9046236177</v>
      </c>
      <c r="M81" s="8" t="n">
        <f aca="false">M80+L81</f>
        <v>350525.237078383</v>
      </c>
      <c r="N81" s="5" t="str">
        <f aca="false">IF(L81&gt;0,"прибыль",IF(L81&lt;0,"убыток","ноль"))</f>
        <v>прибыль</v>
      </c>
      <c r="O81" s="6" t="n">
        <f aca="false">IF(L81&lt;0,O80+1,0)</f>
        <v>0</v>
      </c>
      <c r="P81" s="6" t="n">
        <v>35</v>
      </c>
    </row>
    <row r="82" customFormat="false" ht="15" hidden="false" customHeight="false" outlineLevel="0" collapsed="false">
      <c r="A82" s="6" t="n">
        <v>77</v>
      </c>
      <c r="B82" s="5" t="s">
        <v>76</v>
      </c>
      <c r="C82" s="5" t="s">
        <v>30</v>
      </c>
      <c r="D82" s="11" t="n">
        <v>46158</v>
      </c>
      <c r="E82" s="11" t="n">
        <v>46213</v>
      </c>
      <c r="F82" s="5" t="s">
        <v>73</v>
      </c>
      <c r="G82" s="12" t="n">
        <v>471654.900408983</v>
      </c>
      <c r="H82" s="13" t="n">
        <v>2.963</v>
      </c>
      <c r="I82" s="13" t="n">
        <v>3.02</v>
      </c>
      <c r="J82" s="5" t="s">
        <v>74</v>
      </c>
      <c r="K82" s="8" t="n">
        <v>65.6665843686278</v>
      </c>
      <c r="L82" s="8" t="n">
        <v>-21475.608693464</v>
      </c>
      <c r="M82" s="8" t="n">
        <f aca="false">M81+L82</f>
        <v>329049.628384919</v>
      </c>
      <c r="N82" s="5" t="str">
        <f aca="false">IF(L82&gt;0,"прибыль",IF(L82&lt;0,"убыток","ноль"))</f>
        <v>убыток</v>
      </c>
      <c r="O82" s="6" t="n">
        <f aca="false">IF(L82&lt;0,O81+1,0)</f>
        <v>1</v>
      </c>
      <c r="P82" s="6" t="n">
        <v>53</v>
      </c>
    </row>
    <row r="83" customFormat="false" ht="15" hidden="false" customHeight="false" outlineLevel="0" collapsed="false">
      <c r="A83" s="6" t="n">
        <v>78</v>
      </c>
      <c r="B83" s="5" t="s">
        <v>76</v>
      </c>
      <c r="C83" s="5" t="s">
        <v>30</v>
      </c>
      <c r="D83" s="11" t="n">
        <v>46213</v>
      </c>
      <c r="E83" s="11" t="n">
        <v>46288</v>
      </c>
      <c r="F83" s="5" t="s">
        <v>75</v>
      </c>
      <c r="G83" s="12" t="n">
        <v>714284.997284074</v>
      </c>
      <c r="H83" s="13" t="n">
        <v>3.02</v>
      </c>
      <c r="I83" s="13" t="n">
        <v>3.023</v>
      </c>
      <c r="J83" s="5" t="s">
        <v>74</v>
      </c>
      <c r="K83" s="8" t="n">
        <v>51.1447708394818</v>
      </c>
      <c r="L83" s="8" t="n">
        <v>14191.6043439867</v>
      </c>
      <c r="M83" s="8" t="n">
        <f aca="false">M82+L83</f>
        <v>343241.232728906</v>
      </c>
      <c r="N83" s="5" t="str">
        <f aca="false">IF(L83&gt;0,"прибыль",IF(L83&lt;0,"убыток","ноль"))</f>
        <v>прибыль</v>
      </c>
      <c r="O83" s="6" t="n">
        <f aca="false">IF(L83&lt;0,O82+1,0)</f>
        <v>0</v>
      </c>
      <c r="P83" s="6" t="n">
        <v>69</v>
      </c>
    </row>
    <row r="84" customFormat="false" ht="15" hidden="false" customHeight="false" outlineLevel="0" collapsed="false">
      <c r="A84" s="6" t="n">
        <v>79</v>
      </c>
      <c r="B84" s="5" t="s">
        <v>76</v>
      </c>
      <c r="C84" s="5" t="s">
        <v>30</v>
      </c>
      <c r="D84" s="11" t="n">
        <v>46289</v>
      </c>
      <c r="E84" s="11" t="n">
        <v>46290</v>
      </c>
      <c r="F84" s="5" t="s">
        <v>73</v>
      </c>
      <c r="G84" s="12" t="n">
        <v>83658.0029755942</v>
      </c>
      <c r="H84" s="13" t="n">
        <v>3.053</v>
      </c>
      <c r="I84" s="13" t="n">
        <v>3.183</v>
      </c>
      <c r="K84" s="8" t="n">
        <v>24.76659697035</v>
      </c>
      <c r="L84" s="8" t="n">
        <v>3270.63726122982</v>
      </c>
      <c r="M84" s="8" t="n">
        <f aca="false">M83+L84</f>
        <v>346511.869990136</v>
      </c>
      <c r="N84" s="5" t="str">
        <f aca="false">IF(L84&gt;0,"прибыль",IF(L84&lt;0,"убыток","ноль"))</f>
        <v>прибыль</v>
      </c>
      <c r="O84" s="6" t="n">
        <f aca="false">IF(L84&lt;0,O83+1,0)</f>
        <v>0</v>
      </c>
      <c r="P84" s="6" t="n">
        <v>1</v>
      </c>
    </row>
    <row r="85" customFormat="false" ht="15" hidden="false" customHeight="false" outlineLevel="0" collapsed="false">
      <c r="A85" s="6" t="n">
        <v>80</v>
      </c>
      <c r="B85" s="5" t="s">
        <v>76</v>
      </c>
      <c r="C85" s="5" t="s">
        <v>30</v>
      </c>
      <c r="E85" s="11" t="n">
        <v>46298</v>
      </c>
      <c r="F85" s="5" t="s">
        <v>73</v>
      </c>
      <c r="I85" s="13" t="n">
        <v>3.043</v>
      </c>
      <c r="L85" s="8" t="n">
        <v>3610.75481389754</v>
      </c>
      <c r="M85" s="8" t="n">
        <f aca="false">M84+L85</f>
        <v>350122.624804033</v>
      </c>
      <c r="N85" s="5" t="str">
        <f aca="false">IF(L85&gt;0,"прибыль",IF(L85&lt;0,"убыток","ноль"))</f>
        <v>прибыль</v>
      </c>
      <c r="O85" s="6" t="n">
        <f aca="false">IF(L85&lt;0,O84+1,0)</f>
        <v>0</v>
      </c>
      <c r="Q85" s="5" t="s">
        <v>77</v>
      </c>
    </row>
  </sheetData>
  <autoFilter ref="A5:Q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5" min="4" style="0" width="17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9" min="8" style="0" width="12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7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60"/>
  </cols>
  <sheetData>
    <row r="1" customFormat="false" ht="15" hidden="false" customHeight="false" outlineLevel="0" collapsed="false">
      <c r="A1" s="10" t="s">
        <v>42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A3" s="2" t="s">
        <v>54</v>
      </c>
    </row>
    <row r="5" customFormat="false" ht="30" hidden="false" customHeight="true" outlineLevel="0" collapsed="false">
      <c r="A5" s="3" t="s">
        <v>55</v>
      </c>
      <c r="B5" s="3" t="s">
        <v>56</v>
      </c>
      <c r="C5" s="3" t="s">
        <v>57</v>
      </c>
      <c r="D5" s="3" t="s">
        <v>58</v>
      </c>
      <c r="E5" s="3" t="s">
        <v>59</v>
      </c>
      <c r="F5" s="3" t="s">
        <v>60</v>
      </c>
      <c r="G5" s="3" t="s">
        <v>61</v>
      </c>
      <c r="H5" s="3" t="s">
        <v>62</v>
      </c>
      <c r="I5" s="3" t="s">
        <v>63</v>
      </c>
      <c r="J5" s="3" t="s">
        <v>64</v>
      </c>
      <c r="K5" s="3" t="s">
        <v>65</v>
      </c>
      <c r="L5" s="3" t="s">
        <v>66</v>
      </c>
      <c r="M5" s="3" t="s">
        <v>67</v>
      </c>
      <c r="N5" s="3" t="s">
        <v>68</v>
      </c>
      <c r="O5" s="3" t="s">
        <v>69</v>
      </c>
      <c r="P5" s="3" t="s">
        <v>70</v>
      </c>
      <c r="Q5" s="3" t="s">
        <v>71</v>
      </c>
    </row>
    <row r="6" customFormat="false" ht="15" hidden="false" customHeight="false" outlineLevel="0" collapsed="false">
      <c r="A6" s="6" t="n">
        <v>1</v>
      </c>
      <c r="B6" s="5" t="s">
        <v>72</v>
      </c>
      <c r="C6" s="5" t="s">
        <v>30</v>
      </c>
      <c r="D6" s="11" t="n">
        <v>44042</v>
      </c>
      <c r="E6" s="11" t="n">
        <v>44047</v>
      </c>
      <c r="F6" s="5" t="s">
        <v>73</v>
      </c>
      <c r="G6" s="12" t="n">
        <v>59401.222951665</v>
      </c>
      <c r="H6" s="13" t="n">
        <v>1.903</v>
      </c>
      <c r="I6" s="13" t="n">
        <v>2.1</v>
      </c>
      <c r="K6" s="8" t="n">
        <v>10.7986527482672</v>
      </c>
      <c r="L6" s="8" t="n">
        <v>5849.77839373929</v>
      </c>
      <c r="M6" s="8" t="n">
        <f aca="false">L6</f>
        <v>5849.77839373929</v>
      </c>
      <c r="N6" s="5" t="str">
        <f aca="false">IF(L6&gt;0,"прибыль",IF(L6&lt;0,"убыток","ноль"))</f>
        <v>прибыль</v>
      </c>
      <c r="O6" s="6" t="n">
        <f aca="false">IF(L6&lt;0,1,0)</f>
        <v>0</v>
      </c>
      <c r="P6" s="6" t="n">
        <v>3</v>
      </c>
    </row>
    <row r="7" customFormat="false" ht="15" hidden="false" customHeight="false" outlineLevel="0" collapsed="false">
      <c r="A7" s="6" t="n">
        <v>2</v>
      </c>
      <c r="B7" s="5" t="s">
        <v>72</v>
      </c>
      <c r="C7" s="5" t="s">
        <v>25</v>
      </c>
      <c r="D7" s="11" t="n">
        <v>44042</v>
      </c>
      <c r="E7" s="11" t="n">
        <v>44069</v>
      </c>
      <c r="F7" s="5" t="s">
        <v>75</v>
      </c>
      <c r="G7" s="12" t="n">
        <v>104118.083505311</v>
      </c>
      <c r="H7" s="13" t="n">
        <v>43.78</v>
      </c>
      <c r="I7" s="13" t="n">
        <v>46.02</v>
      </c>
      <c r="J7" s="5" t="s">
        <v>74</v>
      </c>
      <c r="K7" s="8" t="n">
        <v>31.2388402176613</v>
      </c>
      <c r="L7" s="8" t="n">
        <v>-3359.96440134824</v>
      </c>
      <c r="M7" s="8" t="n">
        <f aca="false">M6+L7</f>
        <v>2489.81399239104</v>
      </c>
      <c r="N7" s="5" t="str">
        <f aca="false">IF(L7&gt;0,"прибыль",IF(L7&lt;0,"убыток","ноль"))</f>
        <v>убыток</v>
      </c>
      <c r="O7" s="6" t="n">
        <f aca="false">IF(L7&lt;0,O6+1,0)</f>
        <v>1</v>
      </c>
      <c r="P7" s="6" t="n">
        <v>19</v>
      </c>
    </row>
    <row r="8" customFormat="false" ht="15" hidden="false" customHeight="false" outlineLevel="0" collapsed="false">
      <c r="A8" s="6" t="n">
        <v>3</v>
      </c>
      <c r="B8" s="5" t="s">
        <v>72</v>
      </c>
      <c r="C8" s="5" t="s">
        <v>25</v>
      </c>
      <c r="D8" s="11" t="n">
        <v>44069</v>
      </c>
      <c r="E8" s="11" t="n">
        <v>44083</v>
      </c>
      <c r="F8" s="5" t="s">
        <v>75</v>
      </c>
      <c r="G8" s="12" t="n">
        <v>116812.630969444</v>
      </c>
      <c r="H8" s="13" t="n">
        <v>46.02</v>
      </c>
      <c r="I8" s="13" t="n">
        <v>39.85</v>
      </c>
      <c r="J8" s="5" t="s">
        <v>74</v>
      </c>
      <c r="K8" s="8" t="n">
        <v>5.1671929644211</v>
      </c>
      <c r="L8" s="8" t="n">
        <v>13463.6044880575</v>
      </c>
      <c r="M8" s="8" t="n">
        <f aca="false">M7+L8</f>
        <v>15953.4184804485</v>
      </c>
      <c r="N8" s="5" t="str">
        <f aca="false">IF(L8&gt;0,"прибыль",IF(L8&lt;0,"убыток","ноль"))</f>
        <v>прибыль</v>
      </c>
      <c r="O8" s="6" t="n">
        <f aca="false">IF(L8&lt;0,O7+1,0)</f>
        <v>0</v>
      </c>
      <c r="P8" s="6" t="n">
        <v>10</v>
      </c>
    </row>
    <row r="9" customFormat="false" ht="15" hidden="false" customHeight="false" outlineLevel="0" collapsed="false">
      <c r="A9" s="6" t="n">
        <v>4</v>
      </c>
      <c r="B9" s="5" t="s">
        <v>72</v>
      </c>
      <c r="C9" s="5" t="s">
        <v>25</v>
      </c>
      <c r="D9" s="11" t="n">
        <v>44083</v>
      </c>
      <c r="E9" s="11" t="n">
        <v>44084</v>
      </c>
      <c r="F9" s="5" t="s">
        <v>75</v>
      </c>
      <c r="G9" s="12" t="n">
        <v>296399.28081203</v>
      </c>
      <c r="H9" s="13" t="n">
        <v>39.85</v>
      </c>
      <c r="I9" s="13" t="n">
        <v>40.7</v>
      </c>
      <c r="K9" s="8" t="n">
        <v>26.3000366787301</v>
      </c>
      <c r="L9" s="8" t="n">
        <v>28551.856012734</v>
      </c>
      <c r="M9" s="8" t="n">
        <f aca="false">M8+L9</f>
        <v>44505.2744931825</v>
      </c>
      <c r="N9" s="5" t="str">
        <f aca="false">IF(L9&gt;0,"прибыль",IF(L9&lt;0,"убыток","ноль"))</f>
        <v>прибыль</v>
      </c>
      <c r="O9" s="6" t="n">
        <f aca="false">IF(L9&lt;0,O8+1,0)</f>
        <v>0</v>
      </c>
      <c r="P9" s="6" t="n">
        <v>1</v>
      </c>
    </row>
    <row r="10" customFormat="false" ht="15" hidden="false" customHeight="false" outlineLevel="0" collapsed="false">
      <c r="A10" s="6" t="n">
        <v>5</v>
      </c>
      <c r="B10" s="5" t="s">
        <v>72</v>
      </c>
      <c r="C10" s="5" t="s">
        <v>30</v>
      </c>
      <c r="D10" s="11" t="n">
        <v>44047</v>
      </c>
      <c r="E10" s="11" t="n">
        <v>44084</v>
      </c>
      <c r="F10" s="5" t="s">
        <v>73</v>
      </c>
      <c r="G10" s="12" t="n">
        <v>136215.307016703</v>
      </c>
      <c r="H10" s="13" t="n">
        <v>2.1</v>
      </c>
      <c r="I10" s="13" t="n">
        <v>2.397</v>
      </c>
      <c r="J10" s="5" t="s">
        <v>74</v>
      </c>
      <c r="K10" s="8" t="n">
        <v>16.587897144651</v>
      </c>
      <c r="L10" s="8" t="n">
        <v>8563.46211671653</v>
      </c>
      <c r="M10" s="8" t="n">
        <f aca="false">M9+L10</f>
        <v>53068.7366098991</v>
      </c>
      <c r="N10" s="5" t="str">
        <f aca="false">IF(L10&gt;0,"прибыль",IF(L10&lt;0,"убыток","ноль"))</f>
        <v>прибыль</v>
      </c>
      <c r="O10" s="6" t="n">
        <f aca="false">IF(L10&lt;0,O9+1,0)</f>
        <v>0</v>
      </c>
      <c r="P10" s="6" t="n">
        <v>27</v>
      </c>
    </row>
    <row r="11" customFormat="false" ht="15" hidden="false" customHeight="false" outlineLevel="0" collapsed="false">
      <c r="A11" s="6" t="n">
        <v>6</v>
      </c>
      <c r="B11" s="5" t="s">
        <v>72</v>
      </c>
      <c r="C11" s="5" t="s">
        <v>25</v>
      </c>
      <c r="D11" s="11" t="n">
        <v>44084</v>
      </c>
      <c r="E11" s="11" t="n">
        <v>44085</v>
      </c>
      <c r="F11" s="5" t="s">
        <v>73</v>
      </c>
      <c r="G11" s="12" t="n">
        <v>258179.608811984</v>
      </c>
      <c r="H11" s="13" t="n">
        <v>40.7</v>
      </c>
      <c r="I11" s="13" t="n">
        <v>39.81</v>
      </c>
      <c r="K11" s="8" t="n">
        <v>25.234756739674</v>
      </c>
      <c r="L11" s="8" t="n">
        <v>-6282.86295324181</v>
      </c>
      <c r="M11" s="8" t="n">
        <f aca="false">M10+L11</f>
        <v>46785.8736566573</v>
      </c>
      <c r="N11" s="5" t="str">
        <f aca="false">IF(L11&gt;0,"прибыль",IF(L11&lt;0,"убыток","ноль"))</f>
        <v>убыток</v>
      </c>
      <c r="O11" s="6" t="n">
        <f aca="false">IF(L11&lt;0,O10+1,0)</f>
        <v>1</v>
      </c>
      <c r="P11" s="6" t="n">
        <v>1</v>
      </c>
    </row>
    <row r="12" customFormat="false" ht="15" hidden="false" customHeight="false" outlineLevel="0" collapsed="false">
      <c r="A12" s="6" t="n">
        <v>7</v>
      </c>
      <c r="B12" s="5" t="s">
        <v>72</v>
      </c>
      <c r="C12" s="5" t="s">
        <v>30</v>
      </c>
      <c r="D12" s="11" t="n">
        <v>44084</v>
      </c>
      <c r="E12" s="11" t="n">
        <v>44085</v>
      </c>
      <c r="F12" s="5" t="s">
        <v>75</v>
      </c>
      <c r="G12" s="12" t="n">
        <v>142057.310861281</v>
      </c>
      <c r="H12" s="13" t="n">
        <v>2.397</v>
      </c>
      <c r="I12" s="13" t="n">
        <v>2.312</v>
      </c>
      <c r="K12" s="8" t="n">
        <v>13.8731017499377</v>
      </c>
      <c r="L12" s="8" t="n">
        <v>4495.04712681592</v>
      </c>
      <c r="M12" s="8" t="n">
        <f aca="false">M11+L12</f>
        <v>51280.9207834732</v>
      </c>
      <c r="N12" s="5" t="str">
        <f aca="false">IF(L12&gt;0,"прибыль",IF(L12&lt;0,"убыток","ноль"))</f>
        <v>прибыль</v>
      </c>
      <c r="O12" s="6" t="n">
        <f aca="false">IF(L12&lt;0,O11+1,0)</f>
        <v>0</v>
      </c>
      <c r="P12" s="6" t="n">
        <v>1</v>
      </c>
    </row>
    <row r="13" customFormat="false" ht="15" hidden="false" customHeight="false" outlineLevel="0" collapsed="false">
      <c r="A13" s="6" t="n">
        <v>8</v>
      </c>
      <c r="B13" s="5" t="s">
        <v>72</v>
      </c>
      <c r="C13" s="5" t="s">
        <v>25</v>
      </c>
      <c r="D13" s="11" t="n">
        <v>44085</v>
      </c>
      <c r="E13" s="11" t="n">
        <v>44088</v>
      </c>
      <c r="F13" s="5" t="s">
        <v>75</v>
      </c>
      <c r="G13" s="12" t="n">
        <v>252773.154177998</v>
      </c>
      <c r="H13" s="13" t="n">
        <v>39.81</v>
      </c>
      <c r="I13" s="13" t="n">
        <v>39.93</v>
      </c>
      <c r="K13" s="8" t="n">
        <v>25.2053176130574</v>
      </c>
      <c r="L13" s="8" t="n">
        <v>-1409.67768266748</v>
      </c>
      <c r="M13" s="8" t="n">
        <f aca="false">M12+L13</f>
        <v>49871.2431008057</v>
      </c>
      <c r="N13" s="5" t="str">
        <f aca="false">IF(L13&gt;0,"прибыль",IF(L13&lt;0,"убыток","ноль"))</f>
        <v>убыток</v>
      </c>
      <c r="O13" s="6" t="n">
        <f aca="false">IF(L13&lt;0,O12+1,0)</f>
        <v>1</v>
      </c>
      <c r="P13" s="6" t="n">
        <v>1</v>
      </c>
    </row>
    <row r="14" customFormat="false" ht="15" hidden="false" customHeight="false" outlineLevel="0" collapsed="false">
      <c r="A14" s="6" t="n">
        <v>9</v>
      </c>
      <c r="B14" s="5" t="s">
        <v>72</v>
      </c>
      <c r="C14" s="5" t="s">
        <v>30</v>
      </c>
      <c r="D14" s="11" t="n">
        <v>44085</v>
      </c>
      <c r="E14" s="11" t="n">
        <v>44088</v>
      </c>
      <c r="F14" s="5" t="s">
        <v>73</v>
      </c>
      <c r="G14" s="12" t="n">
        <v>139913.64436604</v>
      </c>
      <c r="H14" s="13" t="n">
        <v>2.312</v>
      </c>
      <c r="I14" s="13" t="n">
        <v>2.32</v>
      </c>
      <c r="K14" s="8" t="n">
        <v>15.1634232372579</v>
      </c>
      <c r="L14" s="8" t="n">
        <v>-45.2904469310813</v>
      </c>
      <c r="M14" s="8" t="n">
        <f aca="false">M13+L14</f>
        <v>49825.9526538746</v>
      </c>
      <c r="N14" s="5" t="str">
        <f aca="false">IF(L14&gt;0,"прибыль",IF(L14&lt;0,"убыток","ноль"))</f>
        <v>убыток</v>
      </c>
      <c r="O14" s="6" t="n">
        <f aca="false">IF(L14&lt;0,O13+1,0)</f>
        <v>2</v>
      </c>
      <c r="P14" s="6" t="n">
        <v>1</v>
      </c>
    </row>
    <row r="15" customFormat="false" ht="15" hidden="false" customHeight="false" outlineLevel="0" collapsed="false">
      <c r="A15" s="6" t="n">
        <v>10</v>
      </c>
      <c r="B15" s="5" t="s">
        <v>72</v>
      </c>
      <c r="C15" s="5" t="s">
        <v>25</v>
      </c>
      <c r="D15" s="11" t="n">
        <v>44088</v>
      </c>
      <c r="E15" s="11" t="n">
        <v>44089</v>
      </c>
      <c r="F15" s="5" t="s">
        <v>73</v>
      </c>
      <c r="G15" s="12" t="n">
        <v>249948.725718095</v>
      </c>
      <c r="H15" s="13" t="n">
        <v>39.93</v>
      </c>
      <c r="I15" s="13" t="n">
        <v>39.6</v>
      </c>
      <c r="K15" s="8" t="n">
        <v>25.0587239512713</v>
      </c>
      <c r="L15" s="8" t="n">
        <v>-2696.73470742946</v>
      </c>
      <c r="M15" s="8" t="n">
        <f aca="false">M14+L15</f>
        <v>47129.2179464452</v>
      </c>
      <c r="N15" s="5" t="str">
        <f aca="false">IF(L15&gt;0,"прибыль",IF(L15&lt;0,"убыток","ноль"))</f>
        <v>убыток</v>
      </c>
      <c r="O15" s="6" t="n">
        <f aca="false">IF(L15&lt;0,O14+1,0)</f>
        <v>3</v>
      </c>
      <c r="P15" s="6" t="n">
        <v>1</v>
      </c>
    </row>
    <row r="16" customFormat="false" ht="15" hidden="false" customHeight="false" outlineLevel="0" collapsed="false">
      <c r="A16" s="6" t="n">
        <v>11</v>
      </c>
      <c r="B16" s="5" t="s">
        <v>72</v>
      </c>
      <c r="C16" s="5" t="s">
        <v>30</v>
      </c>
      <c r="D16" s="11" t="n">
        <v>44088</v>
      </c>
      <c r="E16" s="11" t="n">
        <v>44089</v>
      </c>
      <c r="F16" s="5" t="s">
        <v>75</v>
      </c>
      <c r="G16" s="12" t="n">
        <v>163384.947402812</v>
      </c>
      <c r="H16" s="13" t="n">
        <v>2.32</v>
      </c>
      <c r="I16" s="13" t="n">
        <v>2.308</v>
      </c>
      <c r="K16" s="8" t="n">
        <v>16.0796886071154</v>
      </c>
      <c r="L16" s="8" t="n">
        <v>263.150094491263</v>
      </c>
      <c r="M16" s="8" t="n">
        <f aca="false">M15+L16</f>
        <v>47392.3680409364</v>
      </c>
      <c r="N16" s="5" t="str">
        <f aca="false">IF(L16&gt;0,"прибыль",IF(L16&lt;0,"убыток","ноль"))</f>
        <v>прибыль</v>
      </c>
      <c r="O16" s="6" t="n">
        <f aca="false">IF(L16&lt;0,O15+1,0)</f>
        <v>0</v>
      </c>
      <c r="P16" s="6" t="n">
        <v>1</v>
      </c>
    </row>
    <row r="17" customFormat="false" ht="15" hidden="false" customHeight="false" outlineLevel="0" collapsed="false">
      <c r="A17" s="6" t="n">
        <v>12</v>
      </c>
      <c r="B17" s="5" t="s">
        <v>72</v>
      </c>
      <c r="C17" s="5" t="s">
        <v>25</v>
      </c>
      <c r="D17" s="11" t="n">
        <v>44089</v>
      </c>
      <c r="E17" s="11" t="n">
        <v>44090</v>
      </c>
      <c r="F17" s="5" t="s">
        <v>75</v>
      </c>
      <c r="G17" s="12" t="n">
        <v>253897.42929081</v>
      </c>
      <c r="H17" s="13" t="n">
        <v>39.6</v>
      </c>
      <c r="I17" s="13" t="n">
        <v>40.76</v>
      </c>
      <c r="K17" s="8" t="n">
        <v>24.8450086591315</v>
      </c>
      <c r="L17" s="8" t="n">
        <v>-8119.39145076048</v>
      </c>
      <c r="M17" s="8" t="n">
        <f aca="false">M16+L17</f>
        <v>39272.9765901759</v>
      </c>
      <c r="N17" s="5" t="str">
        <f aca="false">IF(L17&gt;0,"прибыль",IF(L17&lt;0,"убыток","ноль"))</f>
        <v>убыток</v>
      </c>
      <c r="O17" s="6" t="n">
        <f aca="false">IF(L17&lt;0,O16+1,0)</f>
        <v>1</v>
      </c>
      <c r="P17" s="6" t="n">
        <v>1</v>
      </c>
    </row>
    <row r="18" customFormat="false" ht="15" hidden="false" customHeight="false" outlineLevel="0" collapsed="false">
      <c r="A18" s="6" t="n">
        <v>13</v>
      </c>
      <c r="B18" s="5" t="s">
        <v>72</v>
      </c>
      <c r="C18" s="5" t="s">
        <v>30</v>
      </c>
      <c r="D18" s="11" t="n">
        <v>44089</v>
      </c>
      <c r="E18" s="11" t="n">
        <v>44090</v>
      </c>
      <c r="F18" s="5" t="s">
        <v>73</v>
      </c>
      <c r="G18" s="12" t="n">
        <v>158488.054522595</v>
      </c>
      <c r="H18" s="13" t="n">
        <v>2.308</v>
      </c>
      <c r="I18" s="13" t="n">
        <v>2.386</v>
      </c>
      <c r="K18" s="8" t="n">
        <v>16.0491591062895</v>
      </c>
      <c r="L18" s="8" t="n">
        <v>4768.09130052354</v>
      </c>
      <c r="M18" s="8" t="n">
        <f aca="false">M17+L18</f>
        <v>44041.0678906995</v>
      </c>
      <c r="N18" s="5" t="str">
        <f aca="false">IF(L18&gt;0,"прибыль",IF(L18&lt;0,"убыток","ноль"))</f>
        <v>прибыль</v>
      </c>
      <c r="O18" s="6" t="n">
        <f aca="false">IF(L18&lt;0,O17+1,0)</f>
        <v>0</v>
      </c>
      <c r="P18" s="6" t="n">
        <v>1</v>
      </c>
    </row>
    <row r="19" customFormat="false" ht="15" hidden="false" customHeight="false" outlineLevel="0" collapsed="false">
      <c r="A19" s="6" t="n">
        <v>14</v>
      </c>
      <c r="B19" s="5" t="s">
        <v>72</v>
      </c>
      <c r="C19" s="5" t="s">
        <v>30</v>
      </c>
      <c r="D19" s="11" t="n">
        <v>44090</v>
      </c>
      <c r="E19" s="11" t="n">
        <v>44098</v>
      </c>
      <c r="F19" s="5" t="s">
        <v>75</v>
      </c>
      <c r="G19" s="12" t="n">
        <v>76504.6333828086</v>
      </c>
      <c r="H19" s="13" t="n">
        <v>2.386</v>
      </c>
      <c r="I19" s="13" t="n">
        <v>2.199</v>
      </c>
      <c r="K19" s="8" t="n">
        <v>3.54348395100472</v>
      </c>
      <c r="L19" s="8" t="n">
        <v>5631.41087876326</v>
      </c>
      <c r="M19" s="8" t="n">
        <f aca="false">M18+L19</f>
        <v>49672.4787694628</v>
      </c>
      <c r="N19" s="5" t="str">
        <f aca="false">IF(L19&gt;0,"прибыль",IF(L19&lt;0,"убыток","ноль"))</f>
        <v>прибыль</v>
      </c>
      <c r="O19" s="6" t="n">
        <f aca="false">IF(L19&lt;0,O18+1,0)</f>
        <v>0</v>
      </c>
      <c r="P19" s="6" t="n">
        <v>6</v>
      </c>
    </row>
    <row r="20" customFormat="false" ht="15" hidden="false" customHeight="false" outlineLevel="0" collapsed="false">
      <c r="A20" s="6" t="n">
        <v>15</v>
      </c>
      <c r="B20" s="5" t="s">
        <v>72</v>
      </c>
      <c r="C20" s="5" t="s">
        <v>25</v>
      </c>
      <c r="D20" s="11" t="n">
        <v>44090</v>
      </c>
      <c r="E20" s="11" t="n">
        <v>44102</v>
      </c>
      <c r="F20" s="5" t="s">
        <v>73</v>
      </c>
      <c r="G20" s="12" t="n">
        <v>234908.197449719</v>
      </c>
      <c r="H20" s="13" t="n">
        <v>40.76</v>
      </c>
      <c r="I20" s="13" t="n">
        <v>41.86</v>
      </c>
      <c r="K20" s="8" t="n">
        <v>22.231125916271</v>
      </c>
      <c r="L20" s="8" t="n">
        <v>5657.99905040301</v>
      </c>
      <c r="M20" s="8" t="n">
        <f aca="false">M19+L20</f>
        <v>55330.4778198658</v>
      </c>
      <c r="N20" s="5" t="str">
        <f aca="false">IF(L20&gt;0,"прибыль",IF(L20&lt;0,"убыток","ноль"))</f>
        <v>прибыль</v>
      </c>
      <c r="O20" s="6" t="n">
        <f aca="false">IF(L20&lt;0,O19+1,0)</f>
        <v>0</v>
      </c>
      <c r="P20" s="6" t="n">
        <v>8</v>
      </c>
    </row>
    <row r="21" customFormat="false" ht="15" hidden="false" customHeight="false" outlineLevel="0" collapsed="false">
      <c r="A21" s="6" t="n">
        <v>16</v>
      </c>
      <c r="B21" s="5" t="s">
        <v>72</v>
      </c>
      <c r="C21" s="5" t="s">
        <v>30</v>
      </c>
      <c r="D21" s="11" t="n">
        <v>44098</v>
      </c>
      <c r="E21" s="11" t="n">
        <v>44102</v>
      </c>
      <c r="F21" s="5" t="s">
        <v>75</v>
      </c>
      <c r="G21" s="12" t="n">
        <v>81206.3537607564</v>
      </c>
      <c r="H21" s="13" t="n">
        <v>2.199</v>
      </c>
      <c r="I21" s="13" t="n">
        <v>2.138</v>
      </c>
      <c r="K21" s="8" t="n">
        <v>7.41668720729235</v>
      </c>
      <c r="L21" s="8" t="n">
        <v>8060.48684065319</v>
      </c>
      <c r="M21" s="8" t="n">
        <f aca="false">M20+L21</f>
        <v>63390.964660519</v>
      </c>
      <c r="N21" s="5" t="str">
        <f aca="false">IF(L21&gt;0,"прибыль",IF(L21&lt;0,"убыток","ноль"))</f>
        <v>прибыль</v>
      </c>
      <c r="O21" s="6" t="n">
        <f aca="false">IF(L21&lt;0,O20+1,0)</f>
        <v>0</v>
      </c>
      <c r="P21" s="6" t="n">
        <v>2</v>
      </c>
    </row>
    <row r="22" customFormat="false" ht="15" hidden="false" customHeight="false" outlineLevel="0" collapsed="false">
      <c r="A22" s="6" t="n">
        <v>17</v>
      </c>
      <c r="B22" s="5" t="s">
        <v>72</v>
      </c>
      <c r="C22" s="5" t="s">
        <v>25</v>
      </c>
      <c r="D22" s="11" t="n">
        <v>44102</v>
      </c>
      <c r="E22" s="11" t="n">
        <v>44103</v>
      </c>
      <c r="F22" s="5" t="s">
        <v>75</v>
      </c>
      <c r="G22" s="12" t="n">
        <v>204034.090699382</v>
      </c>
      <c r="H22" s="13" t="n">
        <v>41.86</v>
      </c>
      <c r="I22" s="13" t="n">
        <v>42.5</v>
      </c>
      <c r="K22" s="8" t="n">
        <v>20.403337099502</v>
      </c>
      <c r="L22" s="8" t="n">
        <v>-3742.67296424658</v>
      </c>
      <c r="M22" s="8" t="n">
        <f aca="false">M21+L22</f>
        <v>59648.2916962724</v>
      </c>
      <c r="N22" s="5" t="str">
        <f aca="false">IF(L22&gt;0,"прибыль",IF(L22&lt;0,"убыток","ноль"))</f>
        <v>убыток</v>
      </c>
      <c r="O22" s="6" t="n">
        <f aca="false">IF(L22&lt;0,O21+1,0)</f>
        <v>1</v>
      </c>
      <c r="P22" s="6" t="n">
        <v>1</v>
      </c>
    </row>
    <row r="23" customFormat="false" ht="15" hidden="false" customHeight="false" outlineLevel="0" collapsed="false">
      <c r="A23" s="6" t="n">
        <v>18</v>
      </c>
      <c r="B23" s="5" t="s">
        <v>72</v>
      </c>
      <c r="C23" s="5" t="s">
        <v>30</v>
      </c>
      <c r="D23" s="11" t="n">
        <v>44102</v>
      </c>
      <c r="E23" s="11" t="n">
        <v>44103</v>
      </c>
      <c r="F23" s="5" t="s">
        <v>73</v>
      </c>
      <c r="G23" s="12" t="n">
        <v>75195.293912951</v>
      </c>
      <c r="H23" s="13" t="n">
        <v>2.138</v>
      </c>
      <c r="I23" s="13" t="n">
        <v>2.768</v>
      </c>
      <c r="J23" s="5" t="s">
        <v>74</v>
      </c>
      <c r="K23" s="8" t="n">
        <v>7.46508548712189</v>
      </c>
      <c r="L23" s="8" t="n">
        <v>-511.560632917835</v>
      </c>
      <c r="M23" s="8" t="n">
        <f aca="false">M22+L23</f>
        <v>59136.7310633545</v>
      </c>
      <c r="N23" s="5" t="str">
        <f aca="false">IF(L23&gt;0,"прибыль",IF(L23&lt;0,"убыток","ноль"))</f>
        <v>убыток</v>
      </c>
      <c r="O23" s="6" t="n">
        <f aca="false">IF(L23&lt;0,O22+1,0)</f>
        <v>2</v>
      </c>
      <c r="P23" s="6" t="n">
        <v>1</v>
      </c>
    </row>
    <row r="24" customFormat="false" ht="15" hidden="false" customHeight="false" outlineLevel="0" collapsed="false">
      <c r="A24" s="6" t="n">
        <v>19</v>
      </c>
      <c r="B24" s="5" t="s">
        <v>72</v>
      </c>
      <c r="C24" s="5" t="s">
        <v>25</v>
      </c>
      <c r="D24" s="11" t="n">
        <v>44103</v>
      </c>
      <c r="E24" s="11" t="n">
        <v>44145</v>
      </c>
      <c r="F24" s="5" t="s">
        <v>73</v>
      </c>
      <c r="G24" s="12" t="n">
        <v>66879.6636447261</v>
      </c>
      <c r="H24" s="13" t="n">
        <v>42.5</v>
      </c>
      <c r="I24" s="13" t="n">
        <v>42.29</v>
      </c>
      <c r="J24" s="5" t="s">
        <v>74</v>
      </c>
      <c r="K24" s="8" t="n">
        <v>5.96550502362625</v>
      </c>
      <c r="L24" s="8" t="n">
        <v>-1675.38947306835</v>
      </c>
      <c r="M24" s="8" t="n">
        <f aca="false">M23+L24</f>
        <v>57461.3415902862</v>
      </c>
      <c r="N24" s="5" t="str">
        <f aca="false">IF(L24&gt;0,"прибыль",IF(L24&lt;0,"убыток","ноль"))</f>
        <v>убыток</v>
      </c>
      <c r="O24" s="6" t="n">
        <f aca="false">IF(L24&lt;0,O23+1,0)</f>
        <v>3</v>
      </c>
      <c r="P24" s="6" t="n">
        <v>29</v>
      </c>
    </row>
    <row r="25" customFormat="false" ht="15" hidden="false" customHeight="false" outlineLevel="0" collapsed="false">
      <c r="A25" s="6" t="n">
        <v>20</v>
      </c>
      <c r="B25" s="5" t="s">
        <v>72</v>
      </c>
      <c r="C25" s="5" t="s">
        <v>25</v>
      </c>
      <c r="D25" s="11" t="n">
        <v>44145</v>
      </c>
      <c r="E25" s="11" t="n">
        <v>44202</v>
      </c>
      <c r="F25" s="5" t="s">
        <v>73</v>
      </c>
      <c r="G25" s="12" t="n">
        <v>108133.145514714</v>
      </c>
      <c r="H25" s="13" t="n">
        <v>42.29</v>
      </c>
      <c r="I25" s="13" t="n">
        <v>53.65</v>
      </c>
      <c r="J25" s="5" t="s">
        <v>74</v>
      </c>
      <c r="K25" s="8" t="n">
        <v>13.3871203197969</v>
      </c>
      <c r="L25" s="8" t="n">
        <v>17749.9995769376</v>
      </c>
      <c r="M25" s="8" t="n">
        <f aca="false">M24+L25</f>
        <v>75211.3411672238</v>
      </c>
      <c r="N25" s="5" t="str">
        <f aca="false">IF(L25&gt;0,"прибыль",IF(L25&lt;0,"убыток","ноль"))</f>
        <v>прибыль</v>
      </c>
      <c r="O25" s="6" t="n">
        <f aca="false">IF(L25&lt;0,O24+1,0)</f>
        <v>0</v>
      </c>
      <c r="P25" s="6" t="n">
        <v>39</v>
      </c>
    </row>
    <row r="26" customFormat="false" ht="15" hidden="false" customHeight="false" outlineLevel="0" collapsed="false">
      <c r="A26" s="6" t="n">
        <v>21</v>
      </c>
      <c r="B26" s="5" t="s">
        <v>72</v>
      </c>
      <c r="C26" s="5" t="s">
        <v>30</v>
      </c>
      <c r="D26" s="11" t="n">
        <v>44103</v>
      </c>
      <c r="E26" s="11" t="n">
        <v>44232</v>
      </c>
      <c r="F26" s="5" t="s">
        <v>75</v>
      </c>
      <c r="G26" s="12" t="n">
        <v>40905.2207785462</v>
      </c>
      <c r="H26" s="13" t="n">
        <v>2.768</v>
      </c>
      <c r="I26" s="13" t="n">
        <v>2.968</v>
      </c>
      <c r="J26" s="5" t="s">
        <v>74</v>
      </c>
      <c r="K26" s="8" t="n">
        <v>6.88313994570296</v>
      </c>
      <c r="L26" s="8" t="n">
        <v>4701.12122069131</v>
      </c>
      <c r="M26" s="8" t="n">
        <f aca="false">M25+L26</f>
        <v>79912.4623879151</v>
      </c>
      <c r="N26" s="5" t="str">
        <f aca="false">IF(L26&gt;0,"прибыль",IF(L26&lt;0,"убыток","ноль"))</f>
        <v>прибыль</v>
      </c>
      <c r="O26" s="6" t="n">
        <f aca="false">IF(L26&lt;0,O25+1,0)</f>
        <v>0</v>
      </c>
      <c r="P26" s="6" t="n">
        <v>89</v>
      </c>
    </row>
    <row r="27" customFormat="false" ht="15" hidden="false" customHeight="false" outlineLevel="0" collapsed="false">
      <c r="A27" s="6" t="n">
        <v>22</v>
      </c>
      <c r="B27" s="5" t="s">
        <v>72</v>
      </c>
      <c r="C27" s="5" t="s">
        <v>25</v>
      </c>
      <c r="D27" s="11" t="n">
        <v>44202</v>
      </c>
      <c r="E27" s="11" t="n">
        <v>44252</v>
      </c>
      <c r="F27" s="5" t="s">
        <v>73</v>
      </c>
      <c r="G27" s="12" t="n">
        <v>64299.8490061156</v>
      </c>
      <c r="H27" s="13" t="n">
        <v>53.65</v>
      </c>
      <c r="I27" s="13" t="n">
        <v>67.09</v>
      </c>
      <c r="J27" s="5" t="s">
        <v>74</v>
      </c>
      <c r="K27" s="8" t="n">
        <v>8.54169145445893</v>
      </c>
      <c r="L27" s="8" t="n">
        <v>22823.4131230304</v>
      </c>
      <c r="M27" s="8" t="n">
        <f aca="false">M26+L27</f>
        <v>102735.875510946</v>
      </c>
      <c r="N27" s="5" t="str">
        <f aca="false">IF(L27&gt;0,"прибыль",IF(L27&lt;0,"убыток","ноль"))</f>
        <v>прибыль</v>
      </c>
      <c r="O27" s="6" t="n">
        <f aca="false">IF(L27&lt;0,O26+1,0)</f>
        <v>0</v>
      </c>
      <c r="P27" s="6" t="n">
        <v>35</v>
      </c>
    </row>
    <row r="28" customFormat="false" ht="15" hidden="false" customHeight="false" outlineLevel="0" collapsed="false">
      <c r="A28" s="6" t="n">
        <v>23</v>
      </c>
      <c r="B28" s="5" t="s">
        <v>72</v>
      </c>
      <c r="C28" s="5" t="s">
        <v>25</v>
      </c>
      <c r="D28" s="11" t="n">
        <v>44252</v>
      </c>
      <c r="E28" s="11" t="n">
        <v>44260</v>
      </c>
      <c r="F28" s="5" t="s">
        <v>73</v>
      </c>
      <c r="G28" s="12" t="n">
        <v>61304.5557254613</v>
      </c>
      <c r="H28" s="13" t="n">
        <v>67.09</v>
      </c>
      <c r="I28" s="13" t="n">
        <v>67.19</v>
      </c>
      <c r="J28" s="5" t="s">
        <v>74</v>
      </c>
      <c r="K28" s="8" t="n">
        <v>4.33238727534547</v>
      </c>
      <c r="L28" s="8" t="n">
        <v>25338.8573941728</v>
      </c>
      <c r="M28" s="8" t="n">
        <f aca="false">M27+L28</f>
        <v>128074.732905118</v>
      </c>
      <c r="N28" s="5" t="str">
        <f aca="false">IF(L28&gt;0,"прибыль",IF(L28&lt;0,"убыток","ноль"))</f>
        <v>прибыль</v>
      </c>
      <c r="O28" s="6" t="n">
        <f aca="false">IF(L28&lt;0,O27+1,0)</f>
        <v>0</v>
      </c>
      <c r="P28" s="6" t="n">
        <v>6</v>
      </c>
    </row>
    <row r="29" customFormat="false" ht="15" hidden="false" customHeight="false" outlineLevel="0" collapsed="false">
      <c r="A29" s="6" t="n">
        <v>24</v>
      </c>
      <c r="B29" s="5" t="s">
        <v>72</v>
      </c>
      <c r="C29" s="5" t="s">
        <v>25</v>
      </c>
      <c r="D29" s="11" t="n">
        <v>44260</v>
      </c>
      <c r="E29" s="11" t="n">
        <v>44274</v>
      </c>
      <c r="F29" s="5" t="s">
        <v>73</v>
      </c>
      <c r="G29" s="12" t="n">
        <v>53802.1990684856</v>
      </c>
      <c r="H29" s="13" t="n">
        <v>67.19</v>
      </c>
      <c r="I29" s="13" t="n">
        <v>62.87</v>
      </c>
      <c r="K29" s="8" t="n">
        <v>3.55600567077453</v>
      </c>
      <c r="L29" s="8" t="n">
        <v>17314.3583413341</v>
      </c>
      <c r="M29" s="8" t="n">
        <f aca="false">M28+L29</f>
        <v>145389.091246452</v>
      </c>
      <c r="N29" s="5" t="str">
        <f aca="false">IF(L29&gt;0,"прибыль",IF(L29&lt;0,"убыток","ноль"))</f>
        <v>прибыль</v>
      </c>
      <c r="O29" s="6" t="n">
        <f aca="false">IF(L29&lt;0,O28+1,0)</f>
        <v>0</v>
      </c>
      <c r="P29" s="6" t="n">
        <v>9</v>
      </c>
    </row>
    <row r="30" customFormat="false" ht="15" hidden="false" customHeight="false" outlineLevel="0" collapsed="false">
      <c r="A30" s="6" t="n">
        <v>25</v>
      </c>
      <c r="B30" s="5" t="s">
        <v>72</v>
      </c>
      <c r="C30" s="5" t="s">
        <v>25</v>
      </c>
      <c r="D30" s="11" t="n">
        <v>44274</v>
      </c>
      <c r="E30" s="11" t="n">
        <v>44284</v>
      </c>
      <c r="F30" s="5" t="s">
        <v>73</v>
      </c>
      <c r="G30" s="12" t="n">
        <v>29418.9410581888</v>
      </c>
      <c r="H30" s="13" t="n">
        <v>62.87</v>
      </c>
      <c r="I30" s="13" t="n">
        <v>64.4</v>
      </c>
      <c r="K30" s="8" t="n">
        <v>1.99097073479447</v>
      </c>
      <c r="L30" s="8" t="n">
        <v>10398.4826669657</v>
      </c>
      <c r="M30" s="8" t="n">
        <f aca="false">M29+L30</f>
        <v>155787.573913418</v>
      </c>
      <c r="N30" s="5" t="str">
        <f aca="false">IF(L30&gt;0,"прибыль",IF(L30&lt;0,"убыток","ноль"))</f>
        <v>прибыль</v>
      </c>
      <c r="O30" s="6" t="n">
        <f aca="false">IF(L30&lt;0,O29+1,0)</f>
        <v>0</v>
      </c>
      <c r="P30" s="6" t="n">
        <v>6</v>
      </c>
    </row>
    <row r="31" customFormat="false" ht="15" hidden="false" customHeight="false" outlineLevel="0" collapsed="false">
      <c r="A31" s="6" t="n">
        <v>26</v>
      </c>
      <c r="B31" s="5" t="s">
        <v>72</v>
      </c>
      <c r="C31" s="5" t="s">
        <v>30</v>
      </c>
      <c r="D31" s="11" t="n">
        <v>44232</v>
      </c>
      <c r="E31" s="11" t="n">
        <v>44335</v>
      </c>
      <c r="F31" s="5" t="s">
        <v>75</v>
      </c>
      <c r="G31" s="12" t="n">
        <v>80069.0451847237</v>
      </c>
      <c r="H31" s="13" t="n">
        <v>2.968</v>
      </c>
      <c r="I31" s="13" t="n">
        <v>3.003</v>
      </c>
      <c r="J31" s="5" t="s">
        <v>74</v>
      </c>
      <c r="K31" s="8" t="n">
        <v>13.3437423815264</v>
      </c>
      <c r="L31" s="8" t="n">
        <v>1480.13863422351</v>
      </c>
      <c r="M31" s="8" t="n">
        <f aca="false">M30+L31</f>
        <v>157267.712547642</v>
      </c>
      <c r="N31" s="5" t="str">
        <f aca="false">IF(L31&gt;0,"прибыль",IF(L31&lt;0,"убыток","ноль"))</f>
        <v>прибыль</v>
      </c>
      <c r="O31" s="6" t="n">
        <f aca="false">IF(L31&lt;0,O30+1,0)</f>
        <v>0</v>
      </c>
      <c r="P31" s="6" t="n">
        <v>71</v>
      </c>
    </row>
    <row r="32" customFormat="false" ht="15" hidden="false" customHeight="false" outlineLevel="0" collapsed="false">
      <c r="A32" s="6" t="n">
        <v>27</v>
      </c>
      <c r="B32" s="5" t="s">
        <v>72</v>
      </c>
      <c r="C32" s="5" t="s">
        <v>25</v>
      </c>
      <c r="D32" s="11" t="n">
        <v>44284</v>
      </c>
      <c r="E32" s="11" t="n">
        <v>44340</v>
      </c>
      <c r="F32" s="5" t="s">
        <v>73</v>
      </c>
      <c r="G32" s="12" t="n">
        <v>66622.328249028</v>
      </c>
      <c r="H32" s="13" t="n">
        <v>64.4</v>
      </c>
      <c r="I32" s="13" t="n">
        <v>66.74</v>
      </c>
      <c r="J32" s="5" t="s">
        <v>74</v>
      </c>
      <c r="K32" s="8" t="n">
        <v>12.7650568931785</v>
      </c>
      <c r="L32" s="8" t="n">
        <v>9912.89613306272</v>
      </c>
      <c r="M32" s="8" t="n">
        <f aca="false">M31+L32</f>
        <v>167180.608680704</v>
      </c>
      <c r="N32" s="5" t="str">
        <f aca="false">IF(L32&gt;0,"прибыль",IF(L32&lt;0,"убыток","ноль"))</f>
        <v>прибыль</v>
      </c>
      <c r="O32" s="6" t="n">
        <f aca="false">IF(L32&lt;0,O31+1,0)</f>
        <v>0</v>
      </c>
      <c r="P32" s="6" t="n">
        <v>39</v>
      </c>
    </row>
    <row r="33" customFormat="false" ht="15" hidden="false" customHeight="false" outlineLevel="0" collapsed="false">
      <c r="A33" s="6" t="n">
        <v>28</v>
      </c>
      <c r="B33" s="5" t="s">
        <v>72</v>
      </c>
      <c r="C33" s="5" t="s">
        <v>25</v>
      </c>
      <c r="D33" s="11" t="n">
        <v>44340</v>
      </c>
      <c r="E33" s="11" t="n">
        <v>44384</v>
      </c>
      <c r="F33" s="5" t="s">
        <v>73</v>
      </c>
      <c r="G33" s="12" t="n">
        <v>181167.975363262</v>
      </c>
      <c r="H33" s="13" t="n">
        <v>66.74</v>
      </c>
      <c r="I33" s="13" t="n">
        <v>74.85</v>
      </c>
      <c r="J33" s="5" t="s">
        <v>74</v>
      </c>
      <c r="K33" s="8" t="n">
        <v>26.5807616743815</v>
      </c>
      <c r="L33" s="8" t="n">
        <v>20939.5517089414</v>
      </c>
      <c r="M33" s="8" t="n">
        <f aca="false">M32+L33</f>
        <v>188120.160389646</v>
      </c>
      <c r="N33" s="5" t="str">
        <f aca="false">IF(L33&gt;0,"прибыль",IF(L33&lt;0,"убыток","ноль"))</f>
        <v>прибыль</v>
      </c>
      <c r="O33" s="6" t="n">
        <f aca="false">IF(L33&lt;0,O32+1,0)</f>
        <v>0</v>
      </c>
      <c r="P33" s="6" t="n">
        <v>32</v>
      </c>
    </row>
    <row r="34" customFormat="false" ht="15" hidden="false" customHeight="false" outlineLevel="0" collapsed="false">
      <c r="A34" s="6" t="n">
        <v>29</v>
      </c>
      <c r="B34" s="5" t="s">
        <v>72</v>
      </c>
      <c r="C34" s="5" t="s">
        <v>30</v>
      </c>
      <c r="D34" s="11" t="n">
        <v>44335</v>
      </c>
      <c r="E34" s="11" t="n">
        <v>44385</v>
      </c>
      <c r="F34" s="5" t="s">
        <v>75</v>
      </c>
      <c r="G34" s="12" t="n">
        <v>48777.8512810895</v>
      </c>
      <c r="H34" s="13" t="n">
        <v>3.003</v>
      </c>
      <c r="I34" s="13" t="n">
        <v>3.57</v>
      </c>
      <c r="J34" s="5" t="s">
        <v>74</v>
      </c>
      <c r="K34" s="8" t="n">
        <v>2.68518546012994</v>
      </c>
      <c r="L34" s="8" t="n">
        <v>-4928.54310696942</v>
      </c>
      <c r="M34" s="8" t="n">
        <f aca="false">M33+L34</f>
        <v>183191.617282676</v>
      </c>
      <c r="N34" s="5" t="str">
        <f aca="false">IF(L34&gt;0,"прибыль",IF(L34&lt;0,"убыток","ноль"))</f>
        <v>убыток</v>
      </c>
      <c r="O34" s="6" t="n">
        <f aca="false">IF(L34&lt;0,O33+1,0)</f>
        <v>1</v>
      </c>
      <c r="P34" s="6" t="n">
        <v>36</v>
      </c>
    </row>
    <row r="35" customFormat="false" ht="15" hidden="false" customHeight="false" outlineLevel="0" collapsed="false">
      <c r="A35" s="6" t="n">
        <v>30</v>
      </c>
      <c r="B35" s="5" t="s">
        <v>72</v>
      </c>
      <c r="C35" s="5" t="s">
        <v>25</v>
      </c>
      <c r="D35" s="11" t="n">
        <v>44384</v>
      </c>
      <c r="E35" s="11" t="n">
        <v>44397</v>
      </c>
      <c r="F35" s="5" t="s">
        <v>73</v>
      </c>
      <c r="G35" s="12" t="n">
        <v>356563.758360256</v>
      </c>
      <c r="H35" s="13" t="n">
        <v>74.85</v>
      </c>
      <c r="I35" s="13" t="n">
        <v>68.71</v>
      </c>
      <c r="K35" s="8" t="n">
        <v>30.5927634240355</v>
      </c>
      <c r="L35" s="8" t="n">
        <v>8468.87524459328</v>
      </c>
      <c r="M35" s="8" t="n">
        <f aca="false">M34+L35</f>
        <v>191660.49252727</v>
      </c>
      <c r="N35" s="5" t="str">
        <f aca="false">IF(L35&gt;0,"прибыль",IF(L35&lt;0,"убыток","ноль"))</f>
        <v>прибыль</v>
      </c>
      <c r="O35" s="6" t="n">
        <f aca="false">IF(L35&lt;0,O34+1,0)</f>
        <v>0</v>
      </c>
      <c r="P35" s="6" t="n">
        <v>9</v>
      </c>
    </row>
    <row r="36" customFormat="false" ht="15" hidden="false" customHeight="false" outlineLevel="0" collapsed="false">
      <c r="A36" s="6" t="n">
        <v>31</v>
      </c>
      <c r="B36" s="5" t="s">
        <v>72</v>
      </c>
      <c r="C36" s="5" t="s">
        <v>30</v>
      </c>
      <c r="D36" s="11" t="n">
        <v>44385</v>
      </c>
      <c r="E36" s="11" t="n">
        <v>44397</v>
      </c>
      <c r="F36" s="5" t="s">
        <v>75</v>
      </c>
      <c r="G36" s="12" t="n">
        <v>194623.261451117</v>
      </c>
      <c r="H36" s="13" t="n">
        <v>3.57</v>
      </c>
      <c r="I36" s="13" t="n">
        <v>3.752</v>
      </c>
      <c r="K36" s="8" t="n">
        <v>23.023003320296</v>
      </c>
      <c r="L36" s="8" t="n">
        <v>-30579.2581222058</v>
      </c>
      <c r="M36" s="8" t="n">
        <f aca="false">M35+L36</f>
        <v>161081.234405064</v>
      </c>
      <c r="N36" s="5" t="str">
        <f aca="false">IF(L36&gt;0,"прибыль",IF(L36&lt;0,"убыток","ноль"))</f>
        <v>убыток</v>
      </c>
      <c r="O36" s="6" t="n">
        <f aca="false">IF(L36&lt;0,O35+1,0)</f>
        <v>1</v>
      </c>
      <c r="P36" s="6" t="n">
        <v>8</v>
      </c>
    </row>
    <row r="37" customFormat="false" ht="15" hidden="false" customHeight="false" outlineLevel="0" collapsed="false">
      <c r="A37" s="6" t="n">
        <v>32</v>
      </c>
      <c r="B37" s="5" t="s">
        <v>72</v>
      </c>
      <c r="C37" s="5" t="s">
        <v>25</v>
      </c>
      <c r="D37" s="11" t="n">
        <v>44397</v>
      </c>
      <c r="E37" s="11" t="n">
        <v>44399</v>
      </c>
      <c r="F37" s="5" t="s">
        <v>75</v>
      </c>
      <c r="G37" s="12" t="n">
        <v>246792.042112437</v>
      </c>
      <c r="H37" s="13" t="n">
        <v>68.71</v>
      </c>
      <c r="I37" s="13" t="n">
        <v>72.18</v>
      </c>
      <c r="K37" s="8" t="n">
        <v>23.5135183748891</v>
      </c>
      <c r="L37" s="8" t="n">
        <v>-13175.6164271208</v>
      </c>
      <c r="M37" s="8" t="n">
        <f aca="false">M36+L37</f>
        <v>147905.617977943</v>
      </c>
      <c r="N37" s="5" t="str">
        <f aca="false">IF(L37&gt;0,"прибыль",IF(L37&lt;0,"убыток","ноль"))</f>
        <v>убыток</v>
      </c>
      <c r="O37" s="6" t="n">
        <f aca="false">IF(L37&lt;0,O36+1,0)</f>
        <v>2</v>
      </c>
      <c r="P37" s="6" t="n">
        <v>2</v>
      </c>
    </row>
    <row r="38" customFormat="false" ht="15" hidden="false" customHeight="false" outlineLevel="0" collapsed="false">
      <c r="A38" s="6" t="n">
        <v>33</v>
      </c>
      <c r="B38" s="5" t="s">
        <v>72</v>
      </c>
      <c r="C38" s="5" t="s">
        <v>30</v>
      </c>
      <c r="D38" s="11" t="n">
        <v>44397</v>
      </c>
      <c r="E38" s="11" t="n">
        <v>44399</v>
      </c>
      <c r="F38" s="5" t="s">
        <v>73</v>
      </c>
      <c r="G38" s="12" t="n">
        <v>235280.569835918</v>
      </c>
      <c r="H38" s="13" t="n">
        <v>3.752</v>
      </c>
      <c r="I38" s="13" t="n">
        <v>3.907</v>
      </c>
      <c r="K38" s="8" t="n">
        <v>23.0936130050388</v>
      </c>
      <c r="L38" s="8" t="n">
        <v>9054.6355575053</v>
      </c>
      <c r="M38" s="8" t="n">
        <f aca="false">M37+L38</f>
        <v>156960.253535448</v>
      </c>
      <c r="N38" s="5" t="str">
        <f aca="false">IF(L38&gt;0,"прибыль",IF(L38&lt;0,"убыток","ноль"))</f>
        <v>прибыль</v>
      </c>
      <c r="O38" s="6" t="n">
        <f aca="false">IF(L38&lt;0,O37+1,0)</f>
        <v>0</v>
      </c>
      <c r="P38" s="6" t="n">
        <v>2</v>
      </c>
    </row>
    <row r="39" customFormat="false" ht="15" hidden="false" customHeight="false" outlineLevel="0" collapsed="false">
      <c r="A39" s="6" t="n">
        <v>34</v>
      </c>
      <c r="B39" s="5" t="s">
        <v>72</v>
      </c>
      <c r="C39" s="5" t="s">
        <v>25</v>
      </c>
      <c r="D39" s="11" t="n">
        <v>44399</v>
      </c>
      <c r="E39" s="11" t="n">
        <v>44403</v>
      </c>
      <c r="F39" s="5" t="s">
        <v>73</v>
      </c>
      <c r="G39" s="12" t="n">
        <v>210326.222476598</v>
      </c>
      <c r="H39" s="13" t="n">
        <v>72.18</v>
      </c>
      <c r="I39" s="13" t="n">
        <v>74.18</v>
      </c>
      <c r="K39" s="8" t="n">
        <v>21.0127956449878</v>
      </c>
      <c r="L39" s="8" t="n">
        <v>5192.43357947635</v>
      </c>
      <c r="M39" s="8" t="n">
        <f aca="false">M38+L39</f>
        <v>162152.687114925</v>
      </c>
      <c r="N39" s="5" t="str">
        <f aca="false">IF(L39&gt;0,"прибыль",IF(L39&lt;0,"убыток","ноль"))</f>
        <v>прибыль</v>
      </c>
      <c r="O39" s="6" t="n">
        <f aca="false">IF(L39&lt;0,O38+1,0)</f>
        <v>0</v>
      </c>
      <c r="P39" s="6" t="n">
        <v>2</v>
      </c>
    </row>
    <row r="40" customFormat="false" ht="15" hidden="false" customHeight="false" outlineLevel="0" collapsed="false">
      <c r="A40" s="6" t="n">
        <v>35</v>
      </c>
      <c r="B40" s="5" t="s">
        <v>72</v>
      </c>
      <c r="C40" s="5" t="s">
        <v>30</v>
      </c>
      <c r="D40" s="11" t="n">
        <v>44399</v>
      </c>
      <c r="E40" s="11" t="n">
        <v>44403</v>
      </c>
      <c r="F40" s="5" t="s">
        <v>75</v>
      </c>
      <c r="G40" s="12" t="n">
        <v>217513.961094347</v>
      </c>
      <c r="H40" s="13" t="n">
        <v>3.907</v>
      </c>
      <c r="I40" s="13" t="n">
        <v>4.035</v>
      </c>
      <c r="K40" s="8" t="n">
        <v>22.6394776441973</v>
      </c>
      <c r="L40" s="8" t="n">
        <v>-7746.24549198035</v>
      </c>
      <c r="M40" s="8" t="n">
        <f aca="false">M39+L40</f>
        <v>154406.441622944</v>
      </c>
      <c r="N40" s="5" t="str">
        <f aca="false">IF(L40&gt;0,"прибыль",IF(L40&lt;0,"убыток","ноль"))</f>
        <v>убыток</v>
      </c>
      <c r="O40" s="6" t="n">
        <f aca="false">IF(L40&lt;0,O39+1,0)</f>
        <v>1</v>
      </c>
      <c r="P40" s="6" t="n">
        <v>2</v>
      </c>
    </row>
    <row r="41" customFormat="false" ht="15" hidden="false" customHeight="false" outlineLevel="0" collapsed="false">
      <c r="A41" s="6" t="n">
        <v>36</v>
      </c>
      <c r="B41" s="5" t="s">
        <v>72</v>
      </c>
      <c r="C41" s="5" t="s">
        <v>25</v>
      </c>
      <c r="D41" s="11" t="n">
        <v>44403</v>
      </c>
      <c r="E41" s="11" t="n">
        <v>44404</v>
      </c>
      <c r="F41" s="5" t="s">
        <v>75</v>
      </c>
      <c r="G41" s="12" t="n">
        <v>204716.244048036</v>
      </c>
      <c r="H41" s="13" t="n">
        <v>74.18</v>
      </c>
      <c r="I41" s="13" t="n">
        <v>74.84</v>
      </c>
      <c r="K41" s="8" t="n">
        <v>20.8079446269596</v>
      </c>
      <c r="L41" s="8" t="n">
        <v>-2432.55533820549</v>
      </c>
      <c r="M41" s="8" t="n">
        <f aca="false">M40+L41</f>
        <v>151973.886284739</v>
      </c>
      <c r="N41" s="5" t="str">
        <f aca="false">IF(L41&gt;0,"прибыль",IF(L41&lt;0,"убыток","ноль"))</f>
        <v>убыток</v>
      </c>
      <c r="O41" s="6" t="n">
        <f aca="false">IF(L41&lt;0,O40+1,0)</f>
        <v>2</v>
      </c>
      <c r="P41" s="6" t="n">
        <v>1</v>
      </c>
    </row>
    <row r="42" customFormat="false" ht="15" hidden="false" customHeight="false" outlineLevel="0" collapsed="false">
      <c r="A42" s="6" t="n">
        <v>37</v>
      </c>
      <c r="B42" s="5" t="s">
        <v>72</v>
      </c>
      <c r="C42" s="5" t="s">
        <v>30</v>
      </c>
      <c r="D42" s="11" t="n">
        <v>44403</v>
      </c>
      <c r="E42" s="11" t="n">
        <v>44404</v>
      </c>
      <c r="F42" s="5" t="s">
        <v>73</v>
      </c>
      <c r="G42" s="12" t="n">
        <v>227551.985775263</v>
      </c>
      <c r="H42" s="13" t="n">
        <v>4.035</v>
      </c>
      <c r="I42" s="13" t="n">
        <v>4.091</v>
      </c>
      <c r="K42" s="8" t="n">
        <v>22.8873242881464</v>
      </c>
      <c r="L42" s="8" t="n">
        <v>2533.77155364207</v>
      </c>
      <c r="M42" s="8" t="n">
        <f aca="false">M41+L42</f>
        <v>154507.657838381</v>
      </c>
      <c r="N42" s="5" t="str">
        <f aca="false">IF(L42&gt;0,"прибыль",IF(L42&lt;0,"убыток","ноль"))</f>
        <v>прибыль</v>
      </c>
      <c r="O42" s="6" t="n">
        <f aca="false">IF(L42&lt;0,O41+1,0)</f>
        <v>0</v>
      </c>
      <c r="P42" s="6" t="n">
        <v>1</v>
      </c>
    </row>
    <row r="43" customFormat="false" ht="15" hidden="false" customHeight="false" outlineLevel="0" collapsed="false">
      <c r="A43" s="6" t="n">
        <v>38</v>
      </c>
      <c r="B43" s="5" t="s">
        <v>72</v>
      </c>
      <c r="C43" s="5" t="s">
        <v>30</v>
      </c>
      <c r="D43" s="11" t="n">
        <v>44404</v>
      </c>
      <c r="E43" s="11" t="n">
        <v>44405</v>
      </c>
      <c r="F43" s="5" t="s">
        <v>75</v>
      </c>
      <c r="G43" s="12" t="n">
        <v>2.68556365317307E-011</v>
      </c>
      <c r="H43" s="13" t="n">
        <v>4.091</v>
      </c>
      <c r="I43" s="13" t="n">
        <v>3.972</v>
      </c>
      <c r="K43" s="8" t="n">
        <v>1.30721490578038E-015</v>
      </c>
      <c r="L43" s="8" t="n">
        <v>7.10031201217324E-013</v>
      </c>
      <c r="M43" s="8" t="n">
        <f aca="false">M42+L43</f>
        <v>154507.657838381</v>
      </c>
      <c r="N43" s="5" t="str">
        <f aca="false">IF(L43&gt;0,"прибыль",IF(L43&lt;0,"убыток","ноль"))</f>
        <v>прибыль</v>
      </c>
      <c r="O43" s="6" t="n">
        <f aca="false">IF(L43&lt;0,O42+1,0)</f>
        <v>0</v>
      </c>
      <c r="P43" s="6" t="n">
        <v>1</v>
      </c>
    </row>
    <row r="44" customFormat="false" ht="15" hidden="false" customHeight="false" outlineLevel="0" collapsed="false">
      <c r="A44" s="6" t="n">
        <v>39</v>
      </c>
      <c r="B44" s="5" t="s">
        <v>72</v>
      </c>
      <c r="C44" s="5" t="s">
        <v>25</v>
      </c>
      <c r="D44" s="11" t="n">
        <v>44404</v>
      </c>
      <c r="E44" s="11" t="n">
        <v>44407</v>
      </c>
      <c r="F44" s="5" t="s">
        <v>73</v>
      </c>
      <c r="G44" s="12" t="n">
        <v>209030.901097577</v>
      </c>
      <c r="H44" s="13" t="n">
        <v>74.84</v>
      </c>
      <c r="I44" s="13" t="n">
        <v>75.88</v>
      </c>
      <c r="K44" s="8" t="n">
        <v>20.8483089809979</v>
      </c>
      <c r="L44" s="8" t="n">
        <v>2280.94662664161</v>
      </c>
      <c r="M44" s="8" t="n">
        <f aca="false">M43+L44</f>
        <v>156788.604465023</v>
      </c>
      <c r="N44" s="5" t="str">
        <f aca="false">IF(L44&gt;0,"прибыль",IF(L44&lt;0,"убыток","ноль"))</f>
        <v>прибыль</v>
      </c>
      <c r="O44" s="6" t="n">
        <f aca="false">IF(L44&lt;0,O43+1,0)</f>
        <v>0</v>
      </c>
      <c r="P44" s="6" t="n">
        <v>3</v>
      </c>
    </row>
    <row r="45" customFormat="false" ht="15" hidden="false" customHeight="false" outlineLevel="0" collapsed="false">
      <c r="A45" s="6" t="n">
        <v>40</v>
      </c>
      <c r="B45" s="5" t="s">
        <v>72</v>
      </c>
      <c r="C45" s="5" t="s">
        <v>30</v>
      </c>
      <c r="D45" s="11" t="n">
        <v>44405</v>
      </c>
      <c r="E45" s="11" t="n">
        <v>44407</v>
      </c>
      <c r="F45" s="5" t="s">
        <v>75</v>
      </c>
      <c r="G45" s="12" t="n">
        <v>227637.841109734</v>
      </c>
      <c r="H45" s="13" t="n">
        <v>3.972</v>
      </c>
      <c r="I45" s="13" t="n">
        <v>4.04</v>
      </c>
      <c r="J45" s="5" t="s">
        <v>74</v>
      </c>
      <c r="K45" s="8" t="n">
        <v>22.3704208289079</v>
      </c>
      <c r="L45" s="8" t="n">
        <v>331.878928552969</v>
      </c>
      <c r="M45" s="8" t="n">
        <f aca="false">M44+L45</f>
        <v>157120.483393576</v>
      </c>
      <c r="N45" s="5" t="str">
        <f aca="false">IF(L45&gt;0,"прибыль",IF(L45&lt;0,"убыток","ноль"))</f>
        <v>прибыль</v>
      </c>
      <c r="O45" s="6" t="n">
        <f aca="false">IF(L45&lt;0,O44+1,0)</f>
        <v>0</v>
      </c>
      <c r="P45" s="6" t="n">
        <v>2</v>
      </c>
    </row>
    <row r="46" customFormat="false" ht="15" hidden="false" customHeight="false" outlineLevel="0" collapsed="false">
      <c r="A46" s="6" t="n">
        <v>41</v>
      </c>
      <c r="B46" s="5" t="s">
        <v>72</v>
      </c>
      <c r="C46" s="5" t="s">
        <v>25</v>
      </c>
      <c r="D46" s="11" t="n">
        <v>44407</v>
      </c>
      <c r="E46" s="11" t="n">
        <v>44410</v>
      </c>
      <c r="F46" s="5" t="s">
        <v>75</v>
      </c>
      <c r="G46" s="12" t="n">
        <v>205633.483586758</v>
      </c>
      <c r="H46" s="13" t="n">
        <v>75.88</v>
      </c>
      <c r="I46" s="13" t="n">
        <v>76.31</v>
      </c>
      <c r="K46" s="8" t="n">
        <v>20.6963099278579</v>
      </c>
      <c r="L46" s="8" t="n">
        <v>-1778.62960630509</v>
      </c>
      <c r="M46" s="8" t="n">
        <f aca="false">M45+L46</f>
        <v>155341.85378727</v>
      </c>
      <c r="N46" s="5" t="str">
        <f aca="false">IF(L46&gt;0,"прибыль",IF(L46&lt;0,"убыток","ноль"))</f>
        <v>убыток</v>
      </c>
      <c r="O46" s="6" t="n">
        <f aca="false">IF(L46&lt;0,O45+1,0)</f>
        <v>1</v>
      </c>
      <c r="P46" s="6" t="n">
        <v>1</v>
      </c>
    </row>
    <row r="47" customFormat="false" ht="15" hidden="false" customHeight="false" outlineLevel="0" collapsed="false">
      <c r="A47" s="6" t="n">
        <v>42</v>
      </c>
      <c r="B47" s="5" t="s">
        <v>72</v>
      </c>
      <c r="C47" s="5" t="s">
        <v>30</v>
      </c>
      <c r="D47" s="11" t="n">
        <v>44407</v>
      </c>
      <c r="E47" s="11" t="n">
        <v>44410</v>
      </c>
      <c r="F47" s="5" t="s">
        <v>73</v>
      </c>
      <c r="G47" s="12" t="n">
        <v>220124.824817805</v>
      </c>
      <c r="H47" s="13" t="n">
        <v>4.04</v>
      </c>
      <c r="I47" s="13" t="n">
        <v>3.938</v>
      </c>
      <c r="K47" s="8" t="n">
        <v>20.9625679934252</v>
      </c>
      <c r="L47" s="8" t="n">
        <v>-6169.86253287698</v>
      </c>
      <c r="M47" s="8" t="n">
        <f aca="false">M46+L47</f>
        <v>149171.991254393</v>
      </c>
      <c r="N47" s="5" t="str">
        <f aca="false">IF(L47&gt;0,"прибыль",IF(L47&lt;0,"убыток","ноль"))</f>
        <v>убыток</v>
      </c>
      <c r="O47" s="6" t="n">
        <f aca="false">IF(L47&lt;0,O46+1,0)</f>
        <v>2</v>
      </c>
      <c r="P47" s="6" t="n">
        <v>1</v>
      </c>
    </row>
    <row r="48" customFormat="false" ht="15" hidden="false" customHeight="false" outlineLevel="0" collapsed="false">
      <c r="A48" s="6" t="n">
        <v>43</v>
      </c>
      <c r="B48" s="5" t="s">
        <v>72</v>
      </c>
      <c r="C48" s="5" t="s">
        <v>30</v>
      </c>
      <c r="D48" s="11" t="n">
        <v>44410</v>
      </c>
      <c r="E48" s="11" t="n">
        <v>44411</v>
      </c>
      <c r="F48" s="5" t="s">
        <v>75</v>
      </c>
      <c r="G48" s="12" t="n">
        <v>2.60648341014906E-011</v>
      </c>
      <c r="H48" s="13" t="n">
        <v>3.938</v>
      </c>
      <c r="I48" s="13" t="n">
        <v>3.971</v>
      </c>
      <c r="K48" s="8" t="n">
        <v>1.31788103343317E-015</v>
      </c>
      <c r="L48" s="8" t="n">
        <v>-2.94104448206243E-013</v>
      </c>
      <c r="M48" s="8" t="n">
        <f aca="false">M47+L48</f>
        <v>149171.991254393</v>
      </c>
      <c r="N48" s="5" t="str">
        <f aca="false">IF(L48&gt;0,"прибыль",IF(L48&lt;0,"убыток","ноль"))</f>
        <v>убыток</v>
      </c>
      <c r="O48" s="6" t="n">
        <f aca="false">IF(L48&lt;0,O47+1,0)</f>
        <v>3</v>
      </c>
      <c r="P48" s="6" t="n">
        <v>1</v>
      </c>
    </row>
    <row r="49" customFormat="false" ht="15" hidden="false" customHeight="false" outlineLevel="0" collapsed="false">
      <c r="A49" s="6" t="n">
        <v>44</v>
      </c>
      <c r="B49" s="5" t="s">
        <v>72</v>
      </c>
      <c r="C49" s="5" t="s">
        <v>25</v>
      </c>
      <c r="D49" s="11" t="n">
        <v>44410</v>
      </c>
      <c r="E49" s="11" t="n">
        <v>44412</v>
      </c>
      <c r="F49" s="5" t="s">
        <v>73</v>
      </c>
      <c r="G49" s="12" t="n">
        <v>206534.781674024</v>
      </c>
      <c r="H49" s="13" t="n">
        <v>76.31</v>
      </c>
      <c r="I49" s="13" t="n">
        <v>72.4</v>
      </c>
      <c r="J49" s="5" t="s">
        <v>74</v>
      </c>
      <c r="K49" s="8" t="n">
        <v>21.0564166174456</v>
      </c>
      <c r="L49" s="8" t="n">
        <v>-2542.57200993531</v>
      </c>
      <c r="M49" s="8" t="n">
        <f aca="false">M48+L49</f>
        <v>146629.419244458</v>
      </c>
      <c r="N49" s="5" t="str">
        <f aca="false">IF(L49&gt;0,"прибыль",IF(L49&lt;0,"убыток","ноль"))</f>
        <v>убыток</v>
      </c>
      <c r="O49" s="6" t="n">
        <f aca="false">IF(L49&lt;0,O48+1,0)</f>
        <v>4</v>
      </c>
      <c r="P49" s="6" t="n">
        <v>2</v>
      </c>
    </row>
    <row r="50" customFormat="false" ht="15" hidden="false" customHeight="false" outlineLevel="0" collapsed="false">
      <c r="A50" s="6" t="n">
        <v>45</v>
      </c>
      <c r="B50" s="5" t="s">
        <v>72</v>
      </c>
      <c r="C50" s="5" t="s">
        <v>30</v>
      </c>
      <c r="D50" s="11" t="n">
        <v>44411</v>
      </c>
      <c r="E50" s="11" t="n">
        <v>44412</v>
      </c>
      <c r="F50" s="5" t="s">
        <v>75</v>
      </c>
      <c r="G50" s="12" t="n">
        <v>205275.435015583</v>
      </c>
      <c r="H50" s="13" t="n">
        <v>3.971</v>
      </c>
      <c r="I50" s="13" t="n">
        <v>4.06</v>
      </c>
      <c r="K50" s="8" t="n">
        <v>21.2827747901835</v>
      </c>
      <c r="L50" s="8" t="n">
        <v>-6973.62864929963</v>
      </c>
      <c r="M50" s="8" t="n">
        <f aca="false">M49+L50</f>
        <v>139655.790595159</v>
      </c>
      <c r="N50" s="5" t="str">
        <f aca="false">IF(L50&gt;0,"прибыль",IF(L50&lt;0,"убыток","ноль"))</f>
        <v>убыток</v>
      </c>
      <c r="O50" s="6" t="n">
        <f aca="false">IF(L50&lt;0,O49+1,0)</f>
        <v>5</v>
      </c>
      <c r="P50" s="6" t="n">
        <v>1</v>
      </c>
    </row>
    <row r="51" customFormat="false" ht="15" hidden="false" customHeight="false" outlineLevel="0" collapsed="false">
      <c r="A51" s="6" t="n">
        <v>46</v>
      </c>
      <c r="B51" s="5" t="s">
        <v>72</v>
      </c>
      <c r="C51" s="5" t="s">
        <v>30</v>
      </c>
      <c r="D51" s="11" t="n">
        <v>44412</v>
      </c>
      <c r="E51" s="11" t="n">
        <v>44413</v>
      </c>
      <c r="F51" s="5" t="s">
        <v>73</v>
      </c>
      <c r="G51" s="12" t="n">
        <v>2.69476077359565E-011</v>
      </c>
      <c r="H51" s="13" t="n">
        <v>4.06</v>
      </c>
      <c r="I51" s="13" t="n">
        <v>4.167</v>
      </c>
      <c r="K51" s="8" t="n">
        <v>1.37914627639961E-015</v>
      </c>
      <c r="L51" s="8" t="n">
        <v>6.33938645759356E-013</v>
      </c>
      <c r="M51" s="8" t="n">
        <f aca="false">M50+L51</f>
        <v>139655.790595159</v>
      </c>
      <c r="N51" s="5" t="str">
        <f aca="false">IF(L51&gt;0,"прибыль",IF(L51&lt;0,"убыток","ноль"))</f>
        <v>прибыль</v>
      </c>
      <c r="O51" s="6" t="n">
        <f aca="false">IF(L51&lt;0,O50+1,0)</f>
        <v>0</v>
      </c>
      <c r="P51" s="6" t="n">
        <v>1</v>
      </c>
    </row>
    <row r="52" customFormat="false" ht="15" hidden="false" customHeight="false" outlineLevel="0" collapsed="false">
      <c r="A52" s="6" t="n">
        <v>47</v>
      </c>
      <c r="B52" s="5" t="s">
        <v>72</v>
      </c>
      <c r="C52" s="5" t="s">
        <v>25</v>
      </c>
      <c r="D52" s="11" t="n">
        <v>44412</v>
      </c>
      <c r="E52" s="11" t="n">
        <v>44420</v>
      </c>
      <c r="F52" s="5" t="s">
        <v>75</v>
      </c>
      <c r="G52" s="12" t="n">
        <v>217115.066268206</v>
      </c>
      <c r="H52" s="13" t="n">
        <v>72.4</v>
      </c>
      <c r="I52" s="13" t="n">
        <v>71.6</v>
      </c>
      <c r="K52" s="8" t="n">
        <v>21.4024348643333</v>
      </c>
      <c r="L52" s="8" t="n">
        <v>1781.74168646313</v>
      </c>
      <c r="M52" s="8" t="n">
        <f aca="false">M51+L52</f>
        <v>141437.532281622</v>
      </c>
      <c r="N52" s="5" t="str">
        <f aca="false">IF(L52&gt;0,"прибыль",IF(L52&lt;0,"убыток","ноль"))</f>
        <v>прибыль</v>
      </c>
      <c r="O52" s="6" t="n">
        <f aca="false">IF(L52&lt;0,O51+1,0)</f>
        <v>0</v>
      </c>
      <c r="P52" s="6" t="n">
        <v>6</v>
      </c>
    </row>
    <row r="53" customFormat="false" ht="15" hidden="false" customHeight="false" outlineLevel="0" collapsed="false">
      <c r="A53" s="6" t="n">
        <v>48</v>
      </c>
      <c r="B53" s="5" t="s">
        <v>72</v>
      </c>
      <c r="C53" s="5" t="s">
        <v>30</v>
      </c>
      <c r="D53" s="11" t="n">
        <v>44413</v>
      </c>
      <c r="E53" s="11" t="n">
        <v>44420</v>
      </c>
      <c r="F53" s="5" t="s">
        <v>73</v>
      </c>
      <c r="G53" s="12" t="n">
        <v>213427.714913576</v>
      </c>
      <c r="H53" s="13" t="n">
        <v>4.167</v>
      </c>
      <c r="I53" s="13" t="n">
        <v>4.051</v>
      </c>
      <c r="K53" s="8" t="n">
        <v>21.7248751694682</v>
      </c>
      <c r="L53" s="8" t="n">
        <v>-1070.60495860628</v>
      </c>
      <c r="M53" s="8" t="n">
        <f aca="false">M52+L53</f>
        <v>140366.927323015</v>
      </c>
      <c r="N53" s="5" t="str">
        <f aca="false">IF(L53&gt;0,"прибыль",IF(L53&lt;0,"убыток","ноль"))</f>
        <v>убыток</v>
      </c>
      <c r="O53" s="6" t="n">
        <f aca="false">IF(L53&lt;0,O52+1,0)</f>
        <v>1</v>
      </c>
      <c r="P53" s="6" t="n">
        <v>5</v>
      </c>
    </row>
    <row r="54" customFormat="false" ht="15" hidden="false" customHeight="false" outlineLevel="0" collapsed="false">
      <c r="A54" s="6" t="n">
        <v>49</v>
      </c>
      <c r="B54" s="5" t="s">
        <v>72</v>
      </c>
      <c r="C54" s="5" t="s">
        <v>25</v>
      </c>
      <c r="D54" s="11" t="n">
        <v>44420</v>
      </c>
      <c r="E54" s="11" t="n">
        <v>44421</v>
      </c>
      <c r="F54" s="5" t="s">
        <v>73</v>
      </c>
      <c r="G54" s="12" t="n">
        <v>212736.775139788</v>
      </c>
      <c r="H54" s="13" t="n">
        <v>71.6</v>
      </c>
      <c r="I54" s="13" t="n">
        <v>71.17</v>
      </c>
      <c r="K54" s="8" t="n">
        <v>21.2848991322239</v>
      </c>
      <c r="L54" s="8" t="n">
        <v>-1886.08710778948</v>
      </c>
      <c r="M54" s="8" t="n">
        <f aca="false">M53+L54</f>
        <v>138480.840215226</v>
      </c>
      <c r="N54" s="5" t="str">
        <f aca="false">IF(L54&gt;0,"прибыль",IF(L54&lt;0,"убыток","ноль"))</f>
        <v>убыток</v>
      </c>
      <c r="O54" s="6" t="n">
        <f aca="false">IF(L54&lt;0,O53+1,0)</f>
        <v>2</v>
      </c>
      <c r="P54" s="6" t="n">
        <v>1</v>
      </c>
    </row>
    <row r="55" customFormat="false" ht="15" hidden="false" customHeight="false" outlineLevel="0" collapsed="false">
      <c r="A55" s="6" t="n">
        <v>50</v>
      </c>
      <c r="B55" s="5" t="s">
        <v>72</v>
      </c>
      <c r="C55" s="5" t="s">
        <v>30</v>
      </c>
      <c r="D55" s="11" t="n">
        <v>44420</v>
      </c>
      <c r="E55" s="11" t="n">
        <v>44421</v>
      </c>
      <c r="F55" s="5" t="s">
        <v>75</v>
      </c>
      <c r="G55" s="12" t="n">
        <v>222118.668559224</v>
      </c>
      <c r="H55" s="13" t="n">
        <v>4.051</v>
      </c>
      <c r="I55" s="13" t="n">
        <v>3.911</v>
      </c>
      <c r="K55" s="8" t="n">
        <v>21.1271368848393</v>
      </c>
      <c r="L55" s="8" t="n">
        <v>7067.96825364624</v>
      </c>
      <c r="M55" s="8" t="n">
        <f aca="false">M54+L55</f>
        <v>145548.808468872</v>
      </c>
      <c r="N55" s="5" t="str">
        <f aca="false">IF(L55&gt;0,"прибыль",IF(L55&lt;0,"убыток","ноль"))</f>
        <v>прибыль</v>
      </c>
      <c r="O55" s="6" t="n">
        <f aca="false">IF(L55&lt;0,O54+1,0)</f>
        <v>0</v>
      </c>
      <c r="P55" s="6" t="n">
        <v>1</v>
      </c>
    </row>
    <row r="56" customFormat="false" ht="15" hidden="false" customHeight="false" outlineLevel="0" collapsed="false">
      <c r="A56" s="6" t="n">
        <v>51</v>
      </c>
      <c r="B56" s="5" t="s">
        <v>72</v>
      </c>
      <c r="C56" s="5" t="s">
        <v>25</v>
      </c>
      <c r="D56" s="11" t="n">
        <v>44421</v>
      </c>
      <c r="E56" s="11" t="n">
        <v>44432</v>
      </c>
      <c r="F56" s="5" t="s">
        <v>75</v>
      </c>
      <c r="G56" s="12" t="n">
        <v>91558.2320368555</v>
      </c>
      <c r="H56" s="13" t="n">
        <v>71.17</v>
      </c>
      <c r="I56" s="13" t="n">
        <v>68.78</v>
      </c>
      <c r="K56" s="8" t="n">
        <v>10.5358219724877</v>
      </c>
      <c r="L56" s="8" t="n">
        <v>1620.61870470659</v>
      </c>
      <c r="M56" s="8" t="n">
        <f aca="false">M55+L56</f>
        <v>147169.427173579</v>
      </c>
      <c r="N56" s="5" t="str">
        <f aca="false">IF(L56&gt;0,"прибыль",IF(L56&lt;0,"убыток","ноль"))</f>
        <v>прибыль</v>
      </c>
      <c r="O56" s="6" t="n">
        <f aca="false">IF(L56&lt;0,O55+1,0)</f>
        <v>0</v>
      </c>
      <c r="P56" s="6" t="n">
        <v>7</v>
      </c>
    </row>
    <row r="57" customFormat="false" ht="15" hidden="false" customHeight="false" outlineLevel="0" collapsed="false">
      <c r="A57" s="6" t="n">
        <v>52</v>
      </c>
      <c r="B57" s="5" t="s">
        <v>72</v>
      </c>
      <c r="C57" s="5" t="s">
        <v>30</v>
      </c>
      <c r="D57" s="11" t="n">
        <v>44421</v>
      </c>
      <c r="E57" s="11" t="n">
        <v>44441</v>
      </c>
      <c r="F57" s="5" t="s">
        <v>73</v>
      </c>
      <c r="G57" s="12" t="n">
        <v>48248.1315831189</v>
      </c>
      <c r="H57" s="13" t="n">
        <v>3.911</v>
      </c>
      <c r="I57" s="13" t="n">
        <v>4.628</v>
      </c>
      <c r="J57" s="5" t="s">
        <v>74</v>
      </c>
      <c r="K57" s="8" t="n">
        <v>2.7033956562989</v>
      </c>
      <c r="L57" s="8" t="n">
        <v>5817.07814720281</v>
      </c>
      <c r="M57" s="8" t="n">
        <f aca="false">M56+L57</f>
        <v>152986.505320782</v>
      </c>
      <c r="N57" s="5" t="str">
        <f aca="false">IF(L57&gt;0,"прибыль",IF(L57&lt;0,"убыток","ноль"))</f>
        <v>прибыль</v>
      </c>
      <c r="O57" s="6" t="n">
        <f aca="false">IF(L57&lt;0,O56+1,0)</f>
        <v>0</v>
      </c>
      <c r="P57" s="6" t="n">
        <v>14</v>
      </c>
    </row>
    <row r="58" customFormat="false" ht="15" hidden="false" customHeight="false" outlineLevel="0" collapsed="false">
      <c r="A58" s="6" t="n">
        <v>53</v>
      </c>
      <c r="B58" s="5" t="s">
        <v>72</v>
      </c>
      <c r="C58" s="5" t="s">
        <v>30</v>
      </c>
      <c r="D58" s="11" t="n">
        <v>44441</v>
      </c>
      <c r="E58" s="11" t="n">
        <v>44459</v>
      </c>
      <c r="F58" s="5" t="s">
        <v>73</v>
      </c>
      <c r="G58" s="12" t="n">
        <v>34485.3563653702</v>
      </c>
      <c r="H58" s="13" t="n">
        <v>4.628</v>
      </c>
      <c r="I58" s="13" t="n">
        <v>5.055</v>
      </c>
      <c r="K58" s="8" t="n">
        <v>2.11007910798715</v>
      </c>
      <c r="L58" s="8" t="n">
        <v>7714.11571526485</v>
      </c>
      <c r="M58" s="8" t="n">
        <f aca="false">M57+L58</f>
        <v>160700.621036046</v>
      </c>
      <c r="N58" s="5" t="str">
        <f aca="false">IF(L58&gt;0,"прибыль",IF(L58&lt;0,"убыток","ноль"))</f>
        <v>прибыль</v>
      </c>
      <c r="O58" s="6" t="n">
        <f aca="false">IF(L58&lt;0,O57+1,0)</f>
        <v>0</v>
      </c>
      <c r="P58" s="6" t="n">
        <v>12</v>
      </c>
    </row>
    <row r="59" customFormat="false" ht="15" hidden="false" customHeight="false" outlineLevel="0" collapsed="false">
      <c r="A59" s="6" t="n">
        <v>54</v>
      </c>
      <c r="B59" s="5" t="s">
        <v>72</v>
      </c>
      <c r="C59" s="5" t="s">
        <v>30</v>
      </c>
      <c r="D59" s="11" t="n">
        <v>44459</v>
      </c>
      <c r="E59" s="11" t="n">
        <v>44467</v>
      </c>
      <c r="F59" s="5" t="s">
        <v>73</v>
      </c>
      <c r="G59" s="12" t="n">
        <v>34456.7532111382</v>
      </c>
      <c r="H59" s="13" t="n">
        <v>5.055</v>
      </c>
      <c r="I59" s="13" t="n">
        <v>5.707</v>
      </c>
      <c r="K59" s="8" t="n">
        <v>2.37945487119586</v>
      </c>
      <c r="L59" s="8" t="n">
        <v>13129.9647579078</v>
      </c>
      <c r="M59" s="8" t="n">
        <f aca="false">M58+L59</f>
        <v>173830.585793954</v>
      </c>
      <c r="N59" s="5" t="str">
        <f aca="false">IF(L59&gt;0,"прибыль",IF(L59&lt;0,"убыток","ноль"))</f>
        <v>прибыль</v>
      </c>
      <c r="O59" s="6" t="n">
        <f aca="false">IF(L59&lt;0,O58+1,0)</f>
        <v>0</v>
      </c>
      <c r="P59" s="6" t="n">
        <v>6</v>
      </c>
    </row>
    <row r="60" customFormat="false" ht="15" hidden="false" customHeight="false" outlineLevel="0" collapsed="false">
      <c r="A60" s="6" t="n">
        <v>55</v>
      </c>
      <c r="B60" s="5" t="s">
        <v>72</v>
      </c>
      <c r="C60" s="5" t="s">
        <v>30</v>
      </c>
      <c r="D60" s="11" t="n">
        <v>44467</v>
      </c>
      <c r="E60" s="11" t="n">
        <v>44474</v>
      </c>
      <c r="F60" s="5" t="s">
        <v>73</v>
      </c>
      <c r="G60" s="12" t="n">
        <v>20030.3694684473</v>
      </c>
      <c r="H60" s="13" t="n">
        <v>5.707</v>
      </c>
      <c r="I60" s="13" t="n">
        <v>5.82</v>
      </c>
      <c r="J60" s="5" t="s">
        <v>74</v>
      </c>
      <c r="K60" s="8" t="n">
        <v>1.38416325204721</v>
      </c>
      <c r="L60" s="8" t="n">
        <v>7651.51140924493</v>
      </c>
      <c r="M60" s="8" t="n">
        <f aca="false">M59+L60</f>
        <v>181482.097203199</v>
      </c>
      <c r="N60" s="5" t="str">
        <f aca="false">IF(L60&gt;0,"прибыль",IF(L60&lt;0,"убыток","ноль"))</f>
        <v>прибыль</v>
      </c>
      <c r="O60" s="6" t="n">
        <f aca="false">IF(L60&lt;0,O59+1,0)</f>
        <v>0</v>
      </c>
      <c r="P60" s="6" t="n">
        <v>5</v>
      </c>
    </row>
    <row r="61" customFormat="false" ht="15" hidden="false" customHeight="false" outlineLevel="0" collapsed="false">
      <c r="A61" s="6" t="n">
        <v>56</v>
      </c>
      <c r="B61" s="5" t="s">
        <v>72</v>
      </c>
      <c r="C61" s="5" t="s">
        <v>30</v>
      </c>
      <c r="D61" s="11" t="n">
        <v>44474</v>
      </c>
      <c r="E61" s="11" t="n">
        <v>44495</v>
      </c>
      <c r="F61" s="5" t="s">
        <v>73</v>
      </c>
      <c r="G61" s="12" t="n">
        <v>14313.223850622</v>
      </c>
      <c r="H61" s="13" t="n">
        <v>5.82</v>
      </c>
      <c r="I61" s="13" t="n">
        <v>6</v>
      </c>
      <c r="K61" s="8" t="n">
        <v>1.01914586720728</v>
      </c>
      <c r="L61" s="8" t="n">
        <v>6068.67434765647</v>
      </c>
      <c r="M61" s="8" t="n">
        <f aca="false">M60+L61</f>
        <v>187550.771550856</v>
      </c>
      <c r="N61" s="5" t="str">
        <f aca="false">IF(L61&gt;0,"прибыль",IF(L61&lt;0,"убыток","ноль"))</f>
        <v>прибыль</v>
      </c>
      <c r="O61" s="6" t="n">
        <f aca="false">IF(L61&lt;0,O60+1,0)</f>
        <v>0</v>
      </c>
      <c r="P61" s="6" t="n">
        <v>15</v>
      </c>
    </row>
    <row r="62" customFormat="false" ht="15" hidden="false" customHeight="false" outlineLevel="0" collapsed="false">
      <c r="A62" s="6" t="n">
        <v>57</v>
      </c>
      <c r="B62" s="5" t="s">
        <v>72</v>
      </c>
      <c r="C62" s="5" t="s">
        <v>25</v>
      </c>
      <c r="D62" s="11" t="n">
        <v>44432</v>
      </c>
      <c r="E62" s="11" t="n">
        <v>44524</v>
      </c>
      <c r="F62" s="5" t="s">
        <v>75</v>
      </c>
      <c r="G62" s="12" t="n">
        <v>90542.2542797281</v>
      </c>
      <c r="H62" s="13" t="n">
        <v>68.78</v>
      </c>
      <c r="I62" s="13" t="n">
        <v>82.49</v>
      </c>
      <c r="J62" s="5" t="s">
        <v>74</v>
      </c>
      <c r="K62" s="8" t="n">
        <v>8.12144014674086</v>
      </c>
      <c r="L62" s="8" t="n">
        <v>-15770.6107860129</v>
      </c>
      <c r="M62" s="8" t="n">
        <f aca="false">M61+L62</f>
        <v>171780.160764843</v>
      </c>
      <c r="N62" s="5" t="str">
        <f aca="false">IF(L62&gt;0,"прибыль",IF(L62&lt;0,"убыток","ноль"))</f>
        <v>убыток</v>
      </c>
      <c r="O62" s="6" t="n">
        <f aca="false">IF(L62&lt;0,O61+1,0)</f>
        <v>1</v>
      </c>
      <c r="P62" s="6" t="n">
        <v>65</v>
      </c>
    </row>
    <row r="63" customFormat="false" ht="15" hidden="false" customHeight="false" outlineLevel="0" collapsed="false">
      <c r="A63" s="6" t="n">
        <v>58</v>
      </c>
      <c r="B63" s="5" t="s">
        <v>72</v>
      </c>
      <c r="C63" s="5" t="s">
        <v>25</v>
      </c>
      <c r="D63" s="11" t="n">
        <v>44524</v>
      </c>
      <c r="E63" s="11" t="n">
        <v>44529</v>
      </c>
      <c r="F63" s="5" t="s">
        <v>75</v>
      </c>
      <c r="G63" s="12" t="n">
        <v>68880.2652808869</v>
      </c>
      <c r="H63" s="13" t="n">
        <v>82.49</v>
      </c>
      <c r="I63" s="13" t="n">
        <v>72.53</v>
      </c>
      <c r="K63" s="8" t="n">
        <v>3.55770420712266</v>
      </c>
      <c r="L63" s="8" t="n">
        <v>-2277.3765657734</v>
      </c>
      <c r="M63" s="8" t="n">
        <f aca="false">M62+L63</f>
        <v>169502.784199069</v>
      </c>
      <c r="N63" s="5" t="str">
        <f aca="false">IF(L63&gt;0,"прибыль",IF(L63&lt;0,"убыток","ноль"))</f>
        <v>убыток</v>
      </c>
      <c r="O63" s="6" t="n">
        <f aca="false">IF(L63&lt;0,O62+1,0)</f>
        <v>2</v>
      </c>
      <c r="P63" s="6" t="n">
        <v>3</v>
      </c>
    </row>
    <row r="64" customFormat="false" ht="15" hidden="false" customHeight="false" outlineLevel="0" collapsed="false">
      <c r="A64" s="6" t="n">
        <v>59</v>
      </c>
      <c r="B64" s="5" t="s">
        <v>72</v>
      </c>
      <c r="C64" s="5" t="s">
        <v>25</v>
      </c>
      <c r="D64" s="11" t="n">
        <v>44529</v>
      </c>
      <c r="E64" s="11" t="n">
        <v>44537</v>
      </c>
      <c r="F64" s="5" t="s">
        <v>75</v>
      </c>
      <c r="G64" s="12" t="n">
        <v>140758.679364677</v>
      </c>
      <c r="H64" s="13" t="n">
        <v>72.53</v>
      </c>
      <c r="I64" s="13" t="n">
        <v>73.51</v>
      </c>
      <c r="J64" s="5" t="s">
        <v>74</v>
      </c>
      <c r="K64" s="8" t="n">
        <v>14.2250253194499</v>
      </c>
      <c r="L64" s="8" t="n">
        <v>-10329.9621360239</v>
      </c>
      <c r="M64" s="8" t="n">
        <f aca="false">M63+L64</f>
        <v>159172.822063045</v>
      </c>
      <c r="N64" s="5" t="str">
        <f aca="false">IF(L64&gt;0,"прибыль",IF(L64&lt;0,"убыток","ноль"))</f>
        <v>убыток</v>
      </c>
      <c r="O64" s="6" t="n">
        <f aca="false">IF(L64&lt;0,O63+1,0)</f>
        <v>3</v>
      </c>
      <c r="P64" s="6" t="n">
        <v>6</v>
      </c>
    </row>
    <row r="65" customFormat="false" ht="15" hidden="false" customHeight="false" outlineLevel="0" collapsed="false">
      <c r="A65" s="6" t="n">
        <v>60</v>
      </c>
      <c r="B65" s="5" t="s">
        <v>72</v>
      </c>
      <c r="C65" s="5" t="s">
        <v>30</v>
      </c>
      <c r="D65" s="11" t="n">
        <v>44495</v>
      </c>
      <c r="E65" s="11" t="n">
        <v>44537</v>
      </c>
      <c r="F65" s="5" t="s">
        <v>73</v>
      </c>
      <c r="G65" s="12" t="n">
        <v>104869.473804406</v>
      </c>
      <c r="H65" s="13" t="n">
        <v>6</v>
      </c>
      <c r="I65" s="13" t="n">
        <v>3.692</v>
      </c>
      <c r="J65" s="5" t="s">
        <v>74</v>
      </c>
      <c r="K65" s="8" t="n">
        <v>11.0222887711311</v>
      </c>
      <c r="L65" s="8" t="n">
        <v>-25302.8929365286</v>
      </c>
      <c r="M65" s="8" t="n">
        <f aca="false">M64+L65</f>
        <v>133869.929126517</v>
      </c>
      <c r="N65" s="5" t="str">
        <f aca="false">IF(L65&gt;0,"прибыль",IF(L65&lt;0,"убыток","ноль"))</f>
        <v>убыток</v>
      </c>
      <c r="O65" s="6" t="n">
        <f aca="false">IF(L65&lt;0,O64+1,0)</f>
        <v>4</v>
      </c>
      <c r="P65" s="6" t="n">
        <v>29</v>
      </c>
    </row>
    <row r="66" customFormat="false" ht="15" hidden="false" customHeight="false" outlineLevel="0" collapsed="false">
      <c r="A66" s="6" t="n">
        <v>61</v>
      </c>
      <c r="B66" s="5" t="s">
        <v>72</v>
      </c>
      <c r="C66" s="5" t="s">
        <v>30</v>
      </c>
      <c r="D66" s="11" t="n">
        <v>44537</v>
      </c>
      <c r="E66" s="11" t="n">
        <v>44574</v>
      </c>
      <c r="F66" s="5" t="s">
        <v>75</v>
      </c>
      <c r="G66" s="12" t="n">
        <v>46113.7760811785</v>
      </c>
      <c r="H66" s="13" t="n">
        <v>3.692</v>
      </c>
      <c r="I66" s="13" t="n">
        <v>4.817</v>
      </c>
      <c r="J66" s="5" t="s">
        <v>74</v>
      </c>
      <c r="K66" s="8" t="n">
        <v>4.39407133001016</v>
      </c>
      <c r="L66" s="8" t="n">
        <v>-17625.4341964636</v>
      </c>
      <c r="M66" s="8" t="n">
        <f aca="false">M65+L66</f>
        <v>116244.494930053</v>
      </c>
      <c r="N66" s="5" t="str">
        <f aca="false">IF(L66&gt;0,"прибыль",IF(L66&lt;0,"убыток","ноль"))</f>
        <v>убыток</v>
      </c>
      <c r="O66" s="6" t="n">
        <f aca="false">IF(L66&lt;0,O65+1,0)</f>
        <v>5</v>
      </c>
      <c r="P66" s="6" t="n">
        <v>26</v>
      </c>
    </row>
    <row r="67" customFormat="false" ht="15" hidden="false" customHeight="false" outlineLevel="0" collapsed="false">
      <c r="A67" s="6" t="n">
        <v>62</v>
      </c>
      <c r="B67" s="5" t="s">
        <v>72</v>
      </c>
      <c r="C67" s="5" t="s">
        <v>30</v>
      </c>
      <c r="D67" s="11" t="n">
        <v>44574</v>
      </c>
      <c r="E67" s="11" t="n">
        <v>44595</v>
      </c>
      <c r="F67" s="5" t="s">
        <v>75</v>
      </c>
      <c r="G67" s="12" t="n">
        <v>16253.2980556636</v>
      </c>
      <c r="H67" s="13" t="n">
        <v>4.817</v>
      </c>
      <c r="I67" s="13" t="n">
        <v>5.433</v>
      </c>
      <c r="J67" s="5" t="s">
        <v>74</v>
      </c>
      <c r="K67" s="8" t="n">
        <v>1.24380663269216</v>
      </c>
      <c r="L67" s="8" t="n">
        <v>-8624.07840481237</v>
      </c>
      <c r="M67" s="8" t="n">
        <f aca="false">M66+L67</f>
        <v>107620.416525241</v>
      </c>
      <c r="N67" s="5" t="str">
        <f aca="false">IF(L67&gt;0,"прибыль",IF(L67&lt;0,"убыток","ноль"))</f>
        <v>убыток</v>
      </c>
      <c r="O67" s="6" t="n">
        <f aca="false">IF(L67&lt;0,O66+1,0)</f>
        <v>6</v>
      </c>
      <c r="P67" s="6" t="n">
        <v>15</v>
      </c>
    </row>
    <row r="68" customFormat="false" ht="15" hidden="false" customHeight="false" outlineLevel="0" collapsed="false">
      <c r="A68" s="6" t="n">
        <v>63</v>
      </c>
      <c r="B68" s="5" t="s">
        <v>72</v>
      </c>
      <c r="C68" s="5" t="s">
        <v>25</v>
      </c>
      <c r="D68" s="11" t="n">
        <v>44537</v>
      </c>
      <c r="E68" s="11" t="n">
        <v>44608</v>
      </c>
      <c r="F68" s="5" t="s">
        <v>73</v>
      </c>
      <c r="G68" s="12" t="n">
        <v>76020.6935285053</v>
      </c>
      <c r="H68" s="13" t="n">
        <v>73.51</v>
      </c>
      <c r="I68" s="13" t="n">
        <v>93.12</v>
      </c>
      <c r="J68" s="5" t="s">
        <v>74</v>
      </c>
      <c r="K68" s="8" t="n">
        <v>14.067804767894</v>
      </c>
      <c r="L68" s="8" t="n">
        <v>17171.1200234669</v>
      </c>
      <c r="M68" s="8" t="n">
        <f aca="false">M67+L68</f>
        <v>124791.536548708</v>
      </c>
      <c r="N68" s="5" t="str">
        <f aca="false">IF(L68&gt;0,"прибыль",IF(L68&lt;0,"убыток","ноль"))</f>
        <v>прибыль</v>
      </c>
      <c r="O68" s="6" t="n">
        <f aca="false">IF(L68&lt;0,O67+1,0)</f>
        <v>0</v>
      </c>
      <c r="P68" s="6" t="n">
        <v>50</v>
      </c>
    </row>
    <row r="69" customFormat="false" ht="15" hidden="false" customHeight="false" outlineLevel="0" collapsed="false">
      <c r="A69" s="6" t="n">
        <v>64</v>
      </c>
      <c r="B69" s="5" t="s">
        <v>72</v>
      </c>
      <c r="C69" s="5" t="s">
        <v>25</v>
      </c>
      <c r="D69" s="11" t="n">
        <v>44608</v>
      </c>
      <c r="E69" s="11" t="n">
        <v>44623</v>
      </c>
      <c r="F69" s="5" t="s">
        <v>73</v>
      </c>
      <c r="G69" s="12" t="n">
        <v>161237.964091299</v>
      </c>
      <c r="H69" s="13" t="n">
        <v>93.12</v>
      </c>
      <c r="I69" s="13" t="n">
        <v>114.46</v>
      </c>
      <c r="J69" s="5" t="s">
        <v>74</v>
      </c>
      <c r="K69" s="8" t="n">
        <v>12.7068830214446</v>
      </c>
      <c r="L69" s="8" t="n">
        <v>92886.9894545701</v>
      </c>
      <c r="M69" s="8" t="n">
        <f aca="false">M68+L69</f>
        <v>217678.526003278</v>
      </c>
      <c r="N69" s="5" t="str">
        <f aca="false">IF(L69&gt;0,"прибыль",IF(L69&lt;0,"убыток","ноль"))</f>
        <v>прибыль</v>
      </c>
      <c r="O69" s="6" t="n">
        <f aca="false">IF(L69&lt;0,O68+1,0)</f>
        <v>0</v>
      </c>
      <c r="P69" s="6" t="n">
        <v>9</v>
      </c>
    </row>
    <row r="70" customFormat="false" ht="15" hidden="false" customHeight="false" outlineLevel="0" collapsed="false">
      <c r="A70" s="6" t="n">
        <v>65</v>
      </c>
      <c r="B70" s="5" t="s">
        <v>72</v>
      </c>
      <c r="C70" s="5" t="s">
        <v>25</v>
      </c>
      <c r="D70" s="11" t="n">
        <v>44623</v>
      </c>
      <c r="E70" s="11" t="n">
        <v>44630</v>
      </c>
      <c r="F70" s="5" t="s">
        <v>73</v>
      </c>
      <c r="G70" s="12" t="n">
        <v>19255.1068342237</v>
      </c>
      <c r="H70" s="13" t="n">
        <v>114.46</v>
      </c>
      <c r="I70" s="13" t="n">
        <v>120</v>
      </c>
      <c r="K70" s="8" t="n">
        <v>1.59043947565243</v>
      </c>
      <c r="L70" s="8" t="n">
        <v>12552.0922393492</v>
      </c>
      <c r="M70" s="8" t="n">
        <f aca="false">M69+L70</f>
        <v>230230.618242627</v>
      </c>
      <c r="N70" s="5" t="str">
        <f aca="false">IF(L70&gt;0,"прибыль",IF(L70&lt;0,"убыток","ноль"))</f>
        <v>прибыль</v>
      </c>
      <c r="O70" s="6" t="n">
        <f aca="false">IF(L70&lt;0,O69+1,0)</f>
        <v>0</v>
      </c>
      <c r="P70" s="6" t="n">
        <v>3</v>
      </c>
    </row>
    <row r="71" customFormat="false" ht="15" hidden="false" customHeight="false" outlineLevel="0" collapsed="false">
      <c r="A71" s="6" t="n">
        <v>66</v>
      </c>
      <c r="B71" s="5" t="s">
        <v>72</v>
      </c>
      <c r="C71" s="5" t="s">
        <v>25</v>
      </c>
      <c r="D71" s="11" t="n">
        <v>44630</v>
      </c>
      <c r="E71" s="11" t="n">
        <v>44644</v>
      </c>
      <c r="F71" s="5" t="s">
        <v>73</v>
      </c>
      <c r="G71" s="12" t="n">
        <v>14396.2770331962</v>
      </c>
      <c r="H71" s="13" t="n">
        <v>120</v>
      </c>
      <c r="I71" s="13" t="n">
        <v>121.45</v>
      </c>
      <c r="K71" s="8" t="n">
        <v>1.20277244328893</v>
      </c>
      <c r="L71" s="8" t="n">
        <v>9657.96906013915</v>
      </c>
      <c r="M71" s="8" t="n">
        <f aca="false">M70+L71</f>
        <v>239888.587302766</v>
      </c>
      <c r="N71" s="5" t="str">
        <f aca="false">IF(L71&gt;0,"прибыль",IF(L71&lt;0,"убыток","ноль"))</f>
        <v>прибыль</v>
      </c>
      <c r="O71" s="6" t="n">
        <f aca="false">IF(L71&lt;0,O70+1,0)</f>
        <v>0</v>
      </c>
      <c r="P71" s="6" t="n">
        <v>10</v>
      </c>
    </row>
    <row r="72" customFormat="false" ht="15" hidden="false" customHeight="false" outlineLevel="0" collapsed="false">
      <c r="A72" s="6" t="n">
        <v>67</v>
      </c>
      <c r="B72" s="5" t="s">
        <v>72</v>
      </c>
      <c r="C72" s="5" t="s">
        <v>30</v>
      </c>
      <c r="D72" s="11" t="n">
        <v>44595</v>
      </c>
      <c r="E72" s="11" t="n">
        <v>44670</v>
      </c>
      <c r="F72" s="5" t="s">
        <v>75</v>
      </c>
      <c r="G72" s="12" t="n">
        <v>48644.757224654</v>
      </c>
      <c r="H72" s="13" t="n">
        <v>5.433</v>
      </c>
      <c r="I72" s="13" t="n">
        <v>7.2</v>
      </c>
      <c r="J72" s="5" t="s">
        <v>74</v>
      </c>
      <c r="K72" s="8" t="n">
        <v>9.71898074518144</v>
      </c>
      <c r="L72" s="8" t="n">
        <v>-30958.7258321155</v>
      </c>
      <c r="M72" s="8" t="n">
        <f aca="false">M71+L72</f>
        <v>208929.861470651</v>
      </c>
      <c r="N72" s="5" t="str">
        <f aca="false">IF(L72&gt;0,"прибыль",IF(L72&lt;0,"убыток","ноль"))</f>
        <v>убыток</v>
      </c>
      <c r="O72" s="6" t="n">
        <f aca="false">IF(L72&lt;0,O71+1,0)</f>
        <v>1</v>
      </c>
      <c r="P72" s="6" t="n">
        <v>49</v>
      </c>
    </row>
    <row r="73" customFormat="false" ht="15" hidden="false" customHeight="false" outlineLevel="0" collapsed="false">
      <c r="A73" s="6" t="n">
        <v>68</v>
      </c>
      <c r="B73" s="5" t="s">
        <v>72</v>
      </c>
      <c r="C73" s="5" t="s">
        <v>30</v>
      </c>
      <c r="D73" s="11" t="n">
        <v>44670</v>
      </c>
      <c r="E73" s="11" t="n">
        <v>44678</v>
      </c>
      <c r="F73" s="5" t="s">
        <v>75</v>
      </c>
      <c r="G73" s="12" t="n">
        <v>31915.4217068305</v>
      </c>
      <c r="H73" s="13" t="n">
        <v>7.2</v>
      </c>
      <c r="I73" s="13" t="n">
        <v>6.849</v>
      </c>
      <c r="K73" s="8" t="n">
        <v>2.48497656410909</v>
      </c>
      <c r="L73" s="8" t="n">
        <v>-17786.5945519154</v>
      </c>
      <c r="M73" s="8" t="n">
        <f aca="false">M72+L73</f>
        <v>191143.266918735</v>
      </c>
      <c r="N73" s="5" t="str">
        <f aca="false">IF(L73&gt;0,"прибыль",IF(L73&lt;0,"убыток","ноль"))</f>
        <v>убыток</v>
      </c>
      <c r="O73" s="6" t="n">
        <f aca="false">IF(L73&lt;0,O72+1,0)</f>
        <v>2</v>
      </c>
      <c r="P73" s="6" t="n">
        <v>6</v>
      </c>
    </row>
    <row r="74" customFormat="false" ht="15" hidden="false" customHeight="false" outlineLevel="0" collapsed="false">
      <c r="A74" s="6" t="n">
        <v>69</v>
      </c>
      <c r="B74" s="5" t="s">
        <v>72</v>
      </c>
      <c r="C74" s="5" t="s">
        <v>30</v>
      </c>
      <c r="D74" s="11" t="n">
        <v>44678</v>
      </c>
      <c r="E74" s="11" t="n">
        <v>44686</v>
      </c>
      <c r="F74" s="5" t="s">
        <v>75</v>
      </c>
      <c r="G74" s="12" t="n">
        <v>23282.7184942211</v>
      </c>
      <c r="H74" s="13" t="n">
        <v>6.849</v>
      </c>
      <c r="I74" s="13" t="n">
        <v>7.65</v>
      </c>
      <c r="J74" s="5" t="s">
        <v>74</v>
      </c>
      <c r="K74" s="8" t="n">
        <v>1.95448409366242</v>
      </c>
      <c r="L74" s="8" t="n">
        <v>-15808.9178631208</v>
      </c>
      <c r="M74" s="8" t="n">
        <f aca="false">M73+L74</f>
        <v>175334.349055615</v>
      </c>
      <c r="N74" s="5" t="str">
        <f aca="false">IF(L74&gt;0,"прибыль",IF(L74&lt;0,"убыток","ноль"))</f>
        <v>убыток</v>
      </c>
      <c r="O74" s="6" t="n">
        <f aca="false">IF(L74&lt;0,O73+1,0)</f>
        <v>3</v>
      </c>
      <c r="P74" s="6" t="n">
        <v>4</v>
      </c>
    </row>
    <row r="75" customFormat="false" ht="15" hidden="false" customHeight="false" outlineLevel="0" collapsed="false">
      <c r="A75" s="6" t="n">
        <v>70</v>
      </c>
      <c r="B75" s="5" t="s">
        <v>72</v>
      </c>
      <c r="C75" s="5" t="s">
        <v>25</v>
      </c>
      <c r="D75" s="11" t="n">
        <v>44644</v>
      </c>
      <c r="E75" s="11" t="n">
        <v>44687</v>
      </c>
      <c r="F75" s="5" t="s">
        <v>73</v>
      </c>
      <c r="G75" s="12" t="n">
        <v>114820.971317539</v>
      </c>
      <c r="H75" s="13" t="n">
        <v>121.45</v>
      </c>
      <c r="I75" s="13" t="n">
        <v>112</v>
      </c>
      <c r="J75" s="5" t="s">
        <v>74</v>
      </c>
      <c r="K75" s="8" t="n">
        <v>18.6086437654547</v>
      </c>
      <c r="L75" s="8" t="n">
        <v>38240.0031908669</v>
      </c>
      <c r="M75" s="8" t="n">
        <f aca="false">M74+L75</f>
        <v>213574.352246482</v>
      </c>
      <c r="N75" s="5" t="str">
        <f aca="false">IF(L75&gt;0,"прибыль",IF(L75&lt;0,"убыток","ноль"))</f>
        <v>прибыль</v>
      </c>
      <c r="O75" s="6" t="n">
        <f aca="false">IF(L75&lt;0,O74+1,0)</f>
        <v>0</v>
      </c>
      <c r="P75" s="6" t="n">
        <v>29</v>
      </c>
    </row>
    <row r="76" customFormat="false" ht="15" hidden="false" customHeight="false" outlineLevel="0" collapsed="false">
      <c r="A76" s="6" t="n">
        <v>71</v>
      </c>
      <c r="B76" s="5" t="s">
        <v>72</v>
      </c>
      <c r="C76" s="5" t="s">
        <v>30</v>
      </c>
      <c r="D76" s="11" t="n">
        <v>44686</v>
      </c>
      <c r="E76" s="11" t="n">
        <v>44687</v>
      </c>
      <c r="F76" s="5" t="s">
        <v>75</v>
      </c>
      <c r="G76" s="12" t="n">
        <v>64700.5181699145</v>
      </c>
      <c r="H76" s="13" t="n">
        <v>7.65</v>
      </c>
      <c r="I76" s="13" t="n">
        <v>7.861</v>
      </c>
      <c r="K76" s="8" t="n">
        <v>10.9780313485557</v>
      </c>
      <c r="L76" s="8" t="n">
        <v>-46933.4283262796</v>
      </c>
      <c r="M76" s="8" t="n">
        <f aca="false">M75+L76</f>
        <v>166640.923920202</v>
      </c>
      <c r="N76" s="5" t="str">
        <f aca="false">IF(L76&gt;0,"прибыль",IF(L76&lt;0,"убыток","ноль"))</f>
        <v>убыток</v>
      </c>
      <c r="O76" s="6" t="n">
        <f aca="false">IF(L76&lt;0,O75+1,0)</f>
        <v>1</v>
      </c>
      <c r="P76" s="6" t="n">
        <v>1</v>
      </c>
    </row>
    <row r="77" customFormat="false" ht="15" hidden="false" customHeight="false" outlineLevel="0" collapsed="false">
      <c r="A77" s="6" t="n">
        <v>72</v>
      </c>
      <c r="B77" s="5" t="s">
        <v>72</v>
      </c>
      <c r="C77" s="5" t="s">
        <v>25</v>
      </c>
      <c r="D77" s="11" t="n">
        <v>44687</v>
      </c>
      <c r="E77" s="11" t="n">
        <v>44693</v>
      </c>
      <c r="F77" s="5" t="s">
        <v>75</v>
      </c>
      <c r="G77" s="12" t="n">
        <v>154938.583266914</v>
      </c>
      <c r="H77" s="13" t="n">
        <v>112</v>
      </c>
      <c r="I77" s="13" t="n">
        <v>106.06</v>
      </c>
      <c r="K77" s="8" t="n">
        <v>15.1844324135285</v>
      </c>
      <c r="L77" s="8" t="n">
        <v>7674.57241970305</v>
      </c>
      <c r="M77" s="8" t="n">
        <f aca="false">M76+L77</f>
        <v>174315.496339905</v>
      </c>
      <c r="N77" s="5" t="str">
        <f aca="false">IF(L77&gt;0,"прибыль",IF(L77&lt;0,"убыток","ноль"))</f>
        <v>прибыль</v>
      </c>
      <c r="O77" s="6" t="n">
        <f aca="false">IF(L77&lt;0,O76+1,0)</f>
        <v>0</v>
      </c>
      <c r="P77" s="6" t="n">
        <v>2</v>
      </c>
    </row>
    <row r="78" customFormat="false" ht="15" hidden="false" customHeight="false" outlineLevel="0" collapsed="false">
      <c r="A78" s="6" t="n">
        <v>73</v>
      </c>
      <c r="B78" s="5" t="s">
        <v>72</v>
      </c>
      <c r="C78" s="5" t="s">
        <v>30</v>
      </c>
      <c r="D78" s="11" t="n">
        <v>44687</v>
      </c>
      <c r="E78" s="11" t="n">
        <v>44693</v>
      </c>
      <c r="F78" s="5" t="s">
        <v>73</v>
      </c>
      <c r="G78" s="12" t="n">
        <v>107937.658506269</v>
      </c>
      <c r="H78" s="13" t="n">
        <v>7.861</v>
      </c>
      <c r="I78" s="13" t="n">
        <v>7.549</v>
      </c>
      <c r="K78" s="8" t="n">
        <v>10.2255182241924</v>
      </c>
      <c r="L78" s="8" t="n">
        <v>-4810.2537663821</v>
      </c>
      <c r="M78" s="8" t="n">
        <f aca="false">M77+L78</f>
        <v>169505.242573523</v>
      </c>
      <c r="N78" s="5" t="str">
        <f aca="false">IF(L78&gt;0,"прибыль",IF(L78&lt;0,"убыток","ноль"))</f>
        <v>убыток</v>
      </c>
      <c r="O78" s="6" t="n">
        <f aca="false">IF(L78&lt;0,O77+1,0)</f>
        <v>1</v>
      </c>
      <c r="P78" s="6" t="n">
        <v>2</v>
      </c>
    </row>
    <row r="79" customFormat="false" ht="15" hidden="false" customHeight="false" outlineLevel="0" collapsed="false">
      <c r="A79" s="6" t="n">
        <v>74</v>
      </c>
      <c r="B79" s="5" t="s">
        <v>72</v>
      </c>
      <c r="C79" s="5" t="s">
        <v>25</v>
      </c>
      <c r="D79" s="11" t="n">
        <v>44693</v>
      </c>
      <c r="E79" s="11" t="n">
        <v>44694</v>
      </c>
      <c r="F79" s="5" t="s">
        <v>73</v>
      </c>
      <c r="G79" s="12" t="n">
        <v>156439.821855773</v>
      </c>
      <c r="H79" s="13" t="n">
        <v>106.06</v>
      </c>
      <c r="I79" s="13" t="n">
        <v>108.33</v>
      </c>
      <c r="K79" s="8" t="n">
        <v>15.8289629783887</v>
      </c>
      <c r="L79" s="8" t="n">
        <v>2763.78748175661</v>
      </c>
      <c r="M79" s="8" t="n">
        <f aca="false">M78+L79</f>
        <v>172269.03005528</v>
      </c>
      <c r="N79" s="5" t="str">
        <f aca="false">IF(L79&gt;0,"прибыль",IF(L79&lt;0,"убыток","ноль"))</f>
        <v>прибыль</v>
      </c>
      <c r="O79" s="6" t="n">
        <f aca="false">IF(L79&lt;0,O78+1,0)</f>
        <v>0</v>
      </c>
      <c r="P79" s="6" t="n">
        <v>1</v>
      </c>
    </row>
    <row r="80" customFormat="false" ht="15" hidden="false" customHeight="false" outlineLevel="0" collapsed="false">
      <c r="A80" s="6" t="n">
        <v>75</v>
      </c>
      <c r="B80" s="5" t="s">
        <v>72</v>
      </c>
      <c r="C80" s="5" t="s">
        <v>30</v>
      </c>
      <c r="D80" s="11" t="n">
        <v>44693</v>
      </c>
      <c r="E80" s="11" t="n">
        <v>44694</v>
      </c>
      <c r="F80" s="5" t="s">
        <v>75</v>
      </c>
      <c r="G80" s="12" t="n">
        <v>101372.734225737</v>
      </c>
      <c r="H80" s="13" t="n">
        <v>7.549</v>
      </c>
      <c r="I80" s="13" t="n">
        <v>7.63</v>
      </c>
      <c r="K80" s="8" t="n">
        <v>10.3462152212767</v>
      </c>
      <c r="L80" s="8" t="n">
        <v>-1620.18638575021</v>
      </c>
      <c r="M80" s="8" t="n">
        <f aca="false">M79+L80</f>
        <v>170648.843669529</v>
      </c>
      <c r="N80" s="5" t="str">
        <f aca="false">IF(L80&gt;0,"прибыль",IF(L80&lt;0,"убыток","ноль"))</f>
        <v>убыток</v>
      </c>
      <c r="O80" s="6" t="n">
        <f aca="false">IF(L80&lt;0,O79+1,0)</f>
        <v>1</v>
      </c>
      <c r="P80" s="6" t="n">
        <v>1</v>
      </c>
    </row>
    <row r="81" customFormat="false" ht="15" hidden="false" customHeight="false" outlineLevel="0" collapsed="false">
      <c r="A81" s="6" t="n">
        <v>76</v>
      </c>
      <c r="B81" s="5" t="s">
        <v>72</v>
      </c>
      <c r="C81" s="5" t="s">
        <v>25</v>
      </c>
      <c r="D81" s="11" t="n">
        <v>44694</v>
      </c>
      <c r="E81" s="11" t="n">
        <v>44697</v>
      </c>
      <c r="F81" s="5" t="s">
        <v>75</v>
      </c>
      <c r="G81" s="12" t="n">
        <v>157359.821267267</v>
      </c>
      <c r="H81" s="13" t="n">
        <v>108.33</v>
      </c>
      <c r="I81" s="13" t="n">
        <v>109.85</v>
      </c>
      <c r="K81" s="8" t="n">
        <v>15.9051922127679</v>
      </c>
      <c r="L81" s="8" t="n">
        <v>-2792.25473888448</v>
      </c>
      <c r="M81" s="8" t="n">
        <f aca="false">M80+L81</f>
        <v>167856.588930645</v>
      </c>
      <c r="N81" s="5" t="str">
        <f aca="false">IF(L81&gt;0,"прибыль",IF(L81&lt;0,"убыток","ноль"))</f>
        <v>убыток</v>
      </c>
      <c r="O81" s="6" t="n">
        <f aca="false">IF(L81&lt;0,O80+1,0)</f>
        <v>2</v>
      </c>
      <c r="P81" s="6" t="n">
        <v>1</v>
      </c>
    </row>
    <row r="82" customFormat="false" ht="15" hidden="false" customHeight="false" outlineLevel="0" collapsed="false">
      <c r="A82" s="6" t="n">
        <v>77</v>
      </c>
      <c r="B82" s="5" t="s">
        <v>72</v>
      </c>
      <c r="C82" s="5" t="s">
        <v>30</v>
      </c>
      <c r="D82" s="11" t="n">
        <v>44694</v>
      </c>
      <c r="E82" s="11" t="n">
        <v>44697</v>
      </c>
      <c r="F82" s="5" t="s">
        <v>73</v>
      </c>
      <c r="G82" s="12" t="n">
        <v>103941.730029267</v>
      </c>
      <c r="H82" s="13" t="n">
        <v>7.63</v>
      </c>
      <c r="I82" s="13" t="n">
        <v>7.57</v>
      </c>
      <c r="K82" s="8" t="n">
        <v>10.3299920652074</v>
      </c>
      <c r="L82" s="8" t="n">
        <v>-1347.65757329563</v>
      </c>
      <c r="M82" s="8" t="n">
        <f aca="false">M81+L82</f>
        <v>166508.931357349</v>
      </c>
      <c r="N82" s="5" t="str">
        <f aca="false">IF(L82&gt;0,"прибыль",IF(L82&lt;0,"убыток","ноль"))</f>
        <v>убыток</v>
      </c>
      <c r="O82" s="6" t="n">
        <f aca="false">IF(L82&lt;0,O81+1,0)</f>
        <v>3</v>
      </c>
      <c r="P82" s="6" t="n">
        <v>1</v>
      </c>
    </row>
    <row r="83" customFormat="false" ht="15" hidden="false" customHeight="false" outlineLevel="0" collapsed="false">
      <c r="A83" s="6" t="n">
        <v>78</v>
      </c>
      <c r="B83" s="5" t="s">
        <v>72</v>
      </c>
      <c r="C83" s="5" t="s">
        <v>25</v>
      </c>
      <c r="D83" s="11" t="n">
        <v>44697</v>
      </c>
      <c r="E83" s="11" t="n">
        <v>44700</v>
      </c>
      <c r="F83" s="5" t="s">
        <v>73</v>
      </c>
      <c r="G83" s="12" t="n">
        <v>157967.673441418</v>
      </c>
      <c r="H83" s="13" t="n">
        <v>109.85</v>
      </c>
      <c r="I83" s="13" t="n">
        <v>109.86</v>
      </c>
      <c r="K83" s="8" t="n">
        <v>16.0550907167678</v>
      </c>
      <c r="L83" s="8" t="n">
        <v>-553.658234546538</v>
      </c>
      <c r="M83" s="8" t="n">
        <f aca="false">M82+L83</f>
        <v>165955.273122803</v>
      </c>
      <c r="N83" s="5" t="str">
        <f aca="false">IF(L83&gt;0,"прибыль",IF(L83&lt;0,"убыток","ноль"))</f>
        <v>убыток</v>
      </c>
      <c r="O83" s="6" t="n">
        <f aca="false">IF(L83&lt;0,O82+1,0)</f>
        <v>4</v>
      </c>
      <c r="P83" s="6" t="n">
        <v>3</v>
      </c>
    </row>
    <row r="84" customFormat="false" ht="15" hidden="false" customHeight="false" outlineLevel="0" collapsed="false">
      <c r="A84" s="6" t="n">
        <v>79</v>
      </c>
      <c r="B84" s="5" t="s">
        <v>72</v>
      </c>
      <c r="C84" s="5" t="s">
        <v>30</v>
      </c>
      <c r="D84" s="11" t="n">
        <v>44697</v>
      </c>
      <c r="E84" s="11" t="n">
        <v>44700</v>
      </c>
      <c r="F84" s="5" t="s">
        <v>75</v>
      </c>
      <c r="G84" s="12" t="n">
        <v>103995.438856112</v>
      </c>
      <c r="H84" s="13" t="n">
        <v>7.57</v>
      </c>
      <c r="I84" s="13" t="n">
        <v>8.06</v>
      </c>
      <c r="K84" s="8" t="n">
        <v>10.7491752539723</v>
      </c>
      <c r="L84" s="8" t="n">
        <v>-7301.18528884101</v>
      </c>
      <c r="M84" s="8" t="n">
        <f aca="false">M83+L84</f>
        <v>158654.087833962</v>
      </c>
      <c r="N84" s="5" t="str">
        <f aca="false">IF(L84&gt;0,"прибыль",IF(L84&lt;0,"убыток","ноль"))</f>
        <v>убыток</v>
      </c>
      <c r="O84" s="6" t="n">
        <f aca="false">IF(L84&lt;0,O83+1,0)</f>
        <v>5</v>
      </c>
      <c r="P84" s="6" t="n">
        <v>3</v>
      </c>
    </row>
    <row r="85" customFormat="false" ht="15" hidden="false" customHeight="false" outlineLevel="0" collapsed="false">
      <c r="A85" s="6" t="n">
        <v>80</v>
      </c>
      <c r="B85" s="5" t="s">
        <v>72</v>
      </c>
      <c r="C85" s="5" t="s">
        <v>25</v>
      </c>
      <c r="D85" s="11" t="n">
        <v>44700</v>
      </c>
      <c r="E85" s="11" t="n">
        <v>44701</v>
      </c>
      <c r="F85" s="5" t="s">
        <v>75</v>
      </c>
      <c r="G85" s="12" t="n">
        <v>163671.744037767</v>
      </c>
      <c r="H85" s="13" t="n">
        <v>109.86</v>
      </c>
      <c r="I85" s="13" t="n">
        <v>110.23</v>
      </c>
      <c r="K85" s="8" t="n">
        <v>16.9561027343018</v>
      </c>
      <c r="L85" s="8" t="n">
        <v>-1122.04989684008</v>
      </c>
      <c r="M85" s="8" t="n">
        <f aca="false">M84+L85</f>
        <v>157532.037937122</v>
      </c>
      <c r="N85" s="5" t="str">
        <f aca="false">IF(L85&gt;0,"прибыль",IF(L85&lt;0,"убыток","ноль"))</f>
        <v>убыток</v>
      </c>
      <c r="O85" s="6" t="n">
        <f aca="false">IF(L85&lt;0,O84+1,0)</f>
        <v>6</v>
      </c>
      <c r="P85" s="6" t="n">
        <v>1</v>
      </c>
    </row>
    <row r="86" customFormat="false" ht="15" hidden="false" customHeight="false" outlineLevel="0" collapsed="false">
      <c r="A86" s="6" t="n">
        <v>81</v>
      </c>
      <c r="B86" s="5" t="s">
        <v>72</v>
      </c>
      <c r="C86" s="5" t="s">
        <v>30</v>
      </c>
      <c r="D86" s="11" t="n">
        <v>44700</v>
      </c>
      <c r="E86" s="11" t="n">
        <v>44701</v>
      </c>
      <c r="F86" s="5" t="s">
        <v>73</v>
      </c>
      <c r="G86" s="12" t="n">
        <v>103697.630109747</v>
      </c>
      <c r="H86" s="13" t="n">
        <v>8.06</v>
      </c>
      <c r="I86" s="13" t="n">
        <v>8.18</v>
      </c>
      <c r="K86" s="8" t="n">
        <v>10.3975740604356</v>
      </c>
      <c r="L86" s="8" t="n">
        <v>1007.9016759118</v>
      </c>
      <c r="M86" s="8" t="n">
        <f aca="false">M85+L86</f>
        <v>158539.939613033</v>
      </c>
      <c r="N86" s="5" t="str">
        <f aca="false">IF(L86&gt;0,"прибыль",IF(L86&lt;0,"убыток","ноль"))</f>
        <v>прибыль</v>
      </c>
      <c r="O86" s="6" t="n">
        <f aca="false">IF(L86&lt;0,O85+1,0)</f>
        <v>0</v>
      </c>
      <c r="P86" s="6" t="n">
        <v>1</v>
      </c>
    </row>
    <row r="87" customFormat="false" ht="15" hidden="false" customHeight="false" outlineLevel="0" collapsed="false">
      <c r="A87" s="6" t="n">
        <v>82</v>
      </c>
      <c r="B87" s="5" t="s">
        <v>72</v>
      </c>
      <c r="C87" s="5" t="s">
        <v>25</v>
      </c>
      <c r="D87" s="11" t="n">
        <v>44701</v>
      </c>
      <c r="E87" s="11" t="n">
        <v>44704</v>
      </c>
      <c r="F87" s="5" t="s">
        <v>73</v>
      </c>
      <c r="G87" s="12" t="n">
        <v>174345.216854163</v>
      </c>
      <c r="H87" s="13" t="n">
        <v>110.23</v>
      </c>
      <c r="I87" s="13" t="n">
        <v>111.99</v>
      </c>
      <c r="K87" s="8" t="n">
        <v>17.5332355192258</v>
      </c>
      <c r="L87" s="8" t="n">
        <v>2184.88058712036</v>
      </c>
      <c r="M87" s="8" t="n">
        <f aca="false">M86+L87</f>
        <v>160724.820200154</v>
      </c>
      <c r="N87" s="5" t="str">
        <f aca="false">IF(L87&gt;0,"прибыль",IF(L87&lt;0,"убыток","ноль"))</f>
        <v>прибыль</v>
      </c>
      <c r="O87" s="6" t="n">
        <f aca="false">IF(L87&lt;0,O86+1,0)</f>
        <v>0</v>
      </c>
      <c r="P87" s="6" t="n">
        <v>1</v>
      </c>
    </row>
    <row r="88" customFormat="false" ht="15" hidden="false" customHeight="false" outlineLevel="0" collapsed="false">
      <c r="A88" s="6" t="n">
        <v>83</v>
      </c>
      <c r="B88" s="5" t="s">
        <v>72</v>
      </c>
      <c r="C88" s="5" t="s">
        <v>30</v>
      </c>
      <c r="D88" s="11" t="n">
        <v>44701</v>
      </c>
      <c r="E88" s="11" t="n">
        <v>44704</v>
      </c>
      <c r="F88" s="5" t="s">
        <v>75</v>
      </c>
      <c r="G88" s="12" t="n">
        <v>103235.551848992</v>
      </c>
      <c r="H88" s="13" t="n">
        <v>8.18</v>
      </c>
      <c r="I88" s="13" t="n">
        <v>8.067</v>
      </c>
      <c r="K88" s="8" t="n">
        <v>10.8029227064862</v>
      </c>
      <c r="L88" s="8" t="n">
        <v>923.41315589341</v>
      </c>
      <c r="M88" s="8" t="n">
        <f aca="false">M87+L88</f>
        <v>161648.233356047</v>
      </c>
      <c r="N88" s="5" t="str">
        <f aca="false">IF(L88&gt;0,"прибыль",IF(L88&lt;0,"убыток","ноль"))</f>
        <v>прибыль</v>
      </c>
      <c r="O88" s="6" t="n">
        <f aca="false">IF(L88&lt;0,O87+1,0)</f>
        <v>0</v>
      </c>
      <c r="P88" s="6" t="n">
        <v>1</v>
      </c>
    </row>
    <row r="89" customFormat="false" ht="15" hidden="false" customHeight="false" outlineLevel="0" collapsed="false">
      <c r="A89" s="6" t="n">
        <v>84</v>
      </c>
      <c r="B89" s="5" t="s">
        <v>72</v>
      </c>
      <c r="C89" s="5" t="s">
        <v>25</v>
      </c>
      <c r="D89" s="11" t="n">
        <v>44704</v>
      </c>
      <c r="E89" s="11" t="n">
        <v>44708</v>
      </c>
      <c r="F89" s="5" t="s">
        <v>75</v>
      </c>
      <c r="G89" s="12" t="n">
        <v>174117.079707713</v>
      </c>
      <c r="H89" s="13" t="n">
        <v>111.99</v>
      </c>
      <c r="I89" s="13" t="n">
        <v>115.68</v>
      </c>
      <c r="K89" s="8" t="n">
        <v>17.9913010910244</v>
      </c>
      <c r="L89" s="8" t="n">
        <v>-6340.51892175184</v>
      </c>
      <c r="M89" s="8" t="n">
        <f aca="false">M88+L89</f>
        <v>155307.714434295</v>
      </c>
      <c r="N89" s="5" t="str">
        <f aca="false">IF(L89&gt;0,"прибыль",IF(L89&lt;0,"убыток","ноль"))</f>
        <v>убыток</v>
      </c>
      <c r="O89" s="6" t="n">
        <f aca="false">IF(L89&lt;0,O88+1,0)</f>
        <v>1</v>
      </c>
      <c r="P89" s="6" t="n">
        <v>4</v>
      </c>
    </row>
    <row r="90" customFormat="false" ht="15" hidden="false" customHeight="false" outlineLevel="0" collapsed="false">
      <c r="A90" s="6" t="n">
        <v>85</v>
      </c>
      <c r="B90" s="5" t="s">
        <v>72</v>
      </c>
      <c r="C90" s="5" t="s">
        <v>30</v>
      </c>
      <c r="D90" s="11" t="n">
        <v>44704</v>
      </c>
      <c r="E90" s="11" t="n">
        <v>44708</v>
      </c>
      <c r="F90" s="5" t="s">
        <v>73</v>
      </c>
      <c r="G90" s="12" t="n">
        <v>113757.118359331</v>
      </c>
      <c r="H90" s="13" t="n">
        <v>8.067</v>
      </c>
      <c r="I90" s="13" t="n">
        <v>8.845</v>
      </c>
      <c r="J90" s="5" t="s">
        <v>74</v>
      </c>
      <c r="K90" s="8" t="n">
        <v>11.9855724536102</v>
      </c>
      <c r="L90" s="8" t="n">
        <v>12150.4229368808</v>
      </c>
      <c r="M90" s="8" t="n">
        <f aca="false">M89+L90</f>
        <v>167458.137371176</v>
      </c>
      <c r="N90" s="5" t="str">
        <f aca="false">IF(L90&gt;0,"прибыль",IF(L90&lt;0,"убыток","ноль"))</f>
        <v>прибыль</v>
      </c>
      <c r="O90" s="6" t="n">
        <f aca="false">IF(L90&lt;0,O89+1,0)</f>
        <v>0</v>
      </c>
      <c r="P90" s="6" t="n">
        <v>4</v>
      </c>
    </row>
    <row r="91" customFormat="false" ht="15" hidden="false" customHeight="false" outlineLevel="0" collapsed="false">
      <c r="A91" s="6" t="n">
        <v>86</v>
      </c>
      <c r="B91" s="5" t="s">
        <v>72</v>
      </c>
      <c r="C91" s="5" t="s">
        <v>25</v>
      </c>
      <c r="D91" s="11" t="n">
        <v>44708</v>
      </c>
      <c r="E91" s="11" t="n">
        <v>44711</v>
      </c>
      <c r="F91" s="5" t="s">
        <v>73</v>
      </c>
      <c r="G91" s="12" t="n">
        <v>179386.414492115</v>
      </c>
      <c r="H91" s="13" t="n">
        <v>115.68</v>
      </c>
      <c r="I91" s="13" t="n">
        <v>116.85</v>
      </c>
      <c r="K91" s="8" t="n">
        <v>19.88250159772</v>
      </c>
      <c r="L91" s="8" t="n">
        <v>1255.75184029136</v>
      </c>
      <c r="M91" s="8" t="n">
        <f aca="false">M90+L91</f>
        <v>168713.889211467</v>
      </c>
      <c r="N91" s="5" t="str">
        <f aca="false">IF(L91&gt;0,"прибыль",IF(L91&lt;0,"убыток","ноль"))</f>
        <v>прибыль</v>
      </c>
      <c r="O91" s="6" t="n">
        <f aca="false">IF(L91&lt;0,O90+1,0)</f>
        <v>0</v>
      </c>
      <c r="P91" s="6" t="n">
        <v>1</v>
      </c>
    </row>
    <row r="92" customFormat="false" ht="15" hidden="false" customHeight="false" outlineLevel="0" collapsed="false">
      <c r="A92" s="6" t="n">
        <v>87</v>
      </c>
      <c r="B92" s="5" t="s">
        <v>72</v>
      </c>
      <c r="C92" s="5" t="s">
        <v>30</v>
      </c>
      <c r="D92" s="11" t="n">
        <v>44708</v>
      </c>
      <c r="E92" s="11" t="n">
        <v>44711</v>
      </c>
      <c r="F92" s="5" t="s">
        <v>75</v>
      </c>
      <c r="G92" s="12" t="n">
        <v>113791.922203539</v>
      </c>
      <c r="H92" s="13" t="n">
        <v>8.845</v>
      </c>
      <c r="I92" s="13" t="n">
        <v>8.677</v>
      </c>
      <c r="K92" s="8" t="n">
        <v>11.3054895299132</v>
      </c>
      <c r="L92" s="8" t="n">
        <v>1630.12892756017</v>
      </c>
      <c r="M92" s="8" t="n">
        <f aca="false">M91+L92</f>
        <v>170344.018139028</v>
      </c>
      <c r="N92" s="5" t="str">
        <f aca="false">IF(L92&gt;0,"прибыль",IF(L92&lt;0,"убыток","ноль"))</f>
        <v>прибыль</v>
      </c>
      <c r="O92" s="6" t="n">
        <f aca="false">IF(L92&lt;0,O91+1,0)</f>
        <v>0</v>
      </c>
      <c r="P92" s="6" t="n">
        <v>1</v>
      </c>
    </row>
    <row r="93" customFormat="false" ht="15" hidden="false" customHeight="false" outlineLevel="0" collapsed="false">
      <c r="A93" s="6" t="n">
        <v>88</v>
      </c>
      <c r="B93" s="5" t="s">
        <v>72</v>
      </c>
      <c r="C93" s="5" t="s">
        <v>30</v>
      </c>
      <c r="D93" s="11" t="n">
        <v>44711</v>
      </c>
      <c r="E93" s="11" t="n">
        <v>44727</v>
      </c>
      <c r="F93" s="5" t="s">
        <v>73</v>
      </c>
      <c r="G93" s="12" t="n">
        <v>35382.7941933221</v>
      </c>
      <c r="H93" s="13" t="n">
        <v>8.677</v>
      </c>
      <c r="I93" s="13" t="n">
        <v>7.513</v>
      </c>
      <c r="K93" s="8" t="n">
        <v>4.19558877040829</v>
      </c>
      <c r="L93" s="8" t="n">
        <v>-4943.65487484103</v>
      </c>
      <c r="M93" s="8" t="n">
        <f aca="false">M92+L93</f>
        <v>165400.363264187</v>
      </c>
      <c r="N93" s="5" t="str">
        <f aca="false">IF(L93&gt;0,"прибыль",IF(L93&lt;0,"убыток","ноль"))</f>
        <v>убыток</v>
      </c>
      <c r="O93" s="6" t="n">
        <f aca="false">IF(L93&lt;0,O92+1,0)</f>
        <v>1</v>
      </c>
      <c r="P93" s="6" t="n">
        <v>11</v>
      </c>
    </row>
    <row r="94" customFormat="false" ht="15" hidden="false" customHeight="false" outlineLevel="0" collapsed="false">
      <c r="A94" s="6" t="n">
        <v>89</v>
      </c>
      <c r="B94" s="5" t="s">
        <v>72</v>
      </c>
      <c r="C94" s="5" t="s">
        <v>25</v>
      </c>
      <c r="D94" s="11" t="n">
        <v>44711</v>
      </c>
      <c r="E94" s="11" t="n">
        <v>44740</v>
      </c>
      <c r="F94" s="5" t="s">
        <v>75</v>
      </c>
      <c r="G94" s="12" t="n">
        <v>286959.39952019</v>
      </c>
      <c r="H94" s="13" t="n">
        <v>116.85</v>
      </c>
      <c r="I94" s="13" t="n">
        <v>115.74</v>
      </c>
      <c r="J94" s="5" t="s">
        <v>74</v>
      </c>
      <c r="K94" s="8" t="n">
        <v>30.5856478115089</v>
      </c>
      <c r="L94" s="8" t="n">
        <v>-5844.92575079848</v>
      </c>
      <c r="M94" s="8" t="n">
        <f aca="false">M93+L94</f>
        <v>159555.437513388</v>
      </c>
      <c r="N94" s="5" t="str">
        <f aca="false">IF(L94&gt;0,"прибыль",IF(L94&lt;0,"убыток","ноль"))</f>
        <v>убыток</v>
      </c>
      <c r="O94" s="6" t="n">
        <f aca="false">IF(L94&lt;0,O93+1,0)</f>
        <v>2</v>
      </c>
      <c r="P94" s="6" t="n">
        <v>20</v>
      </c>
    </row>
    <row r="95" customFormat="false" ht="15" hidden="false" customHeight="false" outlineLevel="0" collapsed="false">
      <c r="A95" s="6" t="n">
        <v>90</v>
      </c>
      <c r="B95" s="5" t="s">
        <v>72</v>
      </c>
      <c r="C95" s="5" t="s">
        <v>30</v>
      </c>
      <c r="D95" s="11" t="n">
        <v>44727</v>
      </c>
      <c r="E95" s="11" t="n">
        <v>44740</v>
      </c>
      <c r="F95" s="5" t="s">
        <v>73</v>
      </c>
      <c r="G95" s="12" t="n">
        <v>153568.050420096</v>
      </c>
      <c r="H95" s="13" t="n">
        <v>7.513</v>
      </c>
      <c r="I95" s="13" t="n">
        <v>6.361</v>
      </c>
      <c r="K95" s="8" t="n">
        <v>12.8772056986605</v>
      </c>
      <c r="L95" s="8" t="n">
        <v>-35102.1541659257</v>
      </c>
      <c r="M95" s="8" t="n">
        <f aca="false">M94+L95</f>
        <v>124453.283347462</v>
      </c>
      <c r="N95" s="5" t="str">
        <f aca="false">IF(L95&gt;0,"прибыль",IF(L95&lt;0,"убыток","ноль"))</f>
        <v>убыток</v>
      </c>
      <c r="O95" s="6" t="n">
        <f aca="false">IF(L95&lt;0,O94+1,0)</f>
        <v>3</v>
      </c>
      <c r="P95" s="6" t="n">
        <v>9</v>
      </c>
    </row>
    <row r="96" customFormat="false" ht="15" hidden="false" customHeight="false" outlineLevel="0" collapsed="false">
      <c r="A96" s="6" t="n">
        <v>91</v>
      </c>
      <c r="B96" s="5" t="s">
        <v>72</v>
      </c>
      <c r="C96" s="5" t="s">
        <v>25</v>
      </c>
      <c r="D96" s="11" t="n">
        <v>44740</v>
      </c>
      <c r="E96" s="11" t="n">
        <v>44750</v>
      </c>
      <c r="F96" s="5" t="s">
        <v>73</v>
      </c>
      <c r="G96" s="12" t="n">
        <v>71906.5634407284</v>
      </c>
      <c r="H96" s="13" t="n">
        <v>115.74</v>
      </c>
      <c r="I96" s="13" t="n">
        <v>106.01</v>
      </c>
      <c r="J96" s="5" t="s">
        <v>74</v>
      </c>
      <c r="K96" s="8" t="n">
        <v>3.3564901996652</v>
      </c>
      <c r="L96" s="8" t="n">
        <v>-4780.11593762406</v>
      </c>
      <c r="M96" s="8" t="n">
        <f aca="false">M95+L96</f>
        <v>119673.167409838</v>
      </c>
      <c r="N96" s="5" t="str">
        <f aca="false">IF(L96&gt;0,"прибыль",IF(L96&lt;0,"убыток","ноль"))</f>
        <v>убыток</v>
      </c>
      <c r="O96" s="6" t="n">
        <f aca="false">IF(L96&lt;0,O95+1,0)</f>
        <v>4</v>
      </c>
      <c r="P96" s="6" t="n">
        <v>8</v>
      </c>
    </row>
    <row r="97" customFormat="false" ht="15" hidden="false" customHeight="false" outlineLevel="0" collapsed="false">
      <c r="A97" s="6" t="n">
        <v>92</v>
      </c>
      <c r="B97" s="5" t="s">
        <v>72</v>
      </c>
      <c r="C97" s="5" t="s">
        <v>25</v>
      </c>
      <c r="D97" s="11" t="n">
        <v>44750</v>
      </c>
      <c r="E97" s="11" t="n">
        <v>44756</v>
      </c>
      <c r="F97" s="5" t="s">
        <v>73</v>
      </c>
      <c r="G97" s="12" t="n">
        <v>177061.236766478</v>
      </c>
      <c r="H97" s="13" t="n">
        <v>106.01</v>
      </c>
      <c r="I97" s="13" t="n">
        <v>101</v>
      </c>
      <c r="K97" s="8" t="n">
        <v>15.7220894850323</v>
      </c>
      <c r="L97" s="8" t="n">
        <v>-19602.3809547809</v>
      </c>
      <c r="M97" s="8" t="n">
        <f aca="false">M96+L97</f>
        <v>100070.786455057</v>
      </c>
      <c r="N97" s="5" t="str">
        <f aca="false">IF(L97&gt;0,"прибыль",IF(L97&lt;0,"убыток","ноль"))</f>
        <v>убыток</v>
      </c>
      <c r="O97" s="6" t="n">
        <f aca="false">IF(L97&lt;0,O96+1,0)</f>
        <v>5</v>
      </c>
      <c r="P97" s="6" t="n">
        <v>4</v>
      </c>
    </row>
    <row r="98" customFormat="false" ht="15" hidden="false" customHeight="false" outlineLevel="0" collapsed="false">
      <c r="A98" s="6" t="n">
        <v>93</v>
      </c>
      <c r="B98" s="5" t="s">
        <v>72</v>
      </c>
      <c r="C98" s="5" t="s">
        <v>30</v>
      </c>
      <c r="D98" s="11" t="n">
        <v>44740</v>
      </c>
      <c r="E98" s="11" t="n">
        <v>44756</v>
      </c>
      <c r="F98" s="5" t="s">
        <v>75</v>
      </c>
      <c r="G98" s="12" t="n">
        <v>117542.239212652</v>
      </c>
      <c r="H98" s="13" t="n">
        <v>6.361</v>
      </c>
      <c r="I98" s="13" t="n">
        <v>6.572</v>
      </c>
      <c r="J98" s="5" t="s">
        <v>74</v>
      </c>
      <c r="K98" s="8" t="n">
        <v>10.7707258552981</v>
      </c>
      <c r="L98" s="8" t="n">
        <v>1730.61462909009</v>
      </c>
      <c r="M98" s="8" t="n">
        <f aca="false">M97+L98</f>
        <v>101801.401084148</v>
      </c>
      <c r="N98" s="5" t="str">
        <f aca="false">IF(L98&gt;0,"прибыль",IF(L98&lt;0,"убыток","ноль"))</f>
        <v>прибыль</v>
      </c>
      <c r="O98" s="6" t="n">
        <f aca="false">IF(L98&lt;0,O97+1,0)</f>
        <v>0</v>
      </c>
      <c r="P98" s="6" t="n">
        <v>12</v>
      </c>
    </row>
    <row r="99" customFormat="false" ht="15" hidden="false" customHeight="false" outlineLevel="0" collapsed="false">
      <c r="A99" s="6" t="n">
        <v>94</v>
      </c>
      <c r="B99" s="5" t="s">
        <v>72</v>
      </c>
      <c r="C99" s="5" t="s">
        <v>30</v>
      </c>
      <c r="D99" s="11" t="n">
        <v>44756</v>
      </c>
      <c r="E99" s="11" t="n">
        <v>44768</v>
      </c>
      <c r="F99" s="5" t="s">
        <v>73</v>
      </c>
      <c r="G99" s="12" t="n">
        <v>25544.0474078341</v>
      </c>
      <c r="H99" s="13" t="n">
        <v>6.572</v>
      </c>
      <c r="I99" s="13" t="n">
        <v>8.727</v>
      </c>
      <c r="K99" s="8" t="n">
        <v>1.68712202501869</v>
      </c>
      <c r="L99" s="8" t="n">
        <v>8196.70597051472</v>
      </c>
      <c r="M99" s="8" t="n">
        <f aca="false">M98+L99</f>
        <v>109998.107054662</v>
      </c>
      <c r="N99" s="5" t="str">
        <f aca="false">IF(L99&gt;0,"прибыль",IF(L99&lt;0,"убыток","ноль"))</f>
        <v>прибыль</v>
      </c>
      <c r="O99" s="6" t="n">
        <f aca="false">IF(L99&lt;0,O98+1,0)</f>
        <v>0</v>
      </c>
      <c r="P99" s="6" t="n">
        <v>8</v>
      </c>
    </row>
    <row r="100" customFormat="false" ht="15" hidden="false" customHeight="false" outlineLevel="0" collapsed="false">
      <c r="A100" s="6" t="n">
        <v>95</v>
      </c>
      <c r="B100" s="5" t="s">
        <v>72</v>
      </c>
      <c r="C100" s="5" t="s">
        <v>25</v>
      </c>
      <c r="D100" s="11" t="n">
        <v>44756</v>
      </c>
      <c r="E100" s="11" t="n">
        <v>44803</v>
      </c>
      <c r="F100" s="5" t="s">
        <v>75</v>
      </c>
      <c r="G100" s="12" t="n">
        <v>52518.2454098767</v>
      </c>
      <c r="H100" s="13" t="n">
        <v>101</v>
      </c>
      <c r="I100" s="13" t="n">
        <v>104.77</v>
      </c>
      <c r="J100" s="5" t="s">
        <v>74</v>
      </c>
      <c r="K100" s="8" t="n">
        <v>8.15032706342997</v>
      </c>
      <c r="L100" s="8" t="n">
        <v>-5978.18060171738</v>
      </c>
      <c r="M100" s="8" t="n">
        <f aca="false">M99+L100</f>
        <v>104019.926452945</v>
      </c>
      <c r="N100" s="5" t="str">
        <f aca="false">IF(L100&gt;0,"прибыль",IF(L100&lt;0,"убыток","ноль"))</f>
        <v>убыток</v>
      </c>
      <c r="O100" s="6" t="n">
        <f aca="false">IF(L100&lt;0,O99+1,0)</f>
        <v>1</v>
      </c>
      <c r="P100" s="6" t="n">
        <v>33</v>
      </c>
    </row>
    <row r="101" customFormat="false" ht="15" hidden="false" customHeight="false" outlineLevel="0" collapsed="false">
      <c r="A101" s="6" t="n">
        <v>96</v>
      </c>
      <c r="B101" s="5" t="s">
        <v>72</v>
      </c>
      <c r="C101" s="5" t="s">
        <v>25</v>
      </c>
      <c r="D101" s="11" t="n">
        <v>44803</v>
      </c>
      <c r="E101" s="11" t="n">
        <v>44838</v>
      </c>
      <c r="F101" s="5" t="s">
        <v>75</v>
      </c>
      <c r="G101" s="12" t="n">
        <v>208967.231973656</v>
      </c>
      <c r="H101" s="13" t="n">
        <v>104.77</v>
      </c>
      <c r="I101" s="13" t="n">
        <v>90.69</v>
      </c>
      <c r="J101" s="5" t="s">
        <v>74</v>
      </c>
      <c r="K101" s="8" t="n">
        <v>21.1260341347733</v>
      </c>
      <c r="L101" s="8" t="n">
        <v>12263.4801836333</v>
      </c>
      <c r="M101" s="8" t="n">
        <f aca="false">M100+L101</f>
        <v>116283.406636578</v>
      </c>
      <c r="N101" s="5" t="str">
        <f aca="false">IF(L101&gt;0,"прибыль",IF(L101&lt;0,"убыток","ноль"))</f>
        <v>прибыль</v>
      </c>
      <c r="O101" s="6" t="n">
        <f aca="false">IF(L101&lt;0,O100+1,0)</f>
        <v>0</v>
      </c>
      <c r="P101" s="6" t="n">
        <v>25</v>
      </c>
    </row>
    <row r="102" customFormat="false" ht="15" hidden="false" customHeight="false" outlineLevel="0" collapsed="false">
      <c r="A102" s="6" t="n">
        <v>97</v>
      </c>
      <c r="B102" s="5" t="s">
        <v>72</v>
      </c>
      <c r="C102" s="5" t="s">
        <v>30</v>
      </c>
      <c r="D102" s="11" t="n">
        <v>44768</v>
      </c>
      <c r="E102" s="11" t="n">
        <v>44838</v>
      </c>
      <c r="F102" s="5" t="s">
        <v>73</v>
      </c>
      <c r="G102" s="12" t="n">
        <v>122345.148302397</v>
      </c>
      <c r="H102" s="13" t="n">
        <v>8.727</v>
      </c>
      <c r="I102" s="13" t="n">
        <v>6.694</v>
      </c>
      <c r="J102" s="5" t="s">
        <v>74</v>
      </c>
      <c r="K102" s="8" t="n">
        <v>13.9766365622135</v>
      </c>
      <c r="L102" s="8" t="n">
        <v>-13678.1796258886</v>
      </c>
      <c r="M102" s="8" t="n">
        <f aca="false">M101+L102</f>
        <v>102605.22701069</v>
      </c>
      <c r="N102" s="5" t="str">
        <f aca="false">IF(L102&gt;0,"прибыль",IF(L102&lt;0,"убыток","ноль"))</f>
        <v>убыток</v>
      </c>
      <c r="O102" s="6" t="n">
        <f aca="false">IF(L102&lt;0,O101+1,0)</f>
        <v>1</v>
      </c>
      <c r="P102" s="6" t="n">
        <v>50</v>
      </c>
    </row>
    <row r="103" customFormat="false" ht="15" hidden="false" customHeight="false" outlineLevel="0" collapsed="false">
      <c r="A103" s="6" t="n">
        <v>98</v>
      </c>
      <c r="B103" s="5" t="s">
        <v>72</v>
      </c>
      <c r="C103" s="5" t="s">
        <v>30</v>
      </c>
      <c r="D103" s="11" t="n">
        <v>44838</v>
      </c>
      <c r="E103" s="11" t="n">
        <v>44860</v>
      </c>
      <c r="F103" s="5" t="s">
        <v>75</v>
      </c>
      <c r="G103" s="12" t="n">
        <v>65322.0038435958</v>
      </c>
      <c r="H103" s="13" t="n">
        <v>6.694</v>
      </c>
      <c r="I103" s="13" t="n">
        <v>5.709</v>
      </c>
      <c r="K103" s="8" t="n">
        <v>6.72239163460308</v>
      </c>
      <c r="L103" s="8" t="n">
        <v>7009.637283045</v>
      </c>
      <c r="M103" s="8" t="n">
        <f aca="false">M102+L103</f>
        <v>109614.864293735</v>
      </c>
      <c r="N103" s="5" t="str">
        <f aca="false">IF(L103&gt;0,"прибыль",IF(L103&lt;0,"убыток","ноль"))</f>
        <v>прибыль</v>
      </c>
      <c r="O103" s="6" t="n">
        <f aca="false">IF(L103&lt;0,O102+1,0)</f>
        <v>0</v>
      </c>
      <c r="P103" s="6" t="n">
        <v>16</v>
      </c>
    </row>
    <row r="104" customFormat="false" ht="15" hidden="false" customHeight="false" outlineLevel="0" collapsed="false">
      <c r="A104" s="6" t="n">
        <v>99</v>
      </c>
      <c r="B104" s="5" t="s">
        <v>72</v>
      </c>
      <c r="C104" s="5" t="s">
        <v>30</v>
      </c>
      <c r="D104" s="11" t="n">
        <v>44860</v>
      </c>
      <c r="E104" s="11" t="n">
        <v>44873</v>
      </c>
      <c r="F104" s="5" t="s">
        <v>75</v>
      </c>
      <c r="G104" s="12" t="n">
        <v>45189.9989408211</v>
      </c>
      <c r="H104" s="13" t="n">
        <v>5.709</v>
      </c>
      <c r="I104" s="13" t="n">
        <v>6.75</v>
      </c>
      <c r="J104" s="5" t="s">
        <v>74</v>
      </c>
      <c r="K104" s="8" t="n">
        <v>2.23434510202466</v>
      </c>
      <c r="L104" s="8" t="n">
        <v>500.862555225832</v>
      </c>
      <c r="M104" s="8" t="n">
        <f aca="false">M103+L104</f>
        <v>110115.72684896</v>
      </c>
      <c r="N104" s="5" t="str">
        <f aca="false">IF(L104&gt;0,"прибыль",IF(L104&lt;0,"убыток","ноль"))</f>
        <v>прибыль</v>
      </c>
      <c r="O104" s="6" t="n">
        <f aca="false">IF(L104&lt;0,O103+1,0)</f>
        <v>0</v>
      </c>
      <c r="P104" s="6" t="n">
        <v>8</v>
      </c>
    </row>
    <row r="105" customFormat="false" ht="15" hidden="false" customHeight="false" outlineLevel="0" collapsed="false">
      <c r="A105" s="6" t="n">
        <v>100</v>
      </c>
      <c r="B105" s="5" t="s">
        <v>72</v>
      </c>
      <c r="C105" s="5" t="s">
        <v>25</v>
      </c>
      <c r="D105" s="11" t="n">
        <v>44838</v>
      </c>
      <c r="E105" s="11" t="n">
        <v>44896</v>
      </c>
      <c r="F105" s="5" t="s">
        <v>73</v>
      </c>
      <c r="G105" s="12" t="n">
        <v>276920.586703807</v>
      </c>
      <c r="H105" s="13" t="n">
        <v>90.69</v>
      </c>
      <c r="I105" s="13" t="n">
        <v>85.47</v>
      </c>
      <c r="J105" s="5" t="s">
        <v>74</v>
      </c>
      <c r="K105" s="8" t="n">
        <v>27.1510656403097</v>
      </c>
      <c r="L105" s="8" t="n">
        <v>-21127.0000961474</v>
      </c>
      <c r="M105" s="8" t="n">
        <f aca="false">M104+L105</f>
        <v>88988.7267528129</v>
      </c>
      <c r="N105" s="5" t="str">
        <f aca="false">IF(L105&gt;0,"прибыль",IF(L105&lt;0,"убыток","ноль"))</f>
        <v>убыток</v>
      </c>
      <c r="O105" s="6" t="n">
        <f aca="false">IF(L105&lt;0,O104+1,0)</f>
        <v>1</v>
      </c>
      <c r="P105" s="6" t="n">
        <v>41</v>
      </c>
    </row>
    <row r="106" customFormat="false" ht="15" hidden="false" customHeight="false" outlineLevel="0" collapsed="false">
      <c r="A106" s="6" t="n">
        <v>101</v>
      </c>
      <c r="B106" s="5" t="s">
        <v>72</v>
      </c>
      <c r="C106" s="5" t="s">
        <v>30</v>
      </c>
      <c r="D106" s="11" t="n">
        <v>44873</v>
      </c>
      <c r="E106" s="11" t="n">
        <v>44896</v>
      </c>
      <c r="F106" s="5" t="s">
        <v>75</v>
      </c>
      <c r="G106" s="12" t="n">
        <v>88206.4392079534</v>
      </c>
      <c r="H106" s="13" t="n">
        <v>6.75</v>
      </c>
      <c r="I106" s="13" t="n">
        <v>7.082</v>
      </c>
      <c r="J106" s="5" t="s">
        <v>74</v>
      </c>
      <c r="K106" s="8" t="n">
        <v>9.9110933580867</v>
      </c>
      <c r="L106" s="8" t="n">
        <v>766.7841208094</v>
      </c>
      <c r="M106" s="8" t="n">
        <f aca="false">M105+L106</f>
        <v>89755.5108736223</v>
      </c>
      <c r="N106" s="5" t="str">
        <f aca="false">IF(L106&gt;0,"прибыль",IF(L106&lt;0,"убыток","ноль"))</f>
        <v>прибыль</v>
      </c>
      <c r="O106" s="6" t="n">
        <f aca="false">IF(L106&lt;0,O105+1,0)</f>
        <v>0</v>
      </c>
      <c r="P106" s="6" t="n">
        <v>17</v>
      </c>
    </row>
    <row r="107" customFormat="false" ht="15" hidden="false" customHeight="false" outlineLevel="0" collapsed="false">
      <c r="A107" s="6" t="n">
        <v>102</v>
      </c>
      <c r="B107" s="5" t="s">
        <v>72</v>
      </c>
      <c r="C107" s="5" t="s">
        <v>25</v>
      </c>
      <c r="D107" s="11" t="n">
        <v>44896</v>
      </c>
      <c r="E107" s="11" t="n">
        <v>44897</v>
      </c>
      <c r="F107" s="5" t="s">
        <v>75</v>
      </c>
      <c r="G107" s="12" t="n">
        <v>236118.045368665</v>
      </c>
      <c r="H107" s="13" t="n">
        <v>85.47</v>
      </c>
      <c r="I107" s="13" t="n">
        <v>88.93</v>
      </c>
      <c r="J107" s="5" t="s">
        <v>74</v>
      </c>
      <c r="K107" s="8" t="n">
        <v>23.7975418583482</v>
      </c>
      <c r="L107" s="8" t="n">
        <v>-490.843898547323</v>
      </c>
      <c r="M107" s="8" t="n">
        <f aca="false">M106+L107</f>
        <v>89264.666975075</v>
      </c>
      <c r="N107" s="5" t="str">
        <f aca="false">IF(L107&gt;0,"прибыль",IF(L107&lt;0,"убыток","ноль"))</f>
        <v>убыток</v>
      </c>
      <c r="O107" s="6" t="n">
        <f aca="false">IF(L107&lt;0,O106+1,0)</f>
        <v>1</v>
      </c>
      <c r="P107" s="6" t="n">
        <v>1</v>
      </c>
    </row>
    <row r="108" customFormat="false" ht="15" hidden="false" customHeight="false" outlineLevel="0" collapsed="false">
      <c r="A108" s="6" t="n">
        <v>103</v>
      </c>
      <c r="B108" s="5" t="s">
        <v>72</v>
      </c>
      <c r="C108" s="5" t="s">
        <v>30</v>
      </c>
      <c r="D108" s="11" t="n">
        <v>44896</v>
      </c>
      <c r="E108" s="11" t="n">
        <v>44897</v>
      </c>
      <c r="F108" s="5" t="s">
        <v>73</v>
      </c>
      <c r="G108" s="12" t="n">
        <v>110792.123167948</v>
      </c>
      <c r="H108" s="13" t="n">
        <v>7.082</v>
      </c>
      <c r="I108" s="13" t="n">
        <v>6.957</v>
      </c>
      <c r="K108" s="8" t="n">
        <v>10.9807017688673</v>
      </c>
      <c r="L108" s="8" t="n">
        <v>-2479.56039976829</v>
      </c>
      <c r="M108" s="8" t="n">
        <f aca="false">M107+L108</f>
        <v>86785.1065753067</v>
      </c>
      <c r="N108" s="5" t="str">
        <f aca="false">IF(L108&gt;0,"прибыль",IF(L108&lt;0,"убыток","ноль"))</f>
        <v>убыток</v>
      </c>
      <c r="O108" s="6" t="n">
        <f aca="false">IF(L108&lt;0,O107+1,0)</f>
        <v>2</v>
      </c>
      <c r="P108" s="6" t="n">
        <v>1</v>
      </c>
    </row>
    <row r="109" customFormat="false" ht="15" hidden="false" customHeight="false" outlineLevel="0" collapsed="false">
      <c r="A109" s="6" t="n">
        <v>104</v>
      </c>
      <c r="B109" s="5" t="s">
        <v>72</v>
      </c>
      <c r="C109" s="5" t="s">
        <v>25</v>
      </c>
      <c r="D109" s="11" t="n">
        <v>44897</v>
      </c>
      <c r="E109" s="11" t="n">
        <v>44904</v>
      </c>
      <c r="F109" s="5" t="s">
        <v>73</v>
      </c>
      <c r="G109" s="12" t="n">
        <v>286195.309337825</v>
      </c>
      <c r="H109" s="13" t="n">
        <v>88.93</v>
      </c>
      <c r="I109" s="13" t="n">
        <v>80.62</v>
      </c>
      <c r="K109" s="8" t="n">
        <v>29.2379450248317</v>
      </c>
      <c r="L109" s="8" t="n">
        <v>-23827.2950499237</v>
      </c>
      <c r="M109" s="8" t="n">
        <f aca="false">M108+L109</f>
        <v>62957.811525383</v>
      </c>
      <c r="N109" s="5" t="str">
        <f aca="false">IF(L109&gt;0,"прибыль",IF(L109&lt;0,"убыток","ноль"))</f>
        <v>убыток</v>
      </c>
      <c r="O109" s="6" t="n">
        <f aca="false">IF(L109&lt;0,O108+1,0)</f>
        <v>3</v>
      </c>
      <c r="P109" s="6" t="n">
        <v>5</v>
      </c>
    </row>
    <row r="110" customFormat="false" ht="15" hidden="false" customHeight="false" outlineLevel="0" collapsed="false">
      <c r="A110" s="6" t="n">
        <v>105</v>
      </c>
      <c r="B110" s="5" t="s">
        <v>72</v>
      </c>
      <c r="C110" s="5" t="s">
        <v>30</v>
      </c>
      <c r="D110" s="11" t="n">
        <v>44897</v>
      </c>
      <c r="E110" s="11" t="n">
        <v>44904</v>
      </c>
      <c r="F110" s="5" t="s">
        <v>75</v>
      </c>
      <c r="G110" s="12" t="n">
        <v>134857.759835749</v>
      </c>
      <c r="H110" s="13" t="n">
        <v>6.957</v>
      </c>
      <c r="I110" s="13" t="n">
        <v>6.141</v>
      </c>
      <c r="K110" s="8" t="n">
        <v>13.4313667893577</v>
      </c>
      <c r="L110" s="8" t="n">
        <v>11604.9798638703</v>
      </c>
      <c r="M110" s="8" t="n">
        <f aca="false">M109+L110</f>
        <v>74562.7913892533</v>
      </c>
      <c r="N110" s="5" t="str">
        <f aca="false">IF(L110&gt;0,"прибыль",IF(L110&lt;0,"убыток","ноль"))</f>
        <v>прибыль</v>
      </c>
      <c r="O110" s="6" t="n">
        <f aca="false">IF(L110&lt;0,O109+1,0)</f>
        <v>0</v>
      </c>
      <c r="P110" s="6" t="n">
        <v>5</v>
      </c>
    </row>
    <row r="111" customFormat="false" ht="15" hidden="false" customHeight="false" outlineLevel="0" collapsed="false">
      <c r="A111" s="6" t="n">
        <v>106</v>
      </c>
      <c r="B111" s="5" t="s">
        <v>72</v>
      </c>
      <c r="C111" s="5" t="s">
        <v>30</v>
      </c>
      <c r="D111" s="11" t="n">
        <v>44904</v>
      </c>
      <c r="E111" s="11" t="n">
        <v>44911</v>
      </c>
      <c r="F111" s="5" t="s">
        <v>73</v>
      </c>
      <c r="G111" s="12" t="n">
        <v>27821.3795209652</v>
      </c>
      <c r="H111" s="13" t="n">
        <v>6.141</v>
      </c>
      <c r="I111" s="13" t="n">
        <v>6.855</v>
      </c>
      <c r="K111" s="8" t="n">
        <v>1.54556343650766</v>
      </c>
      <c r="L111" s="8" t="n">
        <v>3088.34364575141</v>
      </c>
      <c r="M111" s="8" t="n">
        <f aca="false">M110+L111</f>
        <v>77651.1350350048</v>
      </c>
      <c r="N111" s="5" t="str">
        <f aca="false">IF(L111&gt;0,"прибыль",IF(L111&lt;0,"убыток","ноль"))</f>
        <v>прибыль</v>
      </c>
      <c r="O111" s="6" t="n">
        <f aca="false">IF(L111&lt;0,O110+1,0)</f>
        <v>0</v>
      </c>
      <c r="P111" s="6" t="n">
        <v>5</v>
      </c>
    </row>
    <row r="112" customFormat="false" ht="15" hidden="false" customHeight="false" outlineLevel="0" collapsed="false">
      <c r="A112" s="6" t="n">
        <v>107</v>
      </c>
      <c r="B112" s="5" t="s">
        <v>72</v>
      </c>
      <c r="C112" s="5" t="s">
        <v>25</v>
      </c>
      <c r="D112" s="11" t="n">
        <v>44904</v>
      </c>
      <c r="E112" s="11" t="n">
        <v>44918</v>
      </c>
      <c r="F112" s="5" t="s">
        <v>75</v>
      </c>
      <c r="G112" s="12" t="n">
        <v>275532.084367493</v>
      </c>
      <c r="H112" s="13" t="n">
        <v>80.62</v>
      </c>
      <c r="I112" s="13" t="n">
        <v>82.93</v>
      </c>
      <c r="K112" s="8" t="n">
        <v>27.9869072294041</v>
      </c>
      <c r="L112" s="8" t="n">
        <v>-8573.64845358276</v>
      </c>
      <c r="M112" s="8" t="n">
        <f aca="false">M111+L112</f>
        <v>69077.486581422</v>
      </c>
      <c r="N112" s="5" t="str">
        <f aca="false">IF(L112&gt;0,"прибыль",IF(L112&lt;0,"убыток","ноль"))</f>
        <v>убыток</v>
      </c>
      <c r="O112" s="6" t="n">
        <f aca="false">IF(L112&lt;0,O111+1,0)</f>
        <v>1</v>
      </c>
      <c r="P112" s="6" t="n">
        <v>10</v>
      </c>
    </row>
    <row r="113" customFormat="false" ht="15" hidden="false" customHeight="false" outlineLevel="0" collapsed="false">
      <c r="A113" s="6" t="n">
        <v>108</v>
      </c>
      <c r="B113" s="5" t="s">
        <v>72</v>
      </c>
      <c r="C113" s="5" t="s">
        <v>30</v>
      </c>
      <c r="D113" s="11" t="n">
        <v>44911</v>
      </c>
      <c r="E113" s="11" t="n">
        <v>44918</v>
      </c>
      <c r="F113" s="5" t="s">
        <v>73</v>
      </c>
      <c r="G113" s="12" t="n">
        <v>93999.3397327474</v>
      </c>
      <c r="H113" s="13" t="n">
        <v>6.855</v>
      </c>
      <c r="I113" s="13" t="n">
        <v>5.196</v>
      </c>
      <c r="K113" s="8" t="n">
        <v>8.68934118456122</v>
      </c>
      <c r="L113" s="8" t="n">
        <v>-14862.9413742308</v>
      </c>
      <c r="M113" s="8" t="n">
        <f aca="false">M112+L113</f>
        <v>54214.5452071912</v>
      </c>
      <c r="N113" s="5" t="str">
        <f aca="false">IF(L113&gt;0,"прибыль",IF(L113&lt;0,"убыток","ноль"))</f>
        <v>убыток</v>
      </c>
      <c r="O113" s="6" t="n">
        <f aca="false">IF(L113&lt;0,O112+1,0)</f>
        <v>2</v>
      </c>
      <c r="P113" s="6" t="n">
        <v>5</v>
      </c>
    </row>
    <row r="114" customFormat="false" ht="15" hidden="false" customHeight="false" outlineLevel="0" collapsed="false">
      <c r="A114" s="6" t="n">
        <v>109</v>
      </c>
      <c r="B114" s="5" t="s">
        <v>72</v>
      </c>
      <c r="C114" s="5" t="s">
        <v>30</v>
      </c>
      <c r="D114" s="11" t="n">
        <v>44918</v>
      </c>
      <c r="E114" s="11" t="n">
        <v>44950</v>
      </c>
      <c r="F114" s="5" t="s">
        <v>75</v>
      </c>
      <c r="G114" s="12" t="n">
        <v>34819.4553384886</v>
      </c>
      <c r="H114" s="13" t="n">
        <v>5.196</v>
      </c>
      <c r="I114" s="13" t="n">
        <v>3.51</v>
      </c>
      <c r="J114" s="5" t="s">
        <v>74</v>
      </c>
      <c r="K114" s="8" t="n">
        <v>4.43275912550068</v>
      </c>
      <c r="L114" s="8" t="n">
        <v>6445.14383472509</v>
      </c>
      <c r="M114" s="8" t="n">
        <f aca="false">M113+L114</f>
        <v>60659.6890419162</v>
      </c>
      <c r="N114" s="5" t="str">
        <f aca="false">IF(L114&gt;0,"прибыль",IF(L114&lt;0,"убыток","ноль"))</f>
        <v>прибыль</v>
      </c>
      <c r="O114" s="6" t="n">
        <f aca="false">IF(L114&lt;0,O113+1,0)</f>
        <v>0</v>
      </c>
      <c r="P114" s="6" t="n">
        <v>21</v>
      </c>
    </row>
    <row r="115" customFormat="false" ht="15" hidden="false" customHeight="false" outlineLevel="0" collapsed="false">
      <c r="A115" s="6" t="n">
        <v>110</v>
      </c>
      <c r="B115" s="5" t="s">
        <v>72</v>
      </c>
      <c r="C115" s="5" t="s">
        <v>30</v>
      </c>
      <c r="D115" s="11" t="n">
        <v>44950</v>
      </c>
      <c r="E115" s="11" t="n">
        <v>44985</v>
      </c>
      <c r="F115" s="5" t="s">
        <v>75</v>
      </c>
      <c r="G115" s="12" t="n">
        <v>40458.9233205281</v>
      </c>
      <c r="H115" s="13" t="n">
        <v>3.51</v>
      </c>
      <c r="I115" s="13" t="n">
        <v>2.797</v>
      </c>
      <c r="J115" s="5" t="s">
        <v>74</v>
      </c>
      <c r="K115" s="8" t="n">
        <v>4.2844290981872</v>
      </c>
      <c r="L115" s="8" t="n">
        <v>13203.1118473216</v>
      </c>
      <c r="M115" s="8" t="n">
        <f aca="false">M114+L115</f>
        <v>73862.8008892379</v>
      </c>
      <c r="N115" s="5" t="str">
        <f aca="false">IF(L115&gt;0,"прибыль",IF(L115&lt;0,"убыток","ноль"))</f>
        <v>прибыль</v>
      </c>
      <c r="O115" s="6" t="n">
        <f aca="false">IF(L115&lt;0,O114+1,0)</f>
        <v>0</v>
      </c>
      <c r="P115" s="6" t="n">
        <v>24</v>
      </c>
    </row>
    <row r="116" customFormat="false" ht="15" hidden="false" customHeight="false" outlineLevel="0" collapsed="false">
      <c r="A116" s="6" t="n">
        <v>111</v>
      </c>
      <c r="B116" s="5" t="s">
        <v>72</v>
      </c>
      <c r="C116" s="5" t="s">
        <v>25</v>
      </c>
      <c r="D116" s="11" t="n">
        <v>44918</v>
      </c>
      <c r="E116" s="11" t="n">
        <v>45013</v>
      </c>
      <c r="F116" s="5" t="s">
        <v>73</v>
      </c>
      <c r="G116" s="12" t="n">
        <v>85904.4236515111</v>
      </c>
      <c r="H116" s="13" t="n">
        <v>82.93</v>
      </c>
      <c r="I116" s="13" t="n">
        <v>77.93</v>
      </c>
      <c r="J116" s="5" t="s">
        <v>74</v>
      </c>
      <c r="K116" s="8" t="n">
        <v>8.14593267985332</v>
      </c>
      <c r="L116" s="8" t="n">
        <v>-13736.0661673909</v>
      </c>
      <c r="M116" s="8" t="n">
        <f aca="false">M115+L116</f>
        <v>60126.7347218469</v>
      </c>
      <c r="N116" s="5" t="str">
        <f aca="false">IF(L116&gt;0,"прибыль",IF(L116&lt;0,"убыток","ноль"))</f>
        <v>убыток</v>
      </c>
      <c r="O116" s="6" t="n">
        <f aca="false">IF(L116&lt;0,O115+1,0)</f>
        <v>1</v>
      </c>
      <c r="P116" s="6" t="n">
        <v>64</v>
      </c>
    </row>
    <row r="117" customFormat="false" ht="15" hidden="false" customHeight="false" outlineLevel="0" collapsed="false">
      <c r="A117" s="6" t="n">
        <v>112</v>
      </c>
      <c r="B117" s="5" t="s">
        <v>72</v>
      </c>
      <c r="C117" s="5" t="s">
        <v>30</v>
      </c>
      <c r="D117" s="11" t="n">
        <v>44985</v>
      </c>
      <c r="E117" s="11" t="n">
        <v>45034</v>
      </c>
      <c r="F117" s="5" t="s">
        <v>75</v>
      </c>
      <c r="G117" s="12" t="n">
        <v>50898.2113120266</v>
      </c>
      <c r="H117" s="13" t="n">
        <v>2.797</v>
      </c>
      <c r="I117" s="13" t="n">
        <v>2.327</v>
      </c>
      <c r="J117" s="5" t="s">
        <v>74</v>
      </c>
      <c r="K117" s="8" t="n">
        <v>6.78499083075946</v>
      </c>
      <c r="L117" s="8" t="n">
        <v>14296.097201756</v>
      </c>
      <c r="M117" s="8" t="n">
        <f aca="false">M116+L117</f>
        <v>74422.8319236029</v>
      </c>
      <c r="N117" s="5" t="str">
        <f aca="false">IF(L117&gt;0,"прибыль",IF(L117&lt;0,"убыток","ноль"))</f>
        <v>прибыль</v>
      </c>
      <c r="O117" s="6" t="n">
        <f aca="false">IF(L117&lt;0,O116+1,0)</f>
        <v>0</v>
      </c>
      <c r="P117" s="6" t="n">
        <v>34</v>
      </c>
    </row>
    <row r="118" customFormat="false" ht="15" hidden="false" customHeight="false" outlineLevel="0" collapsed="false">
      <c r="A118" s="6" t="n">
        <v>113</v>
      </c>
      <c r="B118" s="5" t="s">
        <v>72</v>
      </c>
      <c r="C118" s="5" t="s">
        <v>25</v>
      </c>
      <c r="D118" s="11" t="n">
        <v>45013</v>
      </c>
      <c r="E118" s="11" t="n">
        <v>45054</v>
      </c>
      <c r="F118" s="5" t="s">
        <v>73</v>
      </c>
      <c r="G118" s="12" t="n">
        <v>114848.016148131</v>
      </c>
      <c r="H118" s="13" t="n">
        <v>77.93</v>
      </c>
      <c r="I118" s="13" t="n">
        <v>76.75</v>
      </c>
      <c r="J118" s="5" t="s">
        <v>74</v>
      </c>
      <c r="K118" s="8" t="n">
        <v>13.3350357141596</v>
      </c>
      <c r="L118" s="8" t="n">
        <v>-19724.423703734</v>
      </c>
      <c r="M118" s="8" t="n">
        <f aca="false">M117+L118</f>
        <v>54698.4082198689</v>
      </c>
      <c r="N118" s="5" t="str">
        <f aca="false">IF(L118&gt;0,"прибыль",IF(L118&lt;0,"убыток","ноль"))</f>
        <v>убыток</v>
      </c>
      <c r="O118" s="6" t="n">
        <f aca="false">IF(L118&lt;0,O117+1,0)</f>
        <v>1</v>
      </c>
      <c r="P118" s="6" t="n">
        <v>28</v>
      </c>
    </row>
    <row r="119" customFormat="false" ht="15" hidden="false" customHeight="false" outlineLevel="0" collapsed="false">
      <c r="A119" s="6" t="n">
        <v>114</v>
      </c>
      <c r="B119" s="5" t="s">
        <v>72</v>
      </c>
      <c r="C119" s="5" t="s">
        <v>30</v>
      </c>
      <c r="D119" s="11" t="n">
        <v>45034</v>
      </c>
      <c r="E119" s="11" t="n">
        <v>45148</v>
      </c>
      <c r="F119" s="5" t="s">
        <v>75</v>
      </c>
      <c r="G119" s="12" t="n">
        <v>70847.2518633525</v>
      </c>
      <c r="H119" s="13" t="n">
        <v>2.327</v>
      </c>
      <c r="I119" s="13" t="n">
        <v>2.98</v>
      </c>
      <c r="J119" s="5" t="s">
        <v>74</v>
      </c>
      <c r="K119" s="8" t="n">
        <v>6.56140592550139</v>
      </c>
      <c r="L119" s="8" t="n">
        <v>4000.92753016057</v>
      </c>
      <c r="M119" s="8" t="n">
        <f aca="false">M118+L119</f>
        <v>58699.3357500294</v>
      </c>
      <c r="N119" s="5" t="str">
        <f aca="false">IF(L119&gt;0,"прибыль",IF(L119&lt;0,"убыток","ноль"))</f>
        <v>прибыль</v>
      </c>
      <c r="O119" s="6" t="n">
        <f aca="false">IF(L119&lt;0,O118+1,0)</f>
        <v>0</v>
      </c>
      <c r="P119" s="6" t="n">
        <v>79</v>
      </c>
    </row>
    <row r="120" customFormat="false" ht="15" hidden="false" customHeight="false" outlineLevel="0" collapsed="false">
      <c r="A120" s="6" t="n">
        <v>115</v>
      </c>
      <c r="B120" s="5" t="s">
        <v>72</v>
      </c>
      <c r="C120" s="5" t="s">
        <v>25</v>
      </c>
      <c r="D120" s="11" t="n">
        <v>45054</v>
      </c>
      <c r="E120" s="11" t="n">
        <v>45153</v>
      </c>
      <c r="F120" s="5" t="s">
        <v>73</v>
      </c>
      <c r="G120" s="12" t="n">
        <v>407337.884279029</v>
      </c>
      <c r="H120" s="13" t="n">
        <v>76.75</v>
      </c>
      <c r="I120" s="13" t="n">
        <v>86.36</v>
      </c>
      <c r="J120" s="5" t="s">
        <v>74</v>
      </c>
      <c r="K120" s="8" t="n">
        <v>44.0488361760764</v>
      </c>
      <c r="L120" s="8" t="n">
        <v>-29653.564864533</v>
      </c>
      <c r="M120" s="8" t="n">
        <f aca="false">M119+L120</f>
        <v>29045.7708854964</v>
      </c>
      <c r="N120" s="5" t="str">
        <f aca="false">IF(L120&gt;0,"прибыль",IF(L120&lt;0,"убыток","ноль"))</f>
        <v>убыток</v>
      </c>
      <c r="O120" s="6" t="n">
        <f aca="false">IF(L120&lt;0,O119+1,0)</f>
        <v>1</v>
      </c>
      <c r="P120" s="6" t="n">
        <v>69</v>
      </c>
    </row>
    <row r="121" customFormat="false" ht="15" hidden="false" customHeight="false" outlineLevel="0" collapsed="false">
      <c r="A121" s="6" t="n">
        <v>116</v>
      </c>
      <c r="B121" s="5" t="s">
        <v>72</v>
      </c>
      <c r="C121" s="5" t="s">
        <v>30</v>
      </c>
      <c r="D121" s="11" t="n">
        <v>45148</v>
      </c>
      <c r="E121" s="11" t="n">
        <v>45153</v>
      </c>
      <c r="F121" s="5" t="s">
        <v>75</v>
      </c>
      <c r="G121" s="12" t="n">
        <v>179833.095920649</v>
      </c>
      <c r="H121" s="13" t="n">
        <v>2.98</v>
      </c>
      <c r="I121" s="13" t="n">
        <v>2.849</v>
      </c>
      <c r="K121" s="8" t="n">
        <v>15.9727809648075</v>
      </c>
      <c r="L121" s="8" t="n">
        <v>17595.8390768033</v>
      </c>
      <c r="M121" s="8" t="n">
        <f aca="false">M120+L121</f>
        <v>46641.6099622996</v>
      </c>
      <c r="N121" s="5" t="str">
        <f aca="false">IF(L121&gt;0,"прибыль",IF(L121&lt;0,"убыток","ноль"))</f>
        <v>прибыль</v>
      </c>
      <c r="O121" s="6" t="n">
        <f aca="false">IF(L121&lt;0,O120+1,0)</f>
        <v>0</v>
      </c>
      <c r="P121" s="6" t="n">
        <v>3</v>
      </c>
    </row>
    <row r="122" customFormat="false" ht="15" hidden="false" customHeight="false" outlineLevel="0" collapsed="false">
      <c r="A122" s="6" t="n">
        <v>117</v>
      </c>
      <c r="B122" s="5" t="s">
        <v>72</v>
      </c>
      <c r="C122" s="5" t="s">
        <v>25</v>
      </c>
      <c r="D122" s="11" t="n">
        <v>45153</v>
      </c>
      <c r="E122" s="11" t="n">
        <v>45155</v>
      </c>
      <c r="F122" s="5" t="s">
        <v>75</v>
      </c>
      <c r="G122" s="12" t="n">
        <v>433124.36684977</v>
      </c>
      <c r="H122" s="13" t="n">
        <v>86.36</v>
      </c>
      <c r="I122" s="13" t="n">
        <v>83.7</v>
      </c>
      <c r="K122" s="8" t="n">
        <v>40.4869280327893</v>
      </c>
      <c r="L122" s="8" t="n">
        <v>12570.2232342579</v>
      </c>
      <c r="M122" s="8" t="n">
        <f aca="false">M121+L122</f>
        <v>59211.8331965575</v>
      </c>
      <c r="N122" s="5" t="str">
        <f aca="false">IF(L122&gt;0,"прибыль",IF(L122&lt;0,"убыток","ноль"))</f>
        <v>прибыль</v>
      </c>
      <c r="O122" s="6" t="n">
        <f aca="false">IF(L122&lt;0,O121+1,0)</f>
        <v>0</v>
      </c>
      <c r="P122" s="6" t="n">
        <v>2</v>
      </c>
    </row>
    <row r="123" customFormat="false" ht="15" hidden="false" customHeight="false" outlineLevel="0" collapsed="false">
      <c r="A123" s="6" t="n">
        <v>118</v>
      </c>
      <c r="B123" s="5" t="s">
        <v>72</v>
      </c>
      <c r="C123" s="5" t="s">
        <v>30</v>
      </c>
      <c r="D123" s="11" t="n">
        <v>45153</v>
      </c>
      <c r="E123" s="11" t="n">
        <v>45155</v>
      </c>
      <c r="F123" s="5" t="s">
        <v>73</v>
      </c>
      <c r="G123" s="12" t="n">
        <v>157234.335233269</v>
      </c>
      <c r="H123" s="13" t="n">
        <v>2.849</v>
      </c>
      <c r="I123" s="13" t="n">
        <v>2.605</v>
      </c>
      <c r="K123" s="8" t="n">
        <v>14.283748914413</v>
      </c>
      <c r="L123" s="8" t="n">
        <v>-14007.9714504261</v>
      </c>
      <c r="M123" s="8" t="n">
        <f aca="false">M122+L123</f>
        <v>45203.8617461314</v>
      </c>
      <c r="N123" s="5" t="str">
        <f aca="false">IF(L123&gt;0,"прибыль",IF(L123&lt;0,"убыток","ноль"))</f>
        <v>убыток</v>
      </c>
      <c r="O123" s="6" t="n">
        <f aca="false">IF(L123&lt;0,O122+1,0)</f>
        <v>1</v>
      </c>
      <c r="P123" s="6" t="n">
        <v>2</v>
      </c>
    </row>
    <row r="124" customFormat="false" ht="15" hidden="false" customHeight="false" outlineLevel="0" collapsed="false">
      <c r="A124" s="6" t="n">
        <v>119</v>
      </c>
      <c r="B124" s="5" t="s">
        <v>72</v>
      </c>
      <c r="C124" s="5" t="s">
        <v>25</v>
      </c>
      <c r="D124" s="11" t="n">
        <v>45155</v>
      </c>
      <c r="E124" s="11" t="n">
        <v>45188</v>
      </c>
      <c r="F124" s="5" t="s">
        <v>73</v>
      </c>
      <c r="G124" s="12" t="n">
        <v>474847.811256877</v>
      </c>
      <c r="H124" s="13" t="n">
        <v>83.7</v>
      </c>
      <c r="I124" s="13" t="n">
        <v>94.64</v>
      </c>
      <c r="J124" s="5" t="s">
        <v>74</v>
      </c>
      <c r="K124" s="8" t="n">
        <v>56.8721064417144</v>
      </c>
      <c r="L124" s="8" t="n">
        <v>46301.8841962066</v>
      </c>
      <c r="M124" s="8" t="n">
        <f aca="false">M123+L124</f>
        <v>91505.745942338</v>
      </c>
      <c r="N124" s="5" t="str">
        <f aca="false">IF(L124&gt;0,"прибыль",IF(L124&lt;0,"убыток","ноль"))</f>
        <v>прибыль</v>
      </c>
      <c r="O124" s="6" t="n">
        <f aca="false">IF(L124&lt;0,O123+1,0)</f>
        <v>0</v>
      </c>
      <c r="P124" s="6" t="n">
        <v>23</v>
      </c>
    </row>
    <row r="125" customFormat="false" ht="15" hidden="false" customHeight="false" outlineLevel="0" collapsed="false">
      <c r="A125" s="6" t="n">
        <v>120</v>
      </c>
      <c r="B125" s="5" t="s">
        <v>72</v>
      </c>
      <c r="C125" s="5" t="s">
        <v>30</v>
      </c>
      <c r="D125" s="11" t="n">
        <v>45155</v>
      </c>
      <c r="E125" s="11" t="n">
        <v>45188</v>
      </c>
      <c r="F125" s="5" t="s">
        <v>75</v>
      </c>
      <c r="G125" s="12" t="n">
        <v>187033.138834301</v>
      </c>
      <c r="H125" s="13" t="n">
        <v>2.605</v>
      </c>
      <c r="I125" s="13" t="n">
        <v>2.743</v>
      </c>
      <c r="J125" s="5" t="s">
        <v>74</v>
      </c>
      <c r="K125" s="8" t="n">
        <v>21.2664394938394</v>
      </c>
      <c r="L125" s="8" t="n">
        <v>-5261.24644325339</v>
      </c>
      <c r="M125" s="8" t="n">
        <f aca="false">M124+L125</f>
        <v>86244.4994990846</v>
      </c>
      <c r="N125" s="5" t="str">
        <f aca="false">IF(L125&gt;0,"прибыль",IF(L125&lt;0,"убыток","ноль"))</f>
        <v>убыток</v>
      </c>
      <c r="O125" s="6" t="n">
        <f aca="false">IF(L125&lt;0,O124+1,0)</f>
        <v>1</v>
      </c>
      <c r="P125" s="6" t="n">
        <v>23</v>
      </c>
    </row>
    <row r="126" customFormat="false" ht="15" hidden="false" customHeight="false" outlineLevel="0" collapsed="false">
      <c r="A126" s="6" t="n">
        <v>121</v>
      </c>
      <c r="B126" s="5" t="s">
        <v>72</v>
      </c>
      <c r="C126" s="5" t="s">
        <v>30</v>
      </c>
      <c r="D126" s="11" t="n">
        <v>45188</v>
      </c>
      <c r="E126" s="11" t="n">
        <v>45189</v>
      </c>
      <c r="F126" s="5" t="s">
        <v>73</v>
      </c>
      <c r="G126" s="12" t="n">
        <v>3.66709025210235E-011</v>
      </c>
      <c r="H126" s="13" t="n">
        <v>2.743</v>
      </c>
      <c r="I126" s="13" t="n">
        <v>2.841</v>
      </c>
      <c r="K126" s="8" t="n">
        <v>1.893234049467E-015</v>
      </c>
      <c r="L126" s="8" t="n">
        <v>1.19188523426692E-012</v>
      </c>
      <c r="M126" s="8" t="n">
        <f aca="false">M125+L126</f>
        <v>86244.4994990846</v>
      </c>
      <c r="N126" s="5" t="str">
        <f aca="false">IF(L126&gt;0,"прибыль",IF(L126&lt;0,"убыток","ноль"))</f>
        <v>прибыль</v>
      </c>
      <c r="O126" s="6" t="n">
        <f aca="false">IF(L126&lt;0,O125+1,0)</f>
        <v>0</v>
      </c>
      <c r="P126" s="6" t="n">
        <v>1</v>
      </c>
    </row>
    <row r="127" customFormat="false" ht="15" hidden="false" customHeight="false" outlineLevel="0" collapsed="false">
      <c r="A127" s="6" t="n">
        <v>122</v>
      </c>
      <c r="B127" s="5" t="s">
        <v>72</v>
      </c>
      <c r="C127" s="5" t="s">
        <v>25</v>
      </c>
      <c r="D127" s="11" t="n">
        <v>45188</v>
      </c>
      <c r="E127" s="11" t="n">
        <v>45204</v>
      </c>
      <c r="F127" s="5" t="s">
        <v>75</v>
      </c>
      <c r="G127" s="12" t="n">
        <v>227106.177905649</v>
      </c>
      <c r="H127" s="13" t="n">
        <v>94.64</v>
      </c>
      <c r="I127" s="13" t="n">
        <v>86.64</v>
      </c>
      <c r="J127" s="5" t="s">
        <v>74</v>
      </c>
      <c r="K127" s="8" t="n">
        <v>10.9092564792003</v>
      </c>
      <c r="L127" s="8" t="n">
        <v>8910.13906516312</v>
      </c>
      <c r="M127" s="8" t="n">
        <f aca="false">M126+L127</f>
        <v>95154.6385642477</v>
      </c>
      <c r="N127" s="5" t="str">
        <f aca="false">IF(L127&gt;0,"прибыль",IF(L127&lt;0,"убыток","ноль"))</f>
        <v>прибыль</v>
      </c>
      <c r="O127" s="6" t="n">
        <f aca="false">IF(L127&lt;0,O126+1,0)</f>
        <v>0</v>
      </c>
      <c r="P127" s="6" t="n">
        <v>12</v>
      </c>
    </row>
    <row r="128" customFormat="false" ht="15" hidden="false" customHeight="false" outlineLevel="0" collapsed="false">
      <c r="A128" s="6" t="n">
        <v>123</v>
      </c>
      <c r="B128" s="5" t="s">
        <v>72</v>
      </c>
      <c r="C128" s="5" t="s">
        <v>30</v>
      </c>
      <c r="D128" s="11" t="n">
        <v>45189</v>
      </c>
      <c r="E128" s="11" t="n">
        <v>45208</v>
      </c>
      <c r="F128" s="5" t="s">
        <v>73</v>
      </c>
      <c r="G128" s="12" t="n">
        <v>40297.0358528321</v>
      </c>
      <c r="H128" s="13" t="n">
        <v>2.841</v>
      </c>
      <c r="I128" s="13" t="n">
        <v>3.32</v>
      </c>
      <c r="J128" s="5" t="s">
        <v>74</v>
      </c>
      <c r="K128" s="8" t="n">
        <v>2.21858797958534</v>
      </c>
      <c r="L128" s="8" t="n">
        <v>4072.50515089509</v>
      </c>
      <c r="M128" s="8" t="n">
        <f aca="false">M127+L128</f>
        <v>99227.1437151428</v>
      </c>
      <c r="N128" s="5" t="str">
        <f aca="false">IF(L128&gt;0,"прибыль",IF(L128&lt;0,"убыток","ноль"))</f>
        <v>прибыль</v>
      </c>
      <c r="O128" s="6" t="n">
        <f aca="false">IF(L128&lt;0,O127+1,0)</f>
        <v>0</v>
      </c>
      <c r="P128" s="6" t="n">
        <v>13</v>
      </c>
    </row>
    <row r="129" customFormat="false" ht="15" hidden="false" customHeight="false" outlineLevel="0" collapsed="false">
      <c r="A129" s="6" t="n">
        <v>124</v>
      </c>
      <c r="B129" s="5" t="s">
        <v>72</v>
      </c>
      <c r="C129" s="5" t="s">
        <v>25</v>
      </c>
      <c r="D129" s="11" t="n">
        <v>45204</v>
      </c>
      <c r="E129" s="11" t="n">
        <v>45215</v>
      </c>
      <c r="F129" s="5" t="s">
        <v>75</v>
      </c>
      <c r="G129" s="12" t="n">
        <v>99194.695840595</v>
      </c>
      <c r="H129" s="13" t="n">
        <v>86.64</v>
      </c>
      <c r="I129" s="13" t="n">
        <v>91.13</v>
      </c>
      <c r="K129" s="8" t="n">
        <v>5.01349023004245</v>
      </c>
      <c r="L129" s="8" t="n">
        <v>-1080.12225048394</v>
      </c>
      <c r="M129" s="8" t="n">
        <f aca="false">M128+L129</f>
        <v>98147.0214646589</v>
      </c>
      <c r="N129" s="5" t="str">
        <f aca="false">IF(L129&gt;0,"прибыль",IF(L129&lt;0,"убыток","ноль"))</f>
        <v>убыток</v>
      </c>
      <c r="O129" s="6" t="n">
        <f aca="false">IF(L129&lt;0,O128+1,0)</f>
        <v>1</v>
      </c>
      <c r="P129" s="6" t="n">
        <v>7</v>
      </c>
    </row>
    <row r="130" customFormat="false" ht="15" hidden="false" customHeight="false" outlineLevel="0" collapsed="false">
      <c r="A130" s="6" t="n">
        <v>125</v>
      </c>
      <c r="B130" s="5" t="s">
        <v>72</v>
      </c>
      <c r="C130" s="5" t="s">
        <v>25</v>
      </c>
      <c r="D130" s="11" t="n">
        <v>45215</v>
      </c>
      <c r="E130" s="11" t="n">
        <v>45216</v>
      </c>
      <c r="F130" s="5" t="s">
        <v>75</v>
      </c>
      <c r="G130" s="12" t="n">
        <v>204311.780239949</v>
      </c>
      <c r="H130" s="13" t="n">
        <v>91.13</v>
      </c>
      <c r="I130" s="13" t="n">
        <v>90.22</v>
      </c>
      <c r="K130" s="8" t="n">
        <v>20.4999439689353</v>
      </c>
      <c r="L130" s="8" t="n">
        <v>-173.704425576412</v>
      </c>
      <c r="M130" s="8" t="n">
        <f aca="false">M129+L130</f>
        <v>97973.3170390825</v>
      </c>
      <c r="N130" s="5" t="str">
        <f aca="false">IF(L130&gt;0,"прибыль",IF(L130&lt;0,"убыток","ноль"))</f>
        <v>убыток</v>
      </c>
      <c r="O130" s="6" t="n">
        <f aca="false">IF(L130&lt;0,O129+1,0)</f>
        <v>2</v>
      </c>
      <c r="P130" s="6" t="n">
        <v>1</v>
      </c>
    </row>
    <row r="131" customFormat="false" ht="15" hidden="false" customHeight="false" outlineLevel="0" collapsed="false">
      <c r="A131" s="6" t="n">
        <v>126</v>
      </c>
      <c r="B131" s="5" t="s">
        <v>72</v>
      </c>
      <c r="C131" s="5" t="s">
        <v>30</v>
      </c>
      <c r="D131" s="11" t="n">
        <v>45208</v>
      </c>
      <c r="E131" s="11" t="n">
        <v>45216</v>
      </c>
      <c r="F131" s="5" t="s">
        <v>73</v>
      </c>
      <c r="G131" s="12" t="n">
        <v>148159.827108094</v>
      </c>
      <c r="H131" s="13" t="n">
        <v>3.32</v>
      </c>
      <c r="I131" s="13" t="n">
        <v>3.128</v>
      </c>
      <c r="K131" s="8" t="n">
        <v>15.9616801612942</v>
      </c>
      <c r="L131" s="8" t="n">
        <v>5534.17387091842</v>
      </c>
      <c r="M131" s="8" t="n">
        <f aca="false">M130+L131</f>
        <v>103507.490910001</v>
      </c>
      <c r="N131" s="5" t="str">
        <f aca="false">IF(L131&gt;0,"прибыль",IF(L131&lt;0,"убыток","ноль"))</f>
        <v>прибыль</v>
      </c>
      <c r="O131" s="6" t="n">
        <f aca="false">IF(L131&lt;0,O130+1,0)</f>
        <v>0</v>
      </c>
      <c r="P131" s="6" t="n">
        <v>6</v>
      </c>
    </row>
    <row r="132" customFormat="false" ht="15" hidden="false" customHeight="false" outlineLevel="0" collapsed="false">
      <c r="A132" s="6" t="n">
        <v>127</v>
      </c>
      <c r="B132" s="5" t="s">
        <v>72</v>
      </c>
      <c r="C132" s="5" t="s">
        <v>25</v>
      </c>
      <c r="D132" s="11" t="n">
        <v>45216</v>
      </c>
      <c r="E132" s="11" t="n">
        <v>45224</v>
      </c>
      <c r="F132" s="5" t="s">
        <v>73</v>
      </c>
      <c r="G132" s="12" t="n">
        <v>205533.89465715</v>
      </c>
      <c r="H132" s="13" t="n">
        <v>90.22</v>
      </c>
      <c r="I132" s="13" t="n">
        <v>88.29</v>
      </c>
      <c r="K132" s="8" t="n">
        <v>19.58499792688</v>
      </c>
      <c r="L132" s="8" t="n">
        <v>-5009.1336078943</v>
      </c>
      <c r="M132" s="8" t="n">
        <f aca="false">M131+L132</f>
        <v>98498.3573021066</v>
      </c>
      <c r="N132" s="5" t="str">
        <f aca="false">IF(L132&gt;0,"прибыль",IF(L132&lt;0,"убыток","ноль"))</f>
        <v>убыток</v>
      </c>
      <c r="O132" s="6" t="n">
        <f aca="false">IF(L132&lt;0,O131+1,0)</f>
        <v>1</v>
      </c>
      <c r="P132" s="6" t="n">
        <v>6</v>
      </c>
    </row>
    <row r="133" customFormat="false" ht="15" hidden="false" customHeight="false" outlineLevel="0" collapsed="false">
      <c r="A133" s="6" t="n">
        <v>128</v>
      </c>
      <c r="B133" s="5" t="s">
        <v>72</v>
      </c>
      <c r="C133" s="5" t="s">
        <v>30</v>
      </c>
      <c r="D133" s="11" t="n">
        <v>45216</v>
      </c>
      <c r="E133" s="11" t="n">
        <v>45224</v>
      </c>
      <c r="F133" s="5" t="s">
        <v>75</v>
      </c>
      <c r="G133" s="12" t="n">
        <v>165523.640566709</v>
      </c>
      <c r="H133" s="13" t="n">
        <v>3.128</v>
      </c>
      <c r="I133" s="13" t="n">
        <v>2.993</v>
      </c>
      <c r="K133" s="8" t="n">
        <v>16.9281047942224</v>
      </c>
      <c r="L133" s="8" t="n">
        <v>6609.56392482179</v>
      </c>
      <c r="M133" s="8" t="n">
        <f aca="false">M132+L133</f>
        <v>105107.921226928</v>
      </c>
      <c r="N133" s="5" t="str">
        <f aca="false">IF(L133&gt;0,"прибыль",IF(L133&lt;0,"убыток","ноль"))</f>
        <v>прибыль</v>
      </c>
      <c r="O133" s="6" t="n">
        <f aca="false">IF(L133&lt;0,O132+1,0)</f>
        <v>0</v>
      </c>
      <c r="P133" s="6" t="n">
        <v>6</v>
      </c>
    </row>
    <row r="134" customFormat="false" ht="15" hidden="false" customHeight="false" outlineLevel="0" collapsed="false">
      <c r="A134" s="6" t="n">
        <v>129</v>
      </c>
      <c r="B134" s="5" t="s">
        <v>72</v>
      </c>
      <c r="C134" s="5" t="s">
        <v>25</v>
      </c>
      <c r="D134" s="11" t="n">
        <v>45224</v>
      </c>
      <c r="E134" s="11" t="n">
        <v>45225</v>
      </c>
      <c r="F134" s="5" t="s">
        <v>75</v>
      </c>
      <c r="G134" s="12" t="n">
        <v>191155.612490417</v>
      </c>
      <c r="H134" s="13" t="n">
        <v>88.29</v>
      </c>
      <c r="I134" s="13" t="n">
        <v>90.11</v>
      </c>
      <c r="K134" s="8" t="n">
        <v>19.5436809979288</v>
      </c>
      <c r="L134" s="8" t="n">
        <v>-4548.51057629779</v>
      </c>
      <c r="M134" s="8" t="n">
        <f aca="false">M133+L134</f>
        <v>100559.410650631</v>
      </c>
      <c r="N134" s="5" t="str">
        <f aca="false">IF(L134&gt;0,"прибыль",IF(L134&lt;0,"убыток","ноль"))</f>
        <v>убыток</v>
      </c>
      <c r="O134" s="6" t="n">
        <f aca="false">IF(L134&lt;0,O133+1,0)</f>
        <v>1</v>
      </c>
      <c r="P134" s="6" t="n">
        <v>1</v>
      </c>
    </row>
    <row r="135" customFormat="false" ht="15" hidden="false" customHeight="false" outlineLevel="0" collapsed="false">
      <c r="A135" s="6" t="n">
        <v>130</v>
      </c>
      <c r="B135" s="5" t="s">
        <v>72</v>
      </c>
      <c r="C135" s="5" t="s">
        <v>30</v>
      </c>
      <c r="D135" s="11" t="n">
        <v>45224</v>
      </c>
      <c r="E135" s="11" t="n">
        <v>45225</v>
      </c>
      <c r="F135" s="5" t="s">
        <v>73</v>
      </c>
      <c r="G135" s="12" t="n">
        <v>179664.947347356</v>
      </c>
      <c r="H135" s="13" t="n">
        <v>2.993</v>
      </c>
      <c r="I135" s="13" t="n">
        <v>3.031</v>
      </c>
      <c r="K135" s="8" t="n">
        <v>17.9906771149499</v>
      </c>
      <c r="L135" s="8" t="n">
        <v>1688.87110206793</v>
      </c>
      <c r="M135" s="8" t="n">
        <f aca="false">M134+L135</f>
        <v>102248.281752699</v>
      </c>
      <c r="N135" s="5" t="str">
        <f aca="false">IF(L135&gt;0,"прибыль",IF(L135&lt;0,"убыток","ноль"))</f>
        <v>прибыль</v>
      </c>
      <c r="O135" s="6" t="n">
        <f aca="false">IF(L135&lt;0,O134+1,0)</f>
        <v>0</v>
      </c>
      <c r="P135" s="6" t="n">
        <v>1</v>
      </c>
    </row>
    <row r="136" customFormat="false" ht="15" hidden="false" customHeight="false" outlineLevel="0" collapsed="false">
      <c r="A136" s="6" t="n">
        <v>131</v>
      </c>
      <c r="B136" s="5" t="s">
        <v>72</v>
      </c>
      <c r="C136" s="5" t="s">
        <v>25</v>
      </c>
      <c r="D136" s="11" t="n">
        <v>45225</v>
      </c>
      <c r="E136" s="11" t="n">
        <v>45226</v>
      </c>
      <c r="F136" s="5" t="s">
        <v>73</v>
      </c>
      <c r="G136" s="12" t="n">
        <v>195189.040572859</v>
      </c>
      <c r="H136" s="13" t="n">
        <v>90.11</v>
      </c>
      <c r="I136" s="13" t="n">
        <v>88.51</v>
      </c>
      <c r="K136" s="8" t="n">
        <v>19.2324608406588</v>
      </c>
      <c r="L136" s="8" t="n">
        <v>-4059.29448651864</v>
      </c>
      <c r="M136" s="8" t="n">
        <f aca="false">M135+L136</f>
        <v>98188.9872661799</v>
      </c>
      <c r="N136" s="5" t="str">
        <f aca="false">IF(L136&gt;0,"прибыль",IF(L136&lt;0,"убыток","ноль"))</f>
        <v>убыток</v>
      </c>
      <c r="O136" s="6" t="n">
        <f aca="false">IF(L136&lt;0,O135+1,0)</f>
        <v>1</v>
      </c>
      <c r="P136" s="6" t="n">
        <v>1</v>
      </c>
    </row>
    <row r="137" customFormat="false" ht="15" hidden="false" customHeight="false" outlineLevel="0" collapsed="false">
      <c r="A137" s="6" t="n">
        <v>132</v>
      </c>
      <c r="B137" s="5" t="s">
        <v>72</v>
      </c>
      <c r="C137" s="5" t="s">
        <v>30</v>
      </c>
      <c r="D137" s="11" t="n">
        <v>45225</v>
      </c>
      <c r="E137" s="11" t="n">
        <v>45226</v>
      </c>
      <c r="F137" s="5" t="s">
        <v>75</v>
      </c>
      <c r="G137" s="12" t="n">
        <v>178441.73317246</v>
      </c>
      <c r="H137" s="13" t="n">
        <v>3.031</v>
      </c>
      <c r="I137" s="13" t="n">
        <v>3.214</v>
      </c>
      <c r="K137" s="8" t="n">
        <v>17.5308647633562</v>
      </c>
      <c r="L137" s="8" t="n">
        <v>-11418.9608495717</v>
      </c>
      <c r="M137" s="8" t="n">
        <f aca="false">M136+L137</f>
        <v>86770.0264166082</v>
      </c>
      <c r="N137" s="5" t="str">
        <f aca="false">IF(L137&gt;0,"прибыль",IF(L137&lt;0,"убыток","ноль"))</f>
        <v>убыток</v>
      </c>
      <c r="O137" s="6" t="n">
        <f aca="false">IF(L137&lt;0,O136+1,0)</f>
        <v>2</v>
      </c>
      <c r="P137" s="6" t="n">
        <v>1</v>
      </c>
    </row>
    <row r="138" customFormat="false" ht="15" hidden="false" customHeight="false" outlineLevel="0" collapsed="false">
      <c r="A138" s="6" t="n">
        <v>133</v>
      </c>
      <c r="B138" s="5" t="s">
        <v>72</v>
      </c>
      <c r="C138" s="5" t="s">
        <v>25</v>
      </c>
      <c r="D138" s="11" t="n">
        <v>45226</v>
      </c>
      <c r="E138" s="11" t="n">
        <v>45236</v>
      </c>
      <c r="F138" s="5" t="s">
        <v>75</v>
      </c>
      <c r="G138" s="12" t="n">
        <v>193500.238265995</v>
      </c>
      <c r="H138" s="13" t="n">
        <v>88.51</v>
      </c>
      <c r="I138" s="13" t="n">
        <v>86.1</v>
      </c>
      <c r="J138" s="5" t="s">
        <v>74</v>
      </c>
      <c r="K138" s="8" t="n">
        <v>20.1814369900588</v>
      </c>
      <c r="L138" s="8" t="n">
        <v>1649.48380666481</v>
      </c>
      <c r="M138" s="8" t="n">
        <f aca="false">M137+L138</f>
        <v>88419.510223273</v>
      </c>
      <c r="N138" s="5" t="str">
        <f aca="false">IF(L138&gt;0,"прибыль",IF(L138&lt;0,"убыток","ноль"))</f>
        <v>прибыль</v>
      </c>
      <c r="O138" s="6" t="n">
        <f aca="false">IF(L138&lt;0,O137+1,0)</f>
        <v>0</v>
      </c>
      <c r="P138" s="6" t="n">
        <v>6</v>
      </c>
    </row>
    <row r="139" customFormat="false" ht="15" hidden="false" customHeight="false" outlineLevel="0" collapsed="false">
      <c r="A139" s="6" t="n">
        <v>134</v>
      </c>
      <c r="B139" s="5" t="s">
        <v>72</v>
      </c>
      <c r="C139" s="5" t="s">
        <v>30</v>
      </c>
      <c r="D139" s="11" t="n">
        <v>45226</v>
      </c>
      <c r="E139" s="11" t="n">
        <v>45236</v>
      </c>
      <c r="F139" s="5" t="s">
        <v>73</v>
      </c>
      <c r="G139" s="12" t="n">
        <v>160774.132109856</v>
      </c>
      <c r="H139" s="13" t="n">
        <v>3.214</v>
      </c>
      <c r="I139" s="13" t="n">
        <v>3.415</v>
      </c>
      <c r="J139" s="5" t="s">
        <v>74</v>
      </c>
      <c r="K139" s="8" t="n">
        <v>16.3585346600547</v>
      </c>
      <c r="L139" s="8" t="n">
        <v>670.747334800848</v>
      </c>
      <c r="M139" s="8" t="n">
        <f aca="false">M138+L139</f>
        <v>89090.2575580738</v>
      </c>
      <c r="N139" s="5" t="str">
        <f aca="false">IF(L139&gt;0,"прибыль",IF(L139&lt;0,"убыток","ноль"))</f>
        <v>прибыль</v>
      </c>
      <c r="O139" s="6" t="n">
        <f aca="false">IF(L139&lt;0,O138+1,0)</f>
        <v>0</v>
      </c>
      <c r="P139" s="6" t="n">
        <v>6</v>
      </c>
    </row>
    <row r="140" customFormat="false" ht="15" hidden="false" customHeight="false" outlineLevel="0" collapsed="false">
      <c r="A140" s="6" t="n">
        <v>135</v>
      </c>
      <c r="B140" s="5" t="s">
        <v>72</v>
      </c>
      <c r="C140" s="5" t="s">
        <v>30</v>
      </c>
      <c r="D140" s="11" t="n">
        <v>45236</v>
      </c>
      <c r="E140" s="11" t="n">
        <v>45237</v>
      </c>
      <c r="F140" s="5" t="s">
        <v>75</v>
      </c>
      <c r="G140" s="12" t="n">
        <v>1.96959210544377E-011</v>
      </c>
      <c r="H140" s="13" t="n">
        <v>3.415</v>
      </c>
      <c r="I140" s="13" t="n">
        <v>3.327</v>
      </c>
      <c r="K140" s="8" t="n">
        <v>9.62677746543576E-016</v>
      </c>
      <c r="L140" s="8" t="n">
        <v>4.41403445819631E-013</v>
      </c>
      <c r="M140" s="8" t="n">
        <f aca="false">M139+L140</f>
        <v>89090.2575580738</v>
      </c>
      <c r="N140" s="5" t="str">
        <f aca="false">IF(L140&gt;0,"прибыль",IF(L140&lt;0,"убыток","ноль"))</f>
        <v>прибыль</v>
      </c>
      <c r="O140" s="6" t="n">
        <f aca="false">IF(L140&lt;0,O139+1,0)</f>
        <v>0</v>
      </c>
      <c r="P140" s="6" t="n">
        <v>1</v>
      </c>
    </row>
    <row r="141" customFormat="false" ht="15" hidden="false" customHeight="false" outlineLevel="0" collapsed="false">
      <c r="A141" s="6" t="n">
        <v>136</v>
      </c>
      <c r="B141" s="5" t="s">
        <v>72</v>
      </c>
      <c r="C141" s="5" t="s">
        <v>25</v>
      </c>
      <c r="D141" s="11" t="n">
        <v>45236</v>
      </c>
      <c r="E141" s="11" t="n">
        <v>45238</v>
      </c>
      <c r="F141" s="5" t="s">
        <v>73</v>
      </c>
      <c r="G141" s="12" t="n">
        <v>211798.166778835</v>
      </c>
      <c r="H141" s="13" t="n">
        <v>86.1</v>
      </c>
      <c r="I141" s="13" t="n">
        <v>83.24</v>
      </c>
      <c r="K141" s="8" t="n">
        <v>21.3794440745521</v>
      </c>
      <c r="L141" s="8" t="n">
        <v>-7617.3917546891</v>
      </c>
      <c r="M141" s="8" t="n">
        <f aca="false">M140+L141</f>
        <v>81472.8658033847</v>
      </c>
      <c r="N141" s="5" t="str">
        <f aca="false">IF(L141&gt;0,"прибыль",IF(L141&lt;0,"убыток","ноль"))</f>
        <v>убыток</v>
      </c>
      <c r="O141" s="6" t="n">
        <f aca="false">IF(L141&lt;0,O140+1,0)</f>
        <v>1</v>
      </c>
      <c r="P141" s="6" t="n">
        <v>2</v>
      </c>
    </row>
    <row r="142" customFormat="false" ht="15" hidden="false" customHeight="false" outlineLevel="0" collapsed="false">
      <c r="A142" s="6" t="n">
        <v>137</v>
      </c>
      <c r="B142" s="5" t="s">
        <v>72</v>
      </c>
      <c r="C142" s="5" t="s">
        <v>30</v>
      </c>
      <c r="D142" s="11" t="n">
        <v>45237</v>
      </c>
      <c r="E142" s="11" t="n">
        <v>45238</v>
      </c>
      <c r="F142" s="5" t="s">
        <v>75</v>
      </c>
      <c r="G142" s="12" t="n">
        <v>165709.455221777</v>
      </c>
      <c r="H142" s="13" t="n">
        <v>3.327</v>
      </c>
      <c r="I142" s="13" t="n">
        <v>3.25</v>
      </c>
      <c r="K142" s="8" t="n">
        <v>15.7968196028403</v>
      </c>
      <c r="L142" s="8" t="n">
        <v>7453.48074136892</v>
      </c>
      <c r="M142" s="8" t="n">
        <f aca="false">M141+L142</f>
        <v>88926.3465447536</v>
      </c>
      <c r="N142" s="5" t="str">
        <f aca="false">IF(L142&gt;0,"прибыль",IF(L142&lt;0,"убыток","ноль"))</f>
        <v>прибыль</v>
      </c>
      <c r="O142" s="6" t="n">
        <f aca="false">IF(L142&lt;0,O141+1,0)</f>
        <v>0</v>
      </c>
      <c r="P142" s="6" t="n">
        <v>1</v>
      </c>
    </row>
    <row r="143" customFormat="false" ht="15" hidden="false" customHeight="false" outlineLevel="0" collapsed="false">
      <c r="A143" s="6" t="n">
        <v>138</v>
      </c>
      <c r="B143" s="5" t="s">
        <v>72</v>
      </c>
      <c r="C143" s="5" t="s">
        <v>30</v>
      </c>
      <c r="D143" s="11" t="n">
        <v>45238</v>
      </c>
      <c r="E143" s="11" t="n">
        <v>45239</v>
      </c>
      <c r="F143" s="5" t="s">
        <v>73</v>
      </c>
      <c r="G143" s="12" t="n">
        <v>1.88081364619551E-011</v>
      </c>
      <c r="H143" s="13" t="n">
        <v>3.25</v>
      </c>
      <c r="I143" s="13" t="n">
        <v>3.231</v>
      </c>
      <c r="K143" s="8" t="n">
        <v>9.31639077386688E-016</v>
      </c>
      <c r="L143" s="8" t="n">
        <v>-1.76286553298709E-013</v>
      </c>
      <c r="M143" s="8" t="n">
        <f aca="false">M142+L143</f>
        <v>88926.3465447536</v>
      </c>
      <c r="N143" s="5" t="str">
        <f aca="false">IF(L143&gt;0,"прибыль",IF(L143&lt;0,"убыток","ноль"))</f>
        <v>убыток</v>
      </c>
      <c r="O143" s="6" t="n">
        <f aca="false">IF(L143&lt;0,O142+1,0)</f>
        <v>1</v>
      </c>
      <c r="P143" s="6" t="n">
        <v>1</v>
      </c>
    </row>
    <row r="144" customFormat="false" ht="15" hidden="false" customHeight="false" outlineLevel="0" collapsed="false">
      <c r="A144" s="6" t="n">
        <v>139</v>
      </c>
      <c r="B144" s="5" t="s">
        <v>72</v>
      </c>
      <c r="C144" s="5" t="s">
        <v>25</v>
      </c>
      <c r="D144" s="11" t="n">
        <v>45238</v>
      </c>
      <c r="E144" s="11" t="n">
        <v>45252</v>
      </c>
      <c r="F144" s="5" t="s">
        <v>75</v>
      </c>
      <c r="G144" s="12" t="n">
        <v>282979.043043533</v>
      </c>
      <c r="H144" s="13" t="n">
        <v>83.24</v>
      </c>
      <c r="I144" s="13" t="n">
        <v>82.85</v>
      </c>
      <c r="K144" s="8" t="n">
        <v>29.6853134750376</v>
      </c>
      <c r="L144" s="8" t="n">
        <v>-145.016369716924</v>
      </c>
      <c r="M144" s="8" t="n">
        <f aca="false">M143+L144</f>
        <v>88781.3301750367</v>
      </c>
      <c r="N144" s="5" t="str">
        <f aca="false">IF(L144&gt;0,"прибыль",IF(L144&lt;0,"убыток","ноль"))</f>
        <v>убыток</v>
      </c>
      <c r="O144" s="6" t="n">
        <f aca="false">IF(L144&lt;0,O143+1,0)</f>
        <v>2</v>
      </c>
      <c r="P144" s="6" t="n">
        <v>10</v>
      </c>
    </row>
    <row r="145" customFormat="false" ht="15" hidden="false" customHeight="false" outlineLevel="0" collapsed="false">
      <c r="A145" s="6" t="n">
        <v>140</v>
      </c>
      <c r="B145" s="5" t="s">
        <v>72</v>
      </c>
      <c r="C145" s="5" t="s">
        <v>30</v>
      </c>
      <c r="D145" s="11" t="n">
        <v>45239</v>
      </c>
      <c r="E145" s="11" t="n">
        <v>45252</v>
      </c>
      <c r="F145" s="5" t="s">
        <v>73</v>
      </c>
      <c r="G145" s="12" t="n">
        <v>157696.214396001</v>
      </c>
      <c r="H145" s="13" t="n">
        <v>3.231</v>
      </c>
      <c r="I145" s="13" t="n">
        <v>2.88</v>
      </c>
      <c r="K145" s="8" t="n">
        <v>14.2573496405659</v>
      </c>
      <c r="L145" s="8" t="n">
        <v>-18472.0961007287</v>
      </c>
      <c r="M145" s="8" t="n">
        <f aca="false">M144+L145</f>
        <v>70309.2340743081</v>
      </c>
      <c r="N145" s="5" t="str">
        <f aca="false">IF(L145&gt;0,"прибыль",IF(L145&lt;0,"убыток","ноль"))</f>
        <v>убыток</v>
      </c>
      <c r="O145" s="6" t="n">
        <f aca="false">IF(L145&lt;0,O144+1,0)</f>
        <v>3</v>
      </c>
      <c r="P145" s="6" t="n">
        <v>9</v>
      </c>
    </row>
    <row r="146" customFormat="false" ht="15" hidden="false" customHeight="false" outlineLevel="0" collapsed="false">
      <c r="A146" s="6" t="n">
        <v>141</v>
      </c>
      <c r="B146" s="5" t="s">
        <v>72</v>
      </c>
      <c r="C146" s="5" t="s">
        <v>25</v>
      </c>
      <c r="D146" s="11" t="n">
        <v>45252</v>
      </c>
      <c r="E146" s="11" t="n">
        <v>45253</v>
      </c>
      <c r="F146" s="5" t="s">
        <v>73</v>
      </c>
      <c r="G146" s="12" t="n">
        <v>251019.579380265</v>
      </c>
      <c r="H146" s="13" t="n">
        <v>82.85</v>
      </c>
      <c r="I146" s="13" t="n">
        <v>81.65</v>
      </c>
      <c r="K146" s="8" t="n">
        <v>25.2439239589502</v>
      </c>
      <c r="L146" s="8" t="n">
        <v>-4259.87616973695</v>
      </c>
      <c r="M146" s="8" t="n">
        <f aca="false">M145+L146</f>
        <v>66049.3579045711</v>
      </c>
      <c r="N146" s="5" t="str">
        <f aca="false">IF(L146&gt;0,"прибыль",IF(L146&lt;0,"убыток","ноль"))</f>
        <v>убыток</v>
      </c>
      <c r="O146" s="6" t="n">
        <f aca="false">IF(L146&lt;0,O145+1,0)</f>
        <v>4</v>
      </c>
      <c r="P146" s="6" t="n">
        <v>1</v>
      </c>
    </row>
    <row r="147" customFormat="false" ht="15" hidden="false" customHeight="false" outlineLevel="0" collapsed="false">
      <c r="A147" s="6" t="n">
        <v>142</v>
      </c>
      <c r="B147" s="5" t="s">
        <v>72</v>
      </c>
      <c r="C147" s="5" t="s">
        <v>30</v>
      </c>
      <c r="D147" s="11" t="n">
        <v>45252</v>
      </c>
      <c r="E147" s="11" t="n">
        <v>45253</v>
      </c>
      <c r="F147" s="5" t="s">
        <v>75</v>
      </c>
      <c r="G147" s="12" t="n">
        <v>145908.617166406</v>
      </c>
      <c r="H147" s="13" t="n">
        <v>2.88</v>
      </c>
      <c r="I147" s="13" t="n">
        <v>2.908</v>
      </c>
      <c r="K147" s="8" t="n">
        <v>14.5770616317698</v>
      </c>
      <c r="L147" s="8" t="n">
        <v>-1985.98709506645</v>
      </c>
      <c r="M147" s="8" t="n">
        <f aca="false">M146+L147</f>
        <v>64063.3708095047</v>
      </c>
      <c r="N147" s="5" t="str">
        <f aca="false">IF(L147&gt;0,"прибыль",IF(L147&lt;0,"убыток","ноль"))</f>
        <v>убыток</v>
      </c>
      <c r="O147" s="6" t="n">
        <f aca="false">IF(L147&lt;0,O146+1,0)</f>
        <v>5</v>
      </c>
      <c r="P147" s="6" t="n">
        <v>1</v>
      </c>
    </row>
    <row r="148" customFormat="false" ht="15" hidden="false" customHeight="false" outlineLevel="0" collapsed="false">
      <c r="A148" s="6" t="n">
        <v>143</v>
      </c>
      <c r="B148" s="5" t="s">
        <v>72</v>
      </c>
      <c r="C148" s="5" t="s">
        <v>25</v>
      </c>
      <c r="D148" s="11" t="n">
        <v>45253</v>
      </c>
      <c r="E148" s="11" t="n">
        <v>45254</v>
      </c>
      <c r="F148" s="5" t="s">
        <v>75</v>
      </c>
      <c r="G148" s="12" t="n">
        <v>258093.532044516</v>
      </c>
      <c r="H148" s="13" t="n">
        <v>81.65</v>
      </c>
      <c r="I148" s="13" t="n">
        <v>81.76</v>
      </c>
      <c r="K148" s="8" t="n">
        <v>26.2399640062277</v>
      </c>
      <c r="L148" s="8" t="n">
        <v>-989.282852371613</v>
      </c>
      <c r="M148" s="8" t="n">
        <f aca="false">M147+L148</f>
        <v>63074.0879571331</v>
      </c>
      <c r="N148" s="5" t="str">
        <f aca="false">IF(L148&gt;0,"прибыль",IF(L148&lt;0,"убыток","ноль"))</f>
        <v>убыток</v>
      </c>
      <c r="O148" s="6" t="n">
        <f aca="false">IF(L148&lt;0,O147+1,0)</f>
        <v>6</v>
      </c>
      <c r="P148" s="6" t="n">
        <v>1</v>
      </c>
    </row>
    <row r="149" customFormat="false" ht="15" hidden="false" customHeight="false" outlineLevel="0" collapsed="false">
      <c r="A149" s="6" t="n">
        <v>144</v>
      </c>
      <c r="B149" s="5" t="s">
        <v>72</v>
      </c>
      <c r="C149" s="5" t="s">
        <v>30</v>
      </c>
      <c r="D149" s="11" t="n">
        <v>45253</v>
      </c>
      <c r="E149" s="11" t="n">
        <v>45254</v>
      </c>
      <c r="F149" s="5" t="s">
        <v>73</v>
      </c>
      <c r="G149" s="12" t="n">
        <v>143661.205435555</v>
      </c>
      <c r="H149" s="13" t="n">
        <v>2.908</v>
      </c>
      <c r="I149" s="13" t="n">
        <v>2.926</v>
      </c>
      <c r="K149" s="8" t="n">
        <v>15.3688159296287</v>
      </c>
      <c r="L149" s="8" t="n">
        <v>358.219854303385</v>
      </c>
      <c r="M149" s="8" t="n">
        <f aca="false">M148+L149</f>
        <v>63432.3078114364</v>
      </c>
      <c r="N149" s="5" t="str">
        <f aca="false">IF(L149&gt;0,"прибыль",IF(L149&lt;0,"убыток","ноль"))</f>
        <v>прибыль</v>
      </c>
      <c r="O149" s="6" t="n">
        <f aca="false">IF(L149&lt;0,O148+1,0)</f>
        <v>0</v>
      </c>
      <c r="P149" s="6" t="n">
        <v>1</v>
      </c>
    </row>
    <row r="150" customFormat="false" ht="15" hidden="false" customHeight="false" outlineLevel="0" collapsed="false">
      <c r="A150" s="6" t="n">
        <v>145</v>
      </c>
      <c r="B150" s="5" t="s">
        <v>72</v>
      </c>
      <c r="C150" s="5" t="s">
        <v>30</v>
      </c>
      <c r="D150" s="11" t="n">
        <v>45254</v>
      </c>
      <c r="E150" s="11" t="n">
        <v>45278</v>
      </c>
      <c r="F150" s="5" t="s">
        <v>75</v>
      </c>
      <c r="G150" s="12" t="n">
        <v>65580.4694720057</v>
      </c>
      <c r="H150" s="13" t="n">
        <v>2.926</v>
      </c>
      <c r="I150" s="13" t="n">
        <v>2.527</v>
      </c>
      <c r="J150" s="5" t="s">
        <v>74</v>
      </c>
      <c r="K150" s="8" t="n">
        <v>8.51726035774775</v>
      </c>
      <c r="L150" s="8" t="n">
        <v>6918.95958920179</v>
      </c>
      <c r="M150" s="8" t="n">
        <f aca="false">M149+L150</f>
        <v>70351.2674006382</v>
      </c>
      <c r="N150" s="5" t="str">
        <f aca="false">IF(L150&gt;0,"прибыль",IF(L150&lt;0,"убыток","ноль"))</f>
        <v>прибыль</v>
      </c>
      <c r="O150" s="6" t="n">
        <f aca="false">IF(L150&lt;0,O149+1,0)</f>
        <v>0</v>
      </c>
      <c r="P150" s="6" t="n">
        <v>16</v>
      </c>
    </row>
    <row r="151" customFormat="false" ht="15" hidden="false" customHeight="false" outlineLevel="0" collapsed="false">
      <c r="A151" s="6" t="n">
        <v>146</v>
      </c>
      <c r="B151" s="5" t="s">
        <v>72</v>
      </c>
      <c r="C151" s="5" t="s">
        <v>30</v>
      </c>
      <c r="D151" s="11" t="n">
        <v>45278</v>
      </c>
      <c r="E151" s="11" t="n">
        <v>45282</v>
      </c>
      <c r="F151" s="5" t="s">
        <v>75</v>
      </c>
      <c r="G151" s="12" t="n">
        <v>48954.2381635402</v>
      </c>
      <c r="H151" s="13" t="n">
        <v>2.527</v>
      </c>
      <c r="I151" s="13" t="n">
        <v>2.579</v>
      </c>
      <c r="K151" s="8" t="n">
        <v>2.23490389724129</v>
      </c>
      <c r="L151" s="8" t="n">
        <v>4253.92531481709</v>
      </c>
      <c r="M151" s="8" t="n">
        <f aca="false">M150+L151</f>
        <v>74605.1927154553</v>
      </c>
      <c r="N151" s="5" t="str">
        <f aca="false">IF(L151&gt;0,"прибыль",IF(L151&lt;0,"убыток","ноль"))</f>
        <v>прибыль</v>
      </c>
      <c r="O151" s="6" t="n">
        <f aca="false">IF(L151&lt;0,O150+1,0)</f>
        <v>0</v>
      </c>
      <c r="P151" s="6" t="n">
        <v>4</v>
      </c>
    </row>
    <row r="152" customFormat="false" ht="15" hidden="false" customHeight="false" outlineLevel="0" collapsed="false">
      <c r="A152" s="6" t="n">
        <v>147</v>
      </c>
      <c r="B152" s="5" t="s">
        <v>72</v>
      </c>
      <c r="C152" s="5" t="s">
        <v>30</v>
      </c>
      <c r="D152" s="11" t="n">
        <v>45282</v>
      </c>
      <c r="E152" s="11" t="n">
        <v>45296</v>
      </c>
      <c r="F152" s="5" t="s">
        <v>75</v>
      </c>
      <c r="G152" s="12" t="n">
        <v>40809.2707087671</v>
      </c>
      <c r="H152" s="13" t="n">
        <v>2.579</v>
      </c>
      <c r="I152" s="13" t="n">
        <v>2.805</v>
      </c>
      <c r="J152" s="5" t="s">
        <v>74</v>
      </c>
      <c r="K152" s="8" t="n">
        <v>2.07744928733185</v>
      </c>
      <c r="L152" s="8" t="n">
        <v>-741.792487157221</v>
      </c>
      <c r="M152" s="8" t="n">
        <f aca="false">M151+L152</f>
        <v>73863.4002282981</v>
      </c>
      <c r="N152" s="5" t="str">
        <f aca="false">IF(L152&gt;0,"прибыль",IF(L152&lt;0,"убыток","ноль"))</f>
        <v>убыток</v>
      </c>
      <c r="O152" s="6" t="n">
        <f aca="false">IF(L152&lt;0,O151+1,0)</f>
        <v>1</v>
      </c>
      <c r="P152" s="6" t="n">
        <v>8</v>
      </c>
    </row>
    <row r="153" customFormat="false" ht="15" hidden="false" customHeight="false" outlineLevel="0" collapsed="false">
      <c r="A153" s="6" t="n">
        <v>148</v>
      </c>
      <c r="B153" s="5" t="s">
        <v>72</v>
      </c>
      <c r="C153" s="5" t="s">
        <v>25</v>
      </c>
      <c r="D153" s="11" t="n">
        <v>45254</v>
      </c>
      <c r="E153" s="11" t="n">
        <v>45306</v>
      </c>
      <c r="F153" s="5" t="s">
        <v>73</v>
      </c>
      <c r="G153" s="12" t="n">
        <v>265742.705191674</v>
      </c>
      <c r="H153" s="13" t="n">
        <v>81.76</v>
      </c>
      <c r="I153" s="13" t="n">
        <v>78.93</v>
      </c>
      <c r="J153" s="5" t="s">
        <v>74</v>
      </c>
      <c r="K153" s="8" t="n">
        <v>28.9479481165041</v>
      </c>
      <c r="L153" s="8" t="n">
        <v>5018.24248278943</v>
      </c>
      <c r="M153" s="8" t="n">
        <f aca="false">M152+L153</f>
        <v>78881.6427110875</v>
      </c>
      <c r="N153" s="5" t="str">
        <f aca="false">IF(L153&gt;0,"прибыль",IF(L153&lt;0,"убыток","ноль"))</f>
        <v>прибыль</v>
      </c>
      <c r="O153" s="6" t="n">
        <f aca="false">IF(L153&lt;0,O152+1,0)</f>
        <v>0</v>
      </c>
      <c r="P153" s="6" t="n">
        <v>34</v>
      </c>
    </row>
    <row r="154" customFormat="false" ht="15" hidden="false" customHeight="false" outlineLevel="0" collapsed="false">
      <c r="A154" s="6" t="n">
        <v>149</v>
      </c>
      <c r="B154" s="5" t="s">
        <v>72</v>
      </c>
      <c r="C154" s="5" t="s">
        <v>30</v>
      </c>
      <c r="D154" s="11" t="n">
        <v>45296</v>
      </c>
      <c r="E154" s="11" t="n">
        <v>45306</v>
      </c>
      <c r="F154" s="5" t="s">
        <v>75</v>
      </c>
      <c r="G154" s="12" t="n">
        <v>119689.760674982</v>
      </c>
      <c r="H154" s="13" t="n">
        <v>2.805</v>
      </c>
      <c r="I154" s="13" t="n">
        <v>3.15</v>
      </c>
      <c r="K154" s="8" t="n">
        <v>12.6850274688992</v>
      </c>
      <c r="L154" s="8" t="n">
        <v>-17168.6401508487</v>
      </c>
      <c r="M154" s="8" t="n">
        <f aca="false">M153+L154</f>
        <v>61713.0025602389</v>
      </c>
      <c r="N154" s="5" t="str">
        <f aca="false">IF(L154&gt;0,"прибыль",IF(L154&lt;0,"убыток","ноль"))</f>
        <v>убыток</v>
      </c>
      <c r="O154" s="6" t="n">
        <f aca="false">IF(L154&lt;0,O153+1,0)</f>
        <v>1</v>
      </c>
      <c r="P154" s="6" t="n">
        <v>6</v>
      </c>
    </row>
    <row r="155" customFormat="false" ht="15" hidden="false" customHeight="false" outlineLevel="0" collapsed="false">
      <c r="A155" s="6" t="n">
        <v>150</v>
      </c>
      <c r="B155" s="5" t="s">
        <v>72</v>
      </c>
      <c r="C155" s="5" t="s">
        <v>25</v>
      </c>
      <c r="D155" s="11" t="n">
        <v>45306</v>
      </c>
      <c r="E155" s="11" t="n">
        <v>45307</v>
      </c>
      <c r="F155" s="5" t="s">
        <v>75</v>
      </c>
      <c r="G155" s="12" t="n">
        <v>308169.066707502</v>
      </c>
      <c r="H155" s="13" t="n">
        <v>78.93</v>
      </c>
      <c r="I155" s="13" t="n">
        <v>78.4</v>
      </c>
      <c r="K155" s="8" t="n">
        <v>32.0101891514286</v>
      </c>
      <c r="L155" s="8" t="n">
        <v>1407.70916628263</v>
      </c>
      <c r="M155" s="8" t="n">
        <f aca="false">M154+L155</f>
        <v>63120.7117265215</v>
      </c>
      <c r="N155" s="5" t="str">
        <f aca="false">IF(L155&gt;0,"прибыль",IF(L155&lt;0,"убыток","ноль"))</f>
        <v>прибыль</v>
      </c>
      <c r="O155" s="6" t="n">
        <f aca="false">IF(L155&lt;0,O154+1,0)</f>
        <v>0</v>
      </c>
      <c r="P155" s="6" t="n">
        <v>1</v>
      </c>
    </row>
    <row r="156" customFormat="false" ht="15" hidden="false" customHeight="false" outlineLevel="0" collapsed="false">
      <c r="A156" s="6" t="n">
        <v>151</v>
      </c>
      <c r="B156" s="5" t="s">
        <v>72</v>
      </c>
      <c r="C156" s="5" t="s">
        <v>30</v>
      </c>
      <c r="D156" s="11" t="n">
        <v>45306</v>
      </c>
      <c r="E156" s="11" t="n">
        <v>45307</v>
      </c>
      <c r="F156" s="5" t="s">
        <v>73</v>
      </c>
      <c r="G156" s="12" t="n">
        <v>116854.833579622</v>
      </c>
      <c r="H156" s="13" t="n">
        <v>3.15</v>
      </c>
      <c r="I156" s="13" t="n">
        <v>3.087</v>
      </c>
      <c r="K156" s="8" t="n">
        <v>11.0669845395741</v>
      </c>
      <c r="L156" s="8" t="n">
        <v>-2870.27649049409</v>
      </c>
      <c r="M156" s="8" t="n">
        <f aca="false">M155+L156</f>
        <v>60250.4352360274</v>
      </c>
      <c r="N156" s="5" t="str">
        <f aca="false">IF(L156&gt;0,"прибыль",IF(L156&lt;0,"убыток","ноль"))</f>
        <v>убыток</v>
      </c>
      <c r="O156" s="6" t="n">
        <f aca="false">IF(L156&lt;0,O155+1,0)</f>
        <v>1</v>
      </c>
      <c r="P156" s="6" t="n">
        <v>1</v>
      </c>
    </row>
    <row r="157" customFormat="false" ht="15" hidden="false" customHeight="false" outlineLevel="0" collapsed="false">
      <c r="A157" s="6" t="n">
        <v>152</v>
      </c>
      <c r="B157" s="5" t="s">
        <v>72</v>
      </c>
      <c r="C157" s="5" t="s">
        <v>30</v>
      </c>
      <c r="D157" s="11" t="n">
        <v>45307</v>
      </c>
      <c r="E157" s="11" t="n">
        <v>45308</v>
      </c>
      <c r="F157" s="5" t="s">
        <v>75</v>
      </c>
      <c r="G157" s="12" t="n">
        <v>1.78319751606227E-011</v>
      </c>
      <c r="H157" s="13" t="n">
        <v>3.087</v>
      </c>
      <c r="I157" s="13" t="n">
        <v>2.829</v>
      </c>
      <c r="K157" s="8" t="n">
        <v>8.2124975045418E-016</v>
      </c>
      <c r="L157" s="8" t="n">
        <v>1.4061589017886E-012</v>
      </c>
      <c r="M157" s="8" t="n">
        <f aca="false">M156+L157</f>
        <v>60250.4352360274</v>
      </c>
      <c r="N157" s="5" t="str">
        <f aca="false">IF(L157&gt;0,"прибыль",IF(L157&lt;0,"убыток","ноль"))</f>
        <v>прибыль</v>
      </c>
      <c r="O157" s="6" t="n">
        <f aca="false">IF(L157&lt;0,O156+1,0)</f>
        <v>0</v>
      </c>
      <c r="P157" s="6" t="n">
        <v>1</v>
      </c>
    </row>
    <row r="158" customFormat="false" ht="15" hidden="false" customHeight="false" outlineLevel="0" collapsed="false">
      <c r="A158" s="6" t="n">
        <v>153</v>
      </c>
      <c r="B158" s="5" t="s">
        <v>72</v>
      </c>
      <c r="C158" s="5" t="s">
        <v>25</v>
      </c>
      <c r="D158" s="11" t="n">
        <v>45307</v>
      </c>
      <c r="E158" s="11" t="n">
        <v>45400</v>
      </c>
      <c r="F158" s="5" t="s">
        <v>73</v>
      </c>
      <c r="G158" s="12" t="n">
        <v>112825.628331274</v>
      </c>
      <c r="H158" s="13" t="n">
        <v>78.4</v>
      </c>
      <c r="I158" s="13" t="n">
        <v>87.78</v>
      </c>
      <c r="J158" s="5" t="s">
        <v>74</v>
      </c>
      <c r="K158" s="8" t="n">
        <v>14.9393661648039</v>
      </c>
      <c r="L158" s="8" t="n">
        <v>12104.5608420741</v>
      </c>
      <c r="M158" s="8" t="n">
        <f aca="false">M157+L158</f>
        <v>72354.9960781015</v>
      </c>
      <c r="N158" s="5" t="str">
        <f aca="false">IF(L158&gt;0,"прибыль",IF(L158&lt;0,"убыток","ноль"))</f>
        <v>прибыль</v>
      </c>
      <c r="O158" s="6" t="n">
        <f aca="false">IF(L158&lt;0,O157+1,0)</f>
        <v>0</v>
      </c>
      <c r="P158" s="6" t="n">
        <v>65</v>
      </c>
    </row>
    <row r="159" customFormat="false" ht="15" hidden="false" customHeight="false" outlineLevel="0" collapsed="false">
      <c r="A159" s="6" t="n">
        <v>154</v>
      </c>
      <c r="B159" s="5" t="s">
        <v>78</v>
      </c>
      <c r="C159" s="5" t="s">
        <v>30</v>
      </c>
      <c r="D159" s="11" t="n">
        <v>45308</v>
      </c>
      <c r="E159" s="11" t="n">
        <v>45415</v>
      </c>
      <c r="F159" s="5" t="s">
        <v>75</v>
      </c>
      <c r="G159" s="12" t="n">
        <v>46027.6592031681</v>
      </c>
      <c r="H159" s="13" t="n">
        <v>2.829</v>
      </c>
      <c r="I159" s="13" t="n">
        <v>2.029</v>
      </c>
      <c r="J159" s="5" t="s">
        <v>74</v>
      </c>
      <c r="K159" s="8" t="n">
        <v>7.19774184105908</v>
      </c>
      <c r="L159" s="8" t="n">
        <v>12243.27542596</v>
      </c>
      <c r="M159" s="8" t="n">
        <f aca="false">M158+L159</f>
        <v>84598.2715040614</v>
      </c>
      <c r="N159" s="5" t="str">
        <f aca="false">IF(L159&gt;0,"прибыль",IF(L159&lt;0,"убыток","ноль"))</f>
        <v>прибыль</v>
      </c>
      <c r="O159" s="6" t="n">
        <f aca="false">IF(L159&lt;0,O158+1,0)</f>
        <v>0</v>
      </c>
      <c r="P159" s="6" t="n">
        <v>75</v>
      </c>
    </row>
    <row r="160" customFormat="false" ht="15" hidden="false" customHeight="false" outlineLevel="0" collapsed="false">
      <c r="A160" s="6" t="n">
        <v>155</v>
      </c>
      <c r="B160" s="5" t="s">
        <v>76</v>
      </c>
      <c r="C160" s="5" t="s">
        <v>30</v>
      </c>
      <c r="D160" s="11" t="n">
        <v>45415</v>
      </c>
      <c r="E160" s="11" t="n">
        <v>45432</v>
      </c>
      <c r="F160" s="5" t="s">
        <v>75</v>
      </c>
      <c r="G160" s="12" t="n">
        <v>43871.9255347755</v>
      </c>
      <c r="H160" s="13" t="n">
        <v>2.029</v>
      </c>
      <c r="I160" s="13" t="n">
        <v>2.665</v>
      </c>
      <c r="K160" s="8" t="n">
        <v>2.11450889875339</v>
      </c>
      <c r="L160" s="8" t="n">
        <v>1579.63305080886</v>
      </c>
      <c r="M160" s="8" t="n">
        <f aca="false">M159+L160</f>
        <v>86177.9045548703</v>
      </c>
      <c r="N160" s="5" t="str">
        <f aca="false">IF(L160&gt;0,"прибыль",IF(L160&lt;0,"убыток","ноль"))</f>
        <v>прибыль</v>
      </c>
      <c r="O160" s="6" t="n">
        <f aca="false">IF(L160&lt;0,O159+1,0)</f>
        <v>0</v>
      </c>
      <c r="P160" s="6" t="n">
        <v>10</v>
      </c>
    </row>
    <row r="161" customFormat="false" ht="15" hidden="false" customHeight="false" outlineLevel="0" collapsed="false">
      <c r="A161" s="6" t="n">
        <v>156</v>
      </c>
      <c r="B161" s="5" t="s">
        <v>76</v>
      </c>
      <c r="C161" s="5" t="s">
        <v>25</v>
      </c>
      <c r="D161" s="11" t="n">
        <v>45400</v>
      </c>
      <c r="E161" s="11" t="n">
        <v>45443</v>
      </c>
      <c r="F161" s="5" t="s">
        <v>73</v>
      </c>
      <c r="G161" s="12" t="n">
        <v>109297.823754093</v>
      </c>
      <c r="H161" s="13" t="n">
        <v>87.78</v>
      </c>
      <c r="I161" s="13" t="n">
        <v>81.84</v>
      </c>
      <c r="J161" s="5" t="s">
        <v>74</v>
      </c>
      <c r="K161" s="8" t="n">
        <v>12.5134662315737</v>
      </c>
      <c r="L161" s="8" t="n">
        <v>5638.47181125532</v>
      </c>
      <c r="M161" s="8" t="n">
        <f aca="false">M160+L161</f>
        <v>91816.3763661256</v>
      </c>
      <c r="N161" s="5" t="str">
        <f aca="false">IF(L161&gt;0,"прибыль",IF(L161&lt;0,"убыток","ноль"))</f>
        <v>прибыль</v>
      </c>
      <c r="O161" s="6" t="n">
        <f aca="false">IF(L161&lt;0,O160+1,0)</f>
        <v>0</v>
      </c>
      <c r="P161" s="6" t="n">
        <v>30</v>
      </c>
    </row>
    <row r="162" customFormat="false" ht="15" hidden="false" customHeight="false" outlineLevel="0" collapsed="false">
      <c r="A162" s="6" t="n">
        <v>157</v>
      </c>
      <c r="B162" s="5" t="s">
        <v>76</v>
      </c>
      <c r="C162" s="5" t="s">
        <v>25</v>
      </c>
      <c r="D162" s="11" t="n">
        <v>45443</v>
      </c>
      <c r="E162" s="11" t="n">
        <v>45454</v>
      </c>
      <c r="F162" s="5" t="s">
        <v>73</v>
      </c>
      <c r="G162" s="12" t="n">
        <v>86654.7425864511</v>
      </c>
      <c r="H162" s="13" t="n">
        <v>81.84</v>
      </c>
      <c r="I162" s="13" t="n">
        <v>81.42</v>
      </c>
      <c r="J162" s="5" t="s">
        <v>74</v>
      </c>
      <c r="K162" s="8" t="n">
        <v>4.74089662286133</v>
      </c>
      <c r="L162" s="8" t="n">
        <v>8158.44897415252</v>
      </c>
      <c r="M162" s="8" t="n">
        <f aca="false">M161+L162</f>
        <v>99974.8253402781</v>
      </c>
      <c r="N162" s="5" t="str">
        <f aca="false">IF(L162&gt;0,"прибыль",IF(L162&lt;0,"убыток","ноль"))</f>
        <v>прибыль</v>
      </c>
      <c r="O162" s="6" t="n">
        <f aca="false">IF(L162&lt;0,O161+1,0)</f>
        <v>0</v>
      </c>
      <c r="P162" s="6" t="n">
        <v>7</v>
      </c>
    </row>
    <row r="163" customFormat="false" ht="15" hidden="false" customHeight="false" outlineLevel="0" collapsed="false">
      <c r="A163" s="6" t="n">
        <v>158</v>
      </c>
      <c r="B163" s="5" t="s">
        <v>76</v>
      </c>
      <c r="C163" s="5" t="s">
        <v>25</v>
      </c>
      <c r="D163" s="11" t="n">
        <v>45454</v>
      </c>
      <c r="E163" s="11" t="n">
        <v>45512</v>
      </c>
      <c r="F163" s="5" t="s">
        <v>73</v>
      </c>
      <c r="G163" s="12" t="n">
        <v>138590.60783133</v>
      </c>
      <c r="H163" s="13" t="n">
        <v>81.42</v>
      </c>
      <c r="I163" s="13" t="n">
        <v>78.57</v>
      </c>
      <c r="J163" s="5" t="s">
        <v>74</v>
      </c>
      <c r="K163" s="8" t="n">
        <v>14.1635766625746</v>
      </c>
      <c r="L163" s="8" t="n">
        <v>1789.72245729392</v>
      </c>
      <c r="M163" s="8" t="n">
        <f aca="false">M162+L163</f>
        <v>101764.547797572</v>
      </c>
      <c r="N163" s="5" t="str">
        <f aca="false">IF(L163&gt;0,"прибыль",IF(L163&lt;0,"убыток","ноль"))</f>
        <v>прибыль</v>
      </c>
      <c r="O163" s="6" t="n">
        <f aca="false">IF(L163&lt;0,O162+1,0)</f>
        <v>0</v>
      </c>
      <c r="P163" s="6" t="n">
        <v>41</v>
      </c>
    </row>
    <row r="164" customFormat="false" ht="15" hidden="false" customHeight="false" outlineLevel="0" collapsed="false">
      <c r="A164" s="6" t="n">
        <v>159</v>
      </c>
      <c r="B164" s="5" t="s">
        <v>76</v>
      </c>
      <c r="C164" s="5" t="s">
        <v>25</v>
      </c>
      <c r="D164" s="11" t="n">
        <v>45512</v>
      </c>
      <c r="E164" s="11" t="n">
        <v>45531</v>
      </c>
      <c r="F164" s="5" t="s">
        <v>73</v>
      </c>
      <c r="G164" s="12" t="n">
        <v>77097.5364398211</v>
      </c>
      <c r="H164" s="13" t="n">
        <v>78.57</v>
      </c>
      <c r="I164" s="13" t="n">
        <v>81.4</v>
      </c>
      <c r="K164" s="8" t="n">
        <v>4.04499371976876</v>
      </c>
      <c r="L164" s="8" t="n">
        <v>3798.29296183429</v>
      </c>
      <c r="M164" s="8" t="n">
        <f aca="false">M163+L164</f>
        <v>105562.840759406</v>
      </c>
      <c r="N164" s="5" t="str">
        <f aca="false">IF(L164&gt;0,"прибыль",IF(L164&lt;0,"убыток","ноль"))</f>
        <v>прибыль</v>
      </c>
      <c r="O164" s="6" t="n">
        <f aca="false">IF(L164&lt;0,O163+1,0)</f>
        <v>0</v>
      </c>
      <c r="P164" s="6" t="n">
        <v>13</v>
      </c>
    </row>
    <row r="165" customFormat="false" ht="15" hidden="false" customHeight="false" outlineLevel="0" collapsed="false">
      <c r="A165" s="6" t="n">
        <v>160</v>
      </c>
      <c r="B165" s="5" t="s">
        <v>76</v>
      </c>
      <c r="C165" s="5" t="s">
        <v>25</v>
      </c>
      <c r="D165" s="11" t="n">
        <v>45531</v>
      </c>
      <c r="E165" s="11" t="n">
        <v>45548</v>
      </c>
      <c r="F165" s="5" t="s">
        <v>73</v>
      </c>
      <c r="G165" s="12" t="n">
        <v>261047.8464762</v>
      </c>
      <c r="H165" s="13" t="n">
        <v>81.4</v>
      </c>
      <c r="I165" s="13" t="n">
        <v>72.51</v>
      </c>
      <c r="J165" s="5" t="s">
        <v>74</v>
      </c>
      <c r="K165" s="8" t="n">
        <v>24.2580646012491</v>
      </c>
      <c r="L165" s="8" t="n">
        <v>-13705.7602415632</v>
      </c>
      <c r="M165" s="8" t="n">
        <f aca="false">M164+L165</f>
        <v>91857.0805178431</v>
      </c>
      <c r="N165" s="5" t="str">
        <f aca="false">IF(L165&gt;0,"прибыль",IF(L165&lt;0,"убыток","ноль"))</f>
        <v>убыток</v>
      </c>
      <c r="O165" s="6" t="n">
        <f aca="false">IF(L165&lt;0,O164+1,0)</f>
        <v>1</v>
      </c>
      <c r="P165" s="6" t="n">
        <v>13</v>
      </c>
    </row>
    <row r="166" customFormat="false" ht="15" hidden="false" customHeight="false" outlineLevel="0" collapsed="false">
      <c r="A166" s="6" t="n">
        <v>161</v>
      </c>
      <c r="B166" s="5" t="s">
        <v>76</v>
      </c>
      <c r="C166" s="5" t="s">
        <v>30</v>
      </c>
      <c r="D166" s="11" t="n">
        <v>45432</v>
      </c>
      <c r="E166" s="11" t="n">
        <v>45548</v>
      </c>
      <c r="F166" s="5" t="s">
        <v>75</v>
      </c>
      <c r="G166" s="12" t="n">
        <v>221739.111533692</v>
      </c>
      <c r="H166" s="13" t="n">
        <v>2.665</v>
      </c>
      <c r="I166" s="13" t="n">
        <v>2.385</v>
      </c>
      <c r="J166" s="5" t="s">
        <v>74</v>
      </c>
      <c r="K166" s="8" t="n">
        <v>20.6878886801259</v>
      </c>
      <c r="L166" s="8" t="n">
        <v>40340.6835405462</v>
      </c>
      <c r="M166" s="8" t="n">
        <f aca="false">M165+L166</f>
        <v>132197.764058389</v>
      </c>
      <c r="N166" s="5" t="str">
        <f aca="false">IF(L166&gt;0,"прибыль",IF(L166&lt;0,"убыток","ноль"))</f>
        <v>прибыль</v>
      </c>
      <c r="O166" s="6" t="n">
        <f aca="false">IF(L166&lt;0,O165+1,0)</f>
        <v>0</v>
      </c>
      <c r="P166" s="6" t="n">
        <v>83</v>
      </c>
    </row>
    <row r="167" customFormat="false" ht="15" hidden="false" customHeight="false" outlineLevel="0" collapsed="false">
      <c r="A167" s="6" t="n">
        <v>162</v>
      </c>
      <c r="B167" s="5" t="s">
        <v>76</v>
      </c>
      <c r="C167" s="5" t="s">
        <v>25</v>
      </c>
      <c r="D167" s="11" t="n">
        <v>45548</v>
      </c>
      <c r="E167" s="11" t="n">
        <v>45553</v>
      </c>
      <c r="F167" s="5" t="s">
        <v>75</v>
      </c>
      <c r="G167" s="12" t="n">
        <v>237794.947725744</v>
      </c>
      <c r="H167" s="13" t="n">
        <v>72.51</v>
      </c>
      <c r="I167" s="13" t="n">
        <v>73.33</v>
      </c>
      <c r="K167" s="8" t="n">
        <v>24.0464065890438</v>
      </c>
      <c r="L167" s="8" t="n">
        <v>-3326.74493043508</v>
      </c>
      <c r="M167" s="8" t="n">
        <f aca="false">M166+L167</f>
        <v>128871.019127954</v>
      </c>
      <c r="N167" s="5" t="str">
        <f aca="false">IF(L167&gt;0,"прибыль",IF(L167&lt;0,"убыток","ноль"))</f>
        <v>убыток</v>
      </c>
      <c r="O167" s="6" t="n">
        <f aca="false">IF(L167&lt;0,O166+1,0)</f>
        <v>1</v>
      </c>
      <c r="P167" s="6" t="n">
        <v>3</v>
      </c>
    </row>
    <row r="168" customFormat="false" ht="15" hidden="false" customHeight="false" outlineLevel="0" collapsed="false">
      <c r="A168" s="6" t="n">
        <v>163</v>
      </c>
      <c r="B168" s="5" t="s">
        <v>76</v>
      </c>
      <c r="C168" s="5" t="s">
        <v>30</v>
      </c>
      <c r="D168" s="11" t="n">
        <v>45548</v>
      </c>
      <c r="E168" s="11" t="n">
        <v>45553</v>
      </c>
      <c r="F168" s="5" t="s">
        <v>73</v>
      </c>
      <c r="G168" s="12" t="n">
        <v>138263.054730045</v>
      </c>
      <c r="H168" s="13" t="n">
        <v>2.385</v>
      </c>
      <c r="I168" s="13" t="n">
        <v>2.327</v>
      </c>
      <c r="K168" s="8" t="n">
        <v>13.7717973203403</v>
      </c>
      <c r="L168" s="8" t="n">
        <v>-3901.23213806121</v>
      </c>
      <c r="M168" s="8" t="n">
        <f aca="false">M167+L168</f>
        <v>124969.786989893</v>
      </c>
      <c r="N168" s="5" t="str">
        <f aca="false">IF(L168&gt;0,"прибыль",IF(L168&lt;0,"убыток","ноль"))</f>
        <v>убыток</v>
      </c>
      <c r="O168" s="6" t="n">
        <f aca="false">IF(L168&lt;0,O167+1,0)</f>
        <v>2</v>
      </c>
      <c r="P168" s="6" t="n">
        <v>3</v>
      </c>
    </row>
    <row r="169" customFormat="false" ht="15" hidden="false" customHeight="false" outlineLevel="0" collapsed="false">
      <c r="A169" s="6" t="n">
        <v>164</v>
      </c>
      <c r="B169" s="5" t="s">
        <v>76</v>
      </c>
      <c r="C169" s="5" t="s">
        <v>30</v>
      </c>
      <c r="D169" s="11" t="n">
        <v>45553</v>
      </c>
      <c r="E169" s="11" t="n">
        <v>45554</v>
      </c>
      <c r="F169" s="5" t="s">
        <v>75</v>
      </c>
      <c r="G169" s="12" t="n">
        <v>1.97943049755888E-011</v>
      </c>
      <c r="H169" s="13" t="n">
        <v>2.327</v>
      </c>
      <c r="I169" s="13" t="n">
        <v>2.31</v>
      </c>
      <c r="K169" s="8" t="n">
        <v>9.86278096680767E-016</v>
      </c>
      <c r="L169" s="8" t="n">
        <v>6.77567638767521E-014</v>
      </c>
      <c r="M169" s="8" t="n">
        <f aca="false">M168+L169</f>
        <v>124969.786989893</v>
      </c>
      <c r="N169" s="5" t="str">
        <f aca="false">IF(L169&gt;0,"прибыль",IF(L169&lt;0,"убыток","ноль"))</f>
        <v>прибыль</v>
      </c>
      <c r="O169" s="6" t="n">
        <f aca="false">IF(L169&lt;0,O168+1,0)</f>
        <v>0</v>
      </c>
      <c r="P169" s="6" t="n">
        <v>1</v>
      </c>
    </row>
    <row r="170" customFormat="false" ht="15" hidden="false" customHeight="false" outlineLevel="0" collapsed="false">
      <c r="A170" s="6" t="n">
        <v>165</v>
      </c>
      <c r="B170" s="5" t="s">
        <v>76</v>
      </c>
      <c r="C170" s="5" t="s">
        <v>25</v>
      </c>
      <c r="D170" s="11" t="n">
        <v>45553</v>
      </c>
      <c r="E170" s="11" t="n">
        <v>45558</v>
      </c>
      <c r="F170" s="5" t="s">
        <v>73</v>
      </c>
      <c r="G170" s="12" t="n">
        <v>239830.485531287</v>
      </c>
      <c r="H170" s="13" t="n">
        <v>73.33</v>
      </c>
      <c r="I170" s="13" t="n">
        <v>74.85</v>
      </c>
      <c r="K170" s="8" t="n">
        <v>24.3096769390428</v>
      </c>
      <c r="L170" s="8" t="n">
        <v>4328.8135370146</v>
      </c>
      <c r="M170" s="8" t="n">
        <f aca="false">M169+L170</f>
        <v>129298.600526908</v>
      </c>
      <c r="N170" s="5" t="str">
        <f aca="false">IF(L170&gt;0,"прибыль",IF(L170&lt;0,"убыток","ноль"))</f>
        <v>прибыль</v>
      </c>
      <c r="O170" s="6" t="n">
        <f aca="false">IF(L170&lt;0,O169+1,0)</f>
        <v>0</v>
      </c>
      <c r="P170" s="6" t="n">
        <v>3</v>
      </c>
    </row>
    <row r="171" customFormat="false" ht="15" hidden="false" customHeight="false" outlineLevel="0" collapsed="false">
      <c r="A171" s="6" t="n">
        <v>166</v>
      </c>
      <c r="B171" s="5" t="s">
        <v>76</v>
      </c>
      <c r="C171" s="5" t="s">
        <v>30</v>
      </c>
      <c r="D171" s="11" t="n">
        <v>45554</v>
      </c>
      <c r="E171" s="11" t="n">
        <v>45558</v>
      </c>
      <c r="F171" s="5" t="s">
        <v>75</v>
      </c>
      <c r="G171" s="12" t="n">
        <v>141060.352017503</v>
      </c>
      <c r="H171" s="13" t="n">
        <v>2.31</v>
      </c>
      <c r="I171" s="13" t="n">
        <v>2.465</v>
      </c>
      <c r="K171" s="8" t="n">
        <v>14.9381047165238</v>
      </c>
      <c r="L171" s="8" t="n">
        <v>-8946.76699397143</v>
      </c>
      <c r="M171" s="8" t="n">
        <f aca="false">M170+L171</f>
        <v>120351.833532936</v>
      </c>
      <c r="N171" s="5" t="str">
        <f aca="false">IF(L171&gt;0,"прибыль",IF(L171&lt;0,"убыток","ноль"))</f>
        <v>убыток</v>
      </c>
      <c r="O171" s="6" t="n">
        <f aca="false">IF(L171&lt;0,O170+1,0)</f>
        <v>1</v>
      </c>
      <c r="P171" s="6" t="n">
        <v>2</v>
      </c>
    </row>
    <row r="172" customFormat="false" ht="15" hidden="false" customHeight="false" outlineLevel="0" collapsed="false">
      <c r="A172" s="6" t="n">
        <v>167</v>
      </c>
      <c r="B172" s="5" t="s">
        <v>76</v>
      </c>
      <c r="C172" s="5" t="s">
        <v>30</v>
      </c>
      <c r="D172" s="11" t="n">
        <v>45558</v>
      </c>
      <c r="E172" s="11" t="n">
        <v>45565</v>
      </c>
      <c r="F172" s="5" t="s">
        <v>73</v>
      </c>
      <c r="G172" s="12" t="n">
        <v>31883.8121264476</v>
      </c>
      <c r="H172" s="13" t="n">
        <v>2.465</v>
      </c>
      <c r="I172" s="13" t="n">
        <v>2.893</v>
      </c>
      <c r="J172" s="5" t="s">
        <v>74</v>
      </c>
      <c r="K172" s="8" t="n">
        <v>1.7754791081537</v>
      </c>
      <c r="L172" s="8" t="n">
        <v>3623.99455751825</v>
      </c>
      <c r="M172" s="8" t="n">
        <f aca="false">M171+L172</f>
        <v>123975.828090454</v>
      </c>
      <c r="N172" s="5" t="str">
        <f aca="false">IF(L172&gt;0,"прибыль",IF(L172&lt;0,"убыток","ноль"))</f>
        <v>прибыль</v>
      </c>
      <c r="O172" s="6" t="n">
        <f aca="false">IF(L172&lt;0,O171+1,0)</f>
        <v>0</v>
      </c>
      <c r="P172" s="6" t="n">
        <v>5</v>
      </c>
    </row>
    <row r="173" customFormat="false" ht="15" hidden="false" customHeight="false" outlineLevel="0" collapsed="false">
      <c r="A173" s="6" t="n">
        <v>168</v>
      </c>
      <c r="B173" s="5" t="s">
        <v>76</v>
      </c>
      <c r="C173" s="5" t="s">
        <v>25</v>
      </c>
      <c r="D173" s="11" t="n">
        <v>45558</v>
      </c>
      <c r="E173" s="11" t="n">
        <v>45574</v>
      </c>
      <c r="F173" s="5" t="s">
        <v>75</v>
      </c>
      <c r="G173" s="12" t="n">
        <v>60848.1315896799</v>
      </c>
      <c r="H173" s="13" t="n">
        <v>74.85</v>
      </c>
      <c r="I173" s="13" t="n">
        <v>77.55</v>
      </c>
      <c r="J173" s="5" t="s">
        <v>74</v>
      </c>
      <c r="K173" s="8" t="n">
        <v>5.38822285863321</v>
      </c>
      <c r="L173" s="8" t="n">
        <v>-131.522858534002</v>
      </c>
      <c r="M173" s="8" t="n">
        <f aca="false">M172+L173</f>
        <v>123844.30523192</v>
      </c>
      <c r="N173" s="5" t="str">
        <f aca="false">IF(L173&gt;0,"прибыль",IF(L173&lt;0,"убыток","ноль"))</f>
        <v>убыток</v>
      </c>
      <c r="O173" s="6" t="n">
        <f aca="false">IF(L173&lt;0,O172+1,0)</f>
        <v>1</v>
      </c>
      <c r="P173" s="6" t="n">
        <v>12</v>
      </c>
    </row>
    <row r="174" customFormat="false" ht="15" hidden="false" customHeight="false" outlineLevel="0" collapsed="false">
      <c r="A174" s="6" t="n">
        <v>169</v>
      </c>
      <c r="B174" s="5" t="s">
        <v>76</v>
      </c>
      <c r="C174" s="5" t="s">
        <v>25</v>
      </c>
      <c r="D174" s="11" t="n">
        <v>45574</v>
      </c>
      <c r="E174" s="11" t="n">
        <v>45588</v>
      </c>
      <c r="F174" s="5" t="s">
        <v>75</v>
      </c>
      <c r="G174" s="12" t="n">
        <v>227951.989393245</v>
      </c>
      <c r="H174" s="13" t="n">
        <v>77.55</v>
      </c>
      <c r="I174" s="13" t="n">
        <v>75.78</v>
      </c>
      <c r="K174" s="8" t="n">
        <v>21.4698266786412</v>
      </c>
      <c r="L174" s="8" t="n">
        <v>4694.65526910447</v>
      </c>
      <c r="M174" s="8" t="n">
        <f aca="false">M173+L174</f>
        <v>128538.960501025</v>
      </c>
      <c r="N174" s="5" t="str">
        <f aca="false">IF(L174&gt;0,"прибыль",IF(L174&lt;0,"убыток","ноль"))</f>
        <v>прибыль</v>
      </c>
      <c r="O174" s="6" t="n">
        <f aca="false">IF(L174&lt;0,O173+1,0)</f>
        <v>0</v>
      </c>
      <c r="P174" s="6" t="n">
        <v>10</v>
      </c>
    </row>
    <row r="175" customFormat="false" ht="15" hidden="false" customHeight="false" outlineLevel="0" collapsed="false">
      <c r="A175" s="6" t="n">
        <v>170</v>
      </c>
      <c r="B175" s="5" t="s">
        <v>76</v>
      </c>
      <c r="C175" s="5" t="s">
        <v>30</v>
      </c>
      <c r="D175" s="11" t="n">
        <v>45565</v>
      </c>
      <c r="E175" s="11" t="n">
        <v>45588</v>
      </c>
      <c r="F175" s="5" t="s">
        <v>73</v>
      </c>
      <c r="G175" s="12" t="n">
        <v>142118.313268062</v>
      </c>
      <c r="H175" s="13" t="n">
        <v>2.893</v>
      </c>
      <c r="I175" s="13" t="n">
        <v>2.31</v>
      </c>
      <c r="K175" s="8" t="n">
        <v>15.2564451254007</v>
      </c>
      <c r="L175" s="8" t="n">
        <v>-15852.3301235928</v>
      </c>
      <c r="M175" s="8" t="n">
        <f aca="false">M174+L175</f>
        <v>112686.630377432</v>
      </c>
      <c r="N175" s="5" t="str">
        <f aca="false">IF(L175&gt;0,"прибыль",IF(L175&lt;0,"убыток","ноль"))</f>
        <v>убыток</v>
      </c>
      <c r="O175" s="6" t="n">
        <f aca="false">IF(L175&lt;0,O174+1,0)</f>
        <v>1</v>
      </c>
      <c r="P175" s="6" t="n">
        <v>17</v>
      </c>
    </row>
    <row r="176" customFormat="false" ht="15" hidden="false" customHeight="false" outlineLevel="0" collapsed="false">
      <c r="A176" s="6" t="n">
        <v>171</v>
      </c>
      <c r="B176" s="5" t="s">
        <v>76</v>
      </c>
      <c r="C176" s="5" t="s">
        <v>25</v>
      </c>
      <c r="D176" s="11" t="n">
        <v>45588</v>
      </c>
      <c r="E176" s="11" t="n">
        <v>45590</v>
      </c>
      <c r="F176" s="5" t="s">
        <v>73</v>
      </c>
      <c r="G176" s="12" t="n">
        <v>206160.669275362</v>
      </c>
      <c r="H176" s="13" t="n">
        <v>75.78</v>
      </c>
      <c r="I176" s="13" t="n">
        <v>74.77</v>
      </c>
      <c r="K176" s="8" t="n">
        <v>21.1695616752302</v>
      </c>
      <c r="L176" s="8" t="n">
        <v>-3335.54583898793</v>
      </c>
      <c r="M176" s="8" t="n">
        <f aca="false">M175+L176</f>
        <v>109351.084538444</v>
      </c>
      <c r="N176" s="5" t="str">
        <f aca="false">IF(L176&gt;0,"прибыль",IF(L176&lt;0,"убыток","ноль"))</f>
        <v>убыток</v>
      </c>
      <c r="O176" s="6" t="n">
        <f aca="false">IF(L176&lt;0,O175+1,0)</f>
        <v>2</v>
      </c>
      <c r="P176" s="6" t="n">
        <v>2</v>
      </c>
    </row>
    <row r="177" customFormat="false" ht="15" hidden="false" customHeight="false" outlineLevel="0" collapsed="false">
      <c r="A177" s="6" t="n">
        <v>172</v>
      </c>
      <c r="B177" s="5" t="s">
        <v>76</v>
      </c>
      <c r="C177" s="5" t="s">
        <v>30</v>
      </c>
      <c r="D177" s="11" t="n">
        <v>45588</v>
      </c>
      <c r="E177" s="11" t="n">
        <v>45590</v>
      </c>
      <c r="F177" s="5" t="s">
        <v>75</v>
      </c>
      <c r="G177" s="12" t="n">
        <v>153615.450947629</v>
      </c>
      <c r="H177" s="13" t="n">
        <v>2.31</v>
      </c>
      <c r="I177" s="13" t="n">
        <v>2.531</v>
      </c>
      <c r="K177" s="8" t="n">
        <v>15.2896169769363</v>
      </c>
      <c r="L177" s="8" t="n">
        <v>-15344.9962729708</v>
      </c>
      <c r="M177" s="8" t="n">
        <f aca="false">M176+L177</f>
        <v>94006.0882654733</v>
      </c>
      <c r="N177" s="5" t="str">
        <f aca="false">IF(L177&gt;0,"прибыль",IF(L177&lt;0,"убыток","ноль"))</f>
        <v>убыток</v>
      </c>
      <c r="O177" s="6" t="n">
        <f aca="false">IF(L177&lt;0,O176+1,0)</f>
        <v>3</v>
      </c>
      <c r="P177" s="6" t="n">
        <v>2</v>
      </c>
    </row>
    <row r="178" customFormat="false" ht="15" hidden="false" customHeight="false" outlineLevel="0" collapsed="false">
      <c r="A178" s="6" t="n">
        <v>173</v>
      </c>
      <c r="B178" s="5" t="s">
        <v>76</v>
      </c>
      <c r="C178" s="5" t="s">
        <v>25</v>
      </c>
      <c r="D178" s="11" t="n">
        <v>45590</v>
      </c>
      <c r="E178" s="11" t="n">
        <v>45594</v>
      </c>
      <c r="F178" s="5" t="s">
        <v>75</v>
      </c>
      <c r="G178" s="12" t="n">
        <v>220544.940506554</v>
      </c>
      <c r="H178" s="13" t="n">
        <v>74.77</v>
      </c>
      <c r="I178" s="13" t="n">
        <v>71.46</v>
      </c>
      <c r="K178" s="8" t="n">
        <v>20.1270867947536</v>
      </c>
      <c r="L178" s="8" t="n">
        <v>9137.83594040695</v>
      </c>
      <c r="M178" s="8" t="n">
        <f aca="false">M177+L178</f>
        <v>103143.92420588</v>
      </c>
      <c r="N178" s="5" t="str">
        <f aca="false">IF(L178&gt;0,"прибыль",IF(L178&lt;0,"убыток","ноль"))</f>
        <v>прибыль</v>
      </c>
      <c r="O178" s="6" t="n">
        <f aca="false">IF(L178&lt;0,O177+1,0)</f>
        <v>0</v>
      </c>
      <c r="P178" s="6" t="n">
        <v>2</v>
      </c>
    </row>
    <row r="179" customFormat="false" ht="15" hidden="false" customHeight="false" outlineLevel="0" collapsed="false">
      <c r="A179" s="6" t="n">
        <v>174</v>
      </c>
      <c r="B179" s="5" t="s">
        <v>76</v>
      </c>
      <c r="C179" s="5" t="s">
        <v>30</v>
      </c>
      <c r="D179" s="11" t="n">
        <v>45590</v>
      </c>
      <c r="E179" s="11" t="n">
        <v>45594</v>
      </c>
      <c r="F179" s="5" t="s">
        <v>73</v>
      </c>
      <c r="G179" s="12" t="n">
        <v>136847.181935104</v>
      </c>
      <c r="H179" s="13" t="n">
        <v>2.531</v>
      </c>
      <c r="I179" s="13" t="n">
        <v>2.308</v>
      </c>
      <c r="K179" s="8" t="n">
        <v>12.7059897914416</v>
      </c>
      <c r="L179" s="8" t="n">
        <v>-12572.5656497851</v>
      </c>
      <c r="M179" s="8" t="n">
        <f aca="false">M178+L179</f>
        <v>90571.3585560952</v>
      </c>
      <c r="N179" s="5" t="str">
        <f aca="false">IF(L179&gt;0,"прибыль",IF(L179&lt;0,"убыток","ноль"))</f>
        <v>убыток</v>
      </c>
      <c r="O179" s="6" t="n">
        <f aca="false">IF(L179&lt;0,O178+1,0)</f>
        <v>1</v>
      </c>
      <c r="P179" s="6" t="n">
        <v>2</v>
      </c>
    </row>
    <row r="180" customFormat="false" ht="15" hidden="false" customHeight="false" outlineLevel="0" collapsed="false">
      <c r="A180" s="6" t="n">
        <v>175</v>
      </c>
      <c r="B180" s="5" t="s">
        <v>76</v>
      </c>
      <c r="C180" s="5" t="s">
        <v>30</v>
      </c>
      <c r="D180" s="11" t="n">
        <v>45594</v>
      </c>
      <c r="E180" s="11" t="n">
        <v>45615</v>
      </c>
      <c r="F180" s="5" t="s">
        <v>75</v>
      </c>
      <c r="G180" s="12" t="n">
        <v>27532.5874157539</v>
      </c>
      <c r="H180" s="13" t="n">
        <v>2.308</v>
      </c>
      <c r="I180" s="13" t="n">
        <v>2.968</v>
      </c>
      <c r="J180" s="5" t="s">
        <v>74</v>
      </c>
      <c r="K180" s="8" t="n">
        <v>1.42132357026471</v>
      </c>
      <c r="L180" s="8" t="n">
        <v>-895.305313110604</v>
      </c>
      <c r="M180" s="8" t="n">
        <f aca="false">M179+L180</f>
        <v>89676.0532429846</v>
      </c>
      <c r="N180" s="5" t="str">
        <f aca="false">IF(L180&gt;0,"прибыль",IF(L180&lt;0,"убыток","ноль"))</f>
        <v>убыток</v>
      </c>
      <c r="O180" s="6" t="n">
        <f aca="false">IF(L180&lt;0,O179+1,0)</f>
        <v>2</v>
      </c>
      <c r="P180" s="6" t="n">
        <v>15</v>
      </c>
    </row>
    <row r="181" customFormat="false" ht="15" hidden="false" customHeight="false" outlineLevel="0" collapsed="false">
      <c r="A181" s="6" t="n">
        <v>176</v>
      </c>
      <c r="B181" s="5" t="s">
        <v>76</v>
      </c>
      <c r="C181" s="5" t="s">
        <v>25</v>
      </c>
      <c r="D181" s="11" t="n">
        <v>45594</v>
      </c>
      <c r="E181" s="11" t="n">
        <v>45639</v>
      </c>
      <c r="F181" s="5" t="s">
        <v>73</v>
      </c>
      <c r="G181" s="12" t="n">
        <v>307950.740077979</v>
      </c>
      <c r="H181" s="13" t="n">
        <v>71.46</v>
      </c>
      <c r="I181" s="13" t="n">
        <v>73.69</v>
      </c>
      <c r="J181" s="5" t="s">
        <v>74</v>
      </c>
      <c r="K181" s="8" t="n">
        <v>38.0292565113031</v>
      </c>
      <c r="L181" s="8" t="n">
        <v>9269.94151836724</v>
      </c>
      <c r="M181" s="8" t="n">
        <f aca="false">M180+L181</f>
        <v>98945.9947613518</v>
      </c>
      <c r="N181" s="5" t="str">
        <f aca="false">IF(L181&gt;0,"прибыль",IF(L181&lt;0,"убыток","ноль"))</f>
        <v>прибыль</v>
      </c>
      <c r="O181" s="6" t="n">
        <f aca="false">IF(L181&lt;0,O180+1,0)</f>
        <v>0</v>
      </c>
      <c r="P181" s="6" t="n">
        <v>33</v>
      </c>
    </row>
    <row r="182" customFormat="false" ht="15" hidden="false" customHeight="false" outlineLevel="0" collapsed="false">
      <c r="A182" s="6" t="n">
        <v>177</v>
      </c>
      <c r="B182" s="5" t="s">
        <v>76</v>
      </c>
      <c r="C182" s="5" t="s">
        <v>30</v>
      </c>
      <c r="D182" s="11" t="n">
        <v>45615</v>
      </c>
      <c r="E182" s="11" t="n">
        <v>45639</v>
      </c>
      <c r="F182" s="5" t="s">
        <v>75</v>
      </c>
      <c r="G182" s="12" t="n">
        <v>102299.886137968</v>
      </c>
      <c r="H182" s="13" t="n">
        <v>2.968</v>
      </c>
      <c r="I182" s="13" t="n">
        <v>3.436</v>
      </c>
      <c r="J182" s="5" t="s">
        <v>74</v>
      </c>
      <c r="K182" s="8" t="n">
        <v>11.6989306763279</v>
      </c>
      <c r="L182" s="8" t="n">
        <v>-20153.4552175612</v>
      </c>
      <c r="M182" s="8" t="n">
        <f aca="false">M181+L182</f>
        <v>78792.5395437906</v>
      </c>
      <c r="N182" s="5" t="str">
        <f aca="false">IF(L182&gt;0,"прибыль",IF(L182&lt;0,"убыток","ноль"))</f>
        <v>убыток</v>
      </c>
      <c r="O182" s="6" t="n">
        <f aca="false">IF(L182&lt;0,O181+1,0)</f>
        <v>1</v>
      </c>
      <c r="P182" s="6" t="n">
        <v>18</v>
      </c>
    </row>
    <row r="183" customFormat="false" ht="15" hidden="false" customHeight="false" outlineLevel="0" collapsed="false">
      <c r="A183" s="6" t="n">
        <v>178</v>
      </c>
      <c r="B183" s="5" t="s">
        <v>76</v>
      </c>
      <c r="C183" s="5" t="s">
        <v>25</v>
      </c>
      <c r="D183" s="11" t="n">
        <v>45639</v>
      </c>
      <c r="E183" s="11" t="n">
        <v>45642</v>
      </c>
      <c r="F183" s="5" t="s">
        <v>75</v>
      </c>
      <c r="G183" s="12" t="n">
        <v>326530.437710945</v>
      </c>
      <c r="H183" s="13" t="n">
        <v>73.69</v>
      </c>
      <c r="I183" s="13" t="n">
        <v>74.3</v>
      </c>
      <c r="K183" s="8" t="n">
        <v>33.4708919743417</v>
      </c>
      <c r="L183" s="8" t="n">
        <v>-3395.22695471094</v>
      </c>
      <c r="M183" s="8" t="n">
        <f aca="false">M182+L183</f>
        <v>75397.3125890796</v>
      </c>
      <c r="N183" s="5" t="str">
        <f aca="false">IF(L183&gt;0,"прибыль",IF(L183&lt;0,"убыток","ноль"))</f>
        <v>убыток</v>
      </c>
      <c r="O183" s="6" t="n">
        <f aca="false">IF(L183&lt;0,O182+1,0)</f>
        <v>2</v>
      </c>
      <c r="P183" s="6" t="n">
        <v>1</v>
      </c>
    </row>
    <row r="184" customFormat="false" ht="15" hidden="false" customHeight="false" outlineLevel="0" collapsed="false">
      <c r="A184" s="6" t="n">
        <v>179</v>
      </c>
      <c r="B184" s="5" t="s">
        <v>76</v>
      </c>
      <c r="C184" s="5" t="s">
        <v>30</v>
      </c>
      <c r="D184" s="11" t="n">
        <v>45639</v>
      </c>
      <c r="E184" s="11" t="n">
        <v>45642</v>
      </c>
      <c r="F184" s="5" t="s">
        <v>73</v>
      </c>
      <c r="G184" s="12" t="n">
        <v>111536.971101704</v>
      </c>
      <c r="H184" s="13" t="n">
        <v>3.436</v>
      </c>
      <c r="I184" s="13" t="n">
        <v>3.199</v>
      </c>
      <c r="K184" s="8" t="n">
        <v>10.3254483597</v>
      </c>
      <c r="L184" s="8" t="n">
        <v>-8201.80584847183</v>
      </c>
      <c r="M184" s="8" t="n">
        <f aca="false">M183+L184</f>
        <v>67195.5067406078</v>
      </c>
      <c r="N184" s="5" t="str">
        <f aca="false">IF(L184&gt;0,"прибыль",IF(L184&lt;0,"убыток","ноль"))</f>
        <v>убыток</v>
      </c>
      <c r="O184" s="6" t="n">
        <f aca="false">IF(L184&lt;0,O183+1,0)</f>
        <v>3</v>
      </c>
      <c r="P184" s="6" t="n">
        <v>1</v>
      </c>
    </row>
    <row r="185" customFormat="false" ht="15" hidden="false" customHeight="false" outlineLevel="0" collapsed="false">
      <c r="A185" s="6" t="n">
        <v>180</v>
      </c>
      <c r="B185" s="5" t="s">
        <v>76</v>
      </c>
      <c r="C185" s="5" t="s">
        <v>25</v>
      </c>
      <c r="D185" s="11" t="n">
        <v>45642</v>
      </c>
      <c r="E185" s="11" t="n">
        <v>45643</v>
      </c>
      <c r="F185" s="5" t="s">
        <v>73</v>
      </c>
      <c r="G185" s="12" t="n">
        <v>339525.645713153</v>
      </c>
      <c r="H185" s="13" t="n">
        <v>74.3</v>
      </c>
      <c r="I185" s="13" t="n">
        <v>74.13</v>
      </c>
      <c r="K185" s="8" t="n">
        <v>35.9230862426004</v>
      </c>
      <c r="L185" s="8" t="n">
        <v>-1455.70898167838</v>
      </c>
      <c r="M185" s="8" t="n">
        <f aca="false">M184+L185</f>
        <v>65739.7977589294</v>
      </c>
      <c r="N185" s="5" t="str">
        <f aca="false">IF(L185&gt;0,"прибыль",IF(L185&lt;0,"убыток","ноль"))</f>
        <v>убыток</v>
      </c>
      <c r="O185" s="6" t="n">
        <f aca="false">IF(L185&lt;0,O184+1,0)</f>
        <v>4</v>
      </c>
      <c r="P185" s="6" t="n">
        <v>1</v>
      </c>
    </row>
    <row r="186" customFormat="false" ht="15" hidden="false" customHeight="false" outlineLevel="0" collapsed="false">
      <c r="A186" s="6" t="n">
        <v>181</v>
      </c>
      <c r="B186" s="5" t="s">
        <v>76</v>
      </c>
      <c r="C186" s="5" t="s">
        <v>30</v>
      </c>
      <c r="D186" s="11" t="n">
        <v>45642</v>
      </c>
      <c r="E186" s="11" t="n">
        <v>45643</v>
      </c>
      <c r="F186" s="5" t="s">
        <v>75</v>
      </c>
      <c r="G186" s="12" t="n">
        <v>103163.476492409</v>
      </c>
      <c r="H186" s="13" t="n">
        <v>3.199</v>
      </c>
      <c r="I186" s="13" t="n">
        <v>3.24</v>
      </c>
      <c r="K186" s="8" t="n">
        <v>10.6862038776239</v>
      </c>
      <c r="L186" s="8" t="n">
        <v>-1844.59058565573</v>
      </c>
      <c r="M186" s="8" t="n">
        <f aca="false">M185+L186</f>
        <v>63895.2071732737</v>
      </c>
      <c r="N186" s="5" t="str">
        <f aca="false">IF(L186&gt;0,"прибыль",IF(L186&lt;0,"убыток","ноль"))</f>
        <v>убыток</v>
      </c>
      <c r="O186" s="6" t="n">
        <f aca="false">IF(L186&lt;0,O185+1,0)</f>
        <v>5</v>
      </c>
      <c r="P186" s="6" t="n">
        <v>1</v>
      </c>
    </row>
    <row r="187" customFormat="false" ht="15" hidden="false" customHeight="false" outlineLevel="0" collapsed="false">
      <c r="A187" s="6" t="n">
        <v>182</v>
      </c>
      <c r="B187" s="5" t="s">
        <v>76</v>
      </c>
      <c r="C187" s="5" t="s">
        <v>30</v>
      </c>
      <c r="D187" s="11" t="n">
        <v>45643</v>
      </c>
      <c r="E187" s="11" t="n">
        <v>45660</v>
      </c>
      <c r="F187" s="5" t="s">
        <v>73</v>
      </c>
      <c r="G187" s="12" t="n">
        <v>32074.6511452815</v>
      </c>
      <c r="H187" s="13" t="n">
        <v>3.24</v>
      </c>
      <c r="I187" s="13" t="n">
        <v>3.666</v>
      </c>
      <c r="J187" s="5" t="s">
        <v>74</v>
      </c>
      <c r="K187" s="8" t="n">
        <v>1.97572444709339</v>
      </c>
      <c r="L187" s="8" t="n">
        <v>7437.86207213911</v>
      </c>
      <c r="M187" s="8" t="n">
        <f aca="false">M186+L187</f>
        <v>71333.0692454128</v>
      </c>
      <c r="N187" s="5" t="str">
        <f aca="false">IF(L187&gt;0,"прибыль",IF(L187&lt;0,"убыток","ноль"))</f>
        <v>прибыль</v>
      </c>
      <c r="O187" s="6" t="n">
        <f aca="false">IF(L187&lt;0,O186+1,0)</f>
        <v>0</v>
      </c>
      <c r="P187" s="6" t="n">
        <v>11</v>
      </c>
    </row>
    <row r="188" customFormat="false" ht="15" hidden="false" customHeight="false" outlineLevel="0" collapsed="false">
      <c r="A188" s="6" t="n">
        <v>183</v>
      </c>
      <c r="B188" s="5" t="s">
        <v>76</v>
      </c>
      <c r="C188" s="5" t="s">
        <v>30</v>
      </c>
      <c r="D188" s="11" t="n">
        <v>45660</v>
      </c>
      <c r="E188" s="11" t="n">
        <v>45665</v>
      </c>
      <c r="F188" s="5" t="s">
        <v>73</v>
      </c>
      <c r="G188" s="12" t="n">
        <v>15912.3576759615</v>
      </c>
      <c r="H188" s="13" t="n">
        <v>3.666</v>
      </c>
      <c r="I188" s="13" t="n">
        <v>3.61</v>
      </c>
      <c r="K188" s="8" t="n">
        <v>0.964464500461596</v>
      </c>
      <c r="L188" s="8" t="n">
        <v>3375.96786876994</v>
      </c>
      <c r="M188" s="8" t="n">
        <f aca="false">M187+L188</f>
        <v>74709.0371141827</v>
      </c>
      <c r="N188" s="5" t="str">
        <f aca="false">IF(L188&gt;0,"прибыль",IF(L188&lt;0,"убыток","ноль"))</f>
        <v>прибыль</v>
      </c>
      <c r="O188" s="6" t="n">
        <f aca="false">IF(L188&lt;0,O187+1,0)</f>
        <v>0</v>
      </c>
      <c r="P188" s="6" t="n">
        <v>2</v>
      </c>
    </row>
    <row r="189" customFormat="false" ht="15" hidden="false" customHeight="false" outlineLevel="0" collapsed="false">
      <c r="A189" s="6" t="n">
        <v>184</v>
      </c>
      <c r="B189" s="5" t="s">
        <v>76</v>
      </c>
      <c r="C189" s="5" t="s">
        <v>25</v>
      </c>
      <c r="D189" s="11" t="n">
        <v>45643</v>
      </c>
      <c r="E189" s="11" t="n">
        <v>45670</v>
      </c>
      <c r="F189" s="5" t="s">
        <v>75</v>
      </c>
      <c r="G189" s="12" t="n">
        <v>139867.840728423</v>
      </c>
      <c r="H189" s="13" t="n">
        <v>74.13</v>
      </c>
      <c r="I189" s="13" t="n">
        <v>81.28</v>
      </c>
      <c r="J189" s="5" t="s">
        <v>74</v>
      </c>
      <c r="K189" s="8" t="n">
        <v>17.7913621355493</v>
      </c>
      <c r="L189" s="8" t="n">
        <v>-10100.19520327</v>
      </c>
      <c r="M189" s="8" t="n">
        <f aca="false">M188+L189</f>
        <v>64608.8419109128</v>
      </c>
      <c r="N189" s="5" t="str">
        <f aca="false">IF(L189&gt;0,"прибыль",IF(L189&lt;0,"убыток","ноль"))</f>
        <v>убыток</v>
      </c>
      <c r="O189" s="6" t="n">
        <f aca="false">IF(L189&lt;0,O188+1,0)</f>
        <v>1</v>
      </c>
      <c r="P189" s="6" t="n">
        <v>16</v>
      </c>
    </row>
    <row r="190" customFormat="false" ht="15" hidden="false" customHeight="false" outlineLevel="0" collapsed="false">
      <c r="A190" s="6" t="n">
        <v>185</v>
      </c>
      <c r="B190" s="5" t="s">
        <v>76</v>
      </c>
      <c r="C190" s="5" t="s">
        <v>25</v>
      </c>
      <c r="D190" s="11" t="n">
        <v>45670</v>
      </c>
      <c r="E190" s="11" t="n">
        <v>45685</v>
      </c>
      <c r="F190" s="5" t="s">
        <v>75</v>
      </c>
      <c r="G190" s="12" t="n">
        <v>99606.9963871807</v>
      </c>
      <c r="H190" s="13" t="n">
        <v>81.28</v>
      </c>
      <c r="I190" s="13" t="n">
        <v>77.41</v>
      </c>
      <c r="K190" s="8" t="n">
        <v>5.08597301600255</v>
      </c>
      <c r="L190" s="8" t="n">
        <v>-2117.54990588621</v>
      </c>
      <c r="M190" s="8" t="n">
        <f aca="false">M189+L190</f>
        <v>62491.2920050266</v>
      </c>
      <c r="N190" s="5" t="str">
        <f aca="false">IF(L190&gt;0,"прибыль",IF(L190&lt;0,"убыток","ноль"))</f>
        <v>убыток</v>
      </c>
      <c r="O190" s="6" t="n">
        <f aca="false">IF(L190&lt;0,O189+1,0)</f>
        <v>2</v>
      </c>
      <c r="P190" s="6" t="n">
        <v>11</v>
      </c>
    </row>
    <row r="191" customFormat="false" ht="15" hidden="false" customHeight="false" outlineLevel="0" collapsed="false">
      <c r="A191" s="6" t="n">
        <v>186</v>
      </c>
      <c r="B191" s="5" t="s">
        <v>76</v>
      </c>
      <c r="C191" s="5" t="s">
        <v>30</v>
      </c>
      <c r="D191" s="11" t="n">
        <v>45665</v>
      </c>
      <c r="E191" s="11" t="n">
        <v>45708</v>
      </c>
      <c r="F191" s="5" t="s">
        <v>73</v>
      </c>
      <c r="G191" s="12" t="n">
        <v>15422.9381446067</v>
      </c>
      <c r="H191" s="13" t="n">
        <v>3.61</v>
      </c>
      <c r="I191" s="13" t="n">
        <v>4.364</v>
      </c>
      <c r="J191" s="5" t="s">
        <v>74</v>
      </c>
      <c r="K191" s="8" t="n">
        <v>1.96635885935084</v>
      </c>
      <c r="L191" s="8" t="n">
        <v>8108.12878758219</v>
      </c>
      <c r="M191" s="8" t="n">
        <f aca="false">M190+L191</f>
        <v>70599.4207926088</v>
      </c>
      <c r="N191" s="5" t="str">
        <f aca="false">IF(L191&gt;0,"прибыль",IF(L191&lt;0,"убыток","ноль"))</f>
        <v>прибыль</v>
      </c>
      <c r="O191" s="6" t="n">
        <f aca="false">IF(L191&lt;0,O190+1,0)</f>
        <v>0</v>
      </c>
      <c r="P191" s="6" t="n">
        <v>31</v>
      </c>
    </row>
    <row r="192" customFormat="false" ht="15" hidden="false" customHeight="false" outlineLevel="0" collapsed="false">
      <c r="A192" s="6" t="n">
        <v>187</v>
      </c>
      <c r="B192" s="5" t="s">
        <v>76</v>
      </c>
      <c r="C192" s="5" t="s">
        <v>25</v>
      </c>
      <c r="D192" s="11" t="n">
        <v>45685</v>
      </c>
      <c r="E192" s="11" t="n">
        <v>45751</v>
      </c>
      <c r="F192" s="5" t="s">
        <v>75</v>
      </c>
      <c r="G192" s="12" t="n">
        <v>143407.001021359</v>
      </c>
      <c r="H192" s="13" t="n">
        <v>77.41</v>
      </c>
      <c r="I192" s="13" t="n">
        <v>69.61</v>
      </c>
      <c r="J192" s="5" t="s">
        <v>74</v>
      </c>
      <c r="K192" s="8" t="n">
        <v>10.7673424311175</v>
      </c>
      <c r="L192" s="8" t="n">
        <v>4643.71694874119</v>
      </c>
      <c r="M192" s="8" t="n">
        <f aca="false">M191+L192</f>
        <v>75243.1377413499</v>
      </c>
      <c r="N192" s="5" t="str">
        <f aca="false">IF(L192&gt;0,"прибыль",IF(L192&lt;0,"убыток","ноль"))</f>
        <v>прибыль</v>
      </c>
      <c r="O192" s="6" t="n">
        <f aca="false">IF(L192&lt;0,O191+1,0)</f>
        <v>0</v>
      </c>
      <c r="P192" s="6" t="n">
        <v>48</v>
      </c>
    </row>
    <row r="193" customFormat="false" ht="15" hidden="false" customHeight="false" outlineLevel="0" collapsed="false">
      <c r="A193" s="6" t="n">
        <v>188</v>
      </c>
      <c r="B193" s="5" t="s">
        <v>76</v>
      </c>
      <c r="C193" s="5" t="s">
        <v>25</v>
      </c>
      <c r="D193" s="11" t="n">
        <v>45751</v>
      </c>
      <c r="E193" s="11" t="n">
        <v>45757</v>
      </c>
      <c r="F193" s="5" t="s">
        <v>75</v>
      </c>
      <c r="G193" s="12" t="n">
        <v>98040.214947774</v>
      </c>
      <c r="H193" s="13" t="n">
        <v>69.61</v>
      </c>
      <c r="I193" s="13" t="n">
        <v>65.08</v>
      </c>
      <c r="K193" s="8" t="n">
        <v>4.4366619922003</v>
      </c>
      <c r="L193" s="8" t="n">
        <v>9302.5384417759</v>
      </c>
      <c r="M193" s="8" t="n">
        <f aca="false">M192+L193</f>
        <v>84545.6761831258</v>
      </c>
      <c r="N193" s="5" t="str">
        <f aca="false">IF(L193&gt;0,"прибыль",IF(L193&lt;0,"убыток","ноль"))</f>
        <v>прибыль</v>
      </c>
      <c r="O193" s="6" t="n">
        <f aca="false">IF(L193&lt;0,O192+1,0)</f>
        <v>0</v>
      </c>
      <c r="P193" s="6" t="n">
        <v>4</v>
      </c>
    </row>
    <row r="194" customFormat="false" ht="15" hidden="false" customHeight="false" outlineLevel="0" collapsed="false">
      <c r="A194" s="6" t="n">
        <v>189</v>
      </c>
      <c r="B194" s="5" t="s">
        <v>76</v>
      </c>
      <c r="C194" s="5" t="s">
        <v>30</v>
      </c>
      <c r="D194" s="11" t="n">
        <v>45708</v>
      </c>
      <c r="E194" s="11" t="n">
        <v>45798</v>
      </c>
      <c r="F194" s="5" t="s">
        <v>73</v>
      </c>
      <c r="G194" s="12" t="n">
        <v>34105.122705697</v>
      </c>
      <c r="H194" s="13" t="n">
        <v>4.364</v>
      </c>
      <c r="I194" s="13" t="n">
        <v>3.363</v>
      </c>
      <c r="J194" s="5" t="s">
        <v>74</v>
      </c>
      <c r="K194" s="8" t="n">
        <v>6.38930589953858</v>
      </c>
      <c r="L194" s="8" t="n">
        <v>-2551.98959769334</v>
      </c>
      <c r="M194" s="8" t="n">
        <f aca="false">M193+L194</f>
        <v>81993.6865854325</v>
      </c>
      <c r="N194" s="5" t="str">
        <f aca="false">IF(L194&gt;0,"прибыль",IF(L194&lt;0,"убыток","ноль"))</f>
        <v>убыток</v>
      </c>
      <c r="O194" s="6" t="n">
        <f aca="false">IF(L194&lt;0,O193+1,0)</f>
        <v>1</v>
      </c>
      <c r="P194" s="6" t="n">
        <v>62</v>
      </c>
    </row>
    <row r="195" customFormat="false" ht="15" hidden="false" customHeight="false" outlineLevel="0" collapsed="false">
      <c r="A195" s="6" t="n">
        <v>190</v>
      </c>
      <c r="B195" s="5" t="s">
        <v>76</v>
      </c>
      <c r="C195" s="5" t="s">
        <v>25</v>
      </c>
      <c r="D195" s="11" t="n">
        <v>45757</v>
      </c>
      <c r="E195" s="11" t="n">
        <v>45821</v>
      </c>
      <c r="F195" s="5" t="s">
        <v>75</v>
      </c>
      <c r="G195" s="12" t="n">
        <v>129575.884884002</v>
      </c>
      <c r="H195" s="13" t="n">
        <v>65.08</v>
      </c>
      <c r="I195" s="13" t="n">
        <v>73.76</v>
      </c>
      <c r="J195" s="5" t="s">
        <v>74</v>
      </c>
      <c r="K195" s="8" t="n">
        <v>18.9810950719795</v>
      </c>
      <c r="L195" s="8" t="n">
        <v>-13503.0339235856</v>
      </c>
      <c r="M195" s="8" t="n">
        <f aca="false">M194+L195</f>
        <v>68490.6526618469</v>
      </c>
      <c r="N195" s="5" t="str">
        <f aca="false">IF(L195&gt;0,"прибыль",IF(L195&lt;0,"убыток","ноль"))</f>
        <v>убыток</v>
      </c>
      <c r="O195" s="6" t="n">
        <f aca="false">IF(L195&lt;0,O194+1,0)</f>
        <v>2</v>
      </c>
      <c r="P195" s="6" t="n">
        <v>43</v>
      </c>
    </row>
    <row r="196" customFormat="false" ht="15" hidden="false" customHeight="false" outlineLevel="0" collapsed="false">
      <c r="A196" s="6" t="n">
        <v>191</v>
      </c>
      <c r="B196" s="5" t="s">
        <v>76</v>
      </c>
      <c r="C196" s="5" t="s">
        <v>25</v>
      </c>
      <c r="D196" s="11" t="n">
        <v>45821</v>
      </c>
      <c r="E196" s="11" t="n">
        <v>45824</v>
      </c>
      <c r="F196" s="5" t="s">
        <v>75</v>
      </c>
      <c r="G196" s="12" t="n">
        <v>288891.220826218</v>
      </c>
      <c r="H196" s="13" t="n">
        <v>73.76</v>
      </c>
      <c r="I196" s="13" t="n">
        <v>74.63</v>
      </c>
      <c r="K196" s="8" t="n">
        <v>27.1764475254502</v>
      </c>
      <c r="L196" s="8" t="n">
        <v>-33943.1513887943</v>
      </c>
      <c r="M196" s="8" t="n">
        <f aca="false">M195+L196</f>
        <v>34547.5012730526</v>
      </c>
      <c r="N196" s="5" t="str">
        <f aca="false">IF(L196&gt;0,"прибыль",IF(L196&lt;0,"убыток","ноль"))</f>
        <v>убыток</v>
      </c>
      <c r="O196" s="6" t="n">
        <f aca="false">IF(L196&lt;0,O195+1,0)</f>
        <v>3</v>
      </c>
      <c r="P196" s="6" t="n">
        <v>1</v>
      </c>
    </row>
    <row r="197" customFormat="false" ht="15" hidden="false" customHeight="false" outlineLevel="0" collapsed="false">
      <c r="A197" s="6" t="n">
        <v>192</v>
      </c>
      <c r="B197" s="5" t="s">
        <v>76</v>
      </c>
      <c r="C197" s="5" t="s">
        <v>30</v>
      </c>
      <c r="D197" s="11" t="n">
        <v>45798</v>
      </c>
      <c r="E197" s="11" t="n">
        <v>45824</v>
      </c>
      <c r="F197" s="5" t="s">
        <v>73</v>
      </c>
      <c r="G197" s="12" t="n">
        <v>123232.366479582</v>
      </c>
      <c r="H197" s="13" t="n">
        <v>3.363</v>
      </c>
      <c r="I197" s="13" t="n">
        <v>3.66</v>
      </c>
      <c r="J197" s="5" t="s">
        <v>74</v>
      </c>
      <c r="K197" s="8" t="n">
        <v>12.2289807730812</v>
      </c>
      <c r="L197" s="8" t="n">
        <v>-4571.85084999178</v>
      </c>
      <c r="M197" s="8" t="n">
        <f aca="false">M196+L197</f>
        <v>29975.6504230608</v>
      </c>
      <c r="N197" s="5" t="str">
        <f aca="false">IF(L197&gt;0,"прибыль",IF(L197&lt;0,"убыток","ноль"))</f>
        <v>убыток</v>
      </c>
      <c r="O197" s="6" t="n">
        <f aca="false">IF(L197&lt;0,O196+1,0)</f>
        <v>4</v>
      </c>
      <c r="P197" s="6" t="n">
        <v>17</v>
      </c>
    </row>
    <row r="198" customFormat="false" ht="15" hidden="false" customHeight="false" outlineLevel="0" collapsed="false">
      <c r="A198" s="6" t="n">
        <v>193</v>
      </c>
      <c r="B198" s="5" t="s">
        <v>76</v>
      </c>
      <c r="C198" s="5" t="s">
        <v>25</v>
      </c>
      <c r="D198" s="11" t="n">
        <v>45824</v>
      </c>
      <c r="E198" s="11" t="n">
        <v>45832</v>
      </c>
      <c r="F198" s="5" t="s">
        <v>73</v>
      </c>
      <c r="G198" s="12" t="n">
        <v>68745.652137386</v>
      </c>
      <c r="H198" s="13" t="n">
        <v>74.63</v>
      </c>
      <c r="I198" s="13" t="n">
        <v>68.78</v>
      </c>
      <c r="K198" s="8" t="n">
        <v>3.15743331076309</v>
      </c>
      <c r="L198" s="8" t="n">
        <v>-5600.14335543503</v>
      </c>
      <c r="M198" s="8" t="n">
        <f aca="false">M197+L198</f>
        <v>24375.5070676258</v>
      </c>
      <c r="N198" s="5" t="str">
        <f aca="false">IF(L198&gt;0,"прибыль",IF(L198&lt;0,"убыток","ноль"))</f>
        <v>убыток</v>
      </c>
      <c r="O198" s="6" t="n">
        <f aca="false">IF(L198&lt;0,O197+1,0)</f>
        <v>5</v>
      </c>
      <c r="P198" s="6" t="n">
        <v>6</v>
      </c>
    </row>
    <row r="199" customFormat="false" ht="15" hidden="false" customHeight="false" outlineLevel="0" collapsed="false">
      <c r="A199" s="6" t="n">
        <v>194</v>
      </c>
      <c r="B199" s="5" t="s">
        <v>76</v>
      </c>
      <c r="C199" s="5" t="s">
        <v>25</v>
      </c>
      <c r="D199" s="11" t="n">
        <v>45832</v>
      </c>
      <c r="E199" s="11" t="n">
        <v>45924</v>
      </c>
      <c r="F199" s="5" t="s">
        <v>73</v>
      </c>
      <c r="G199" s="12" t="n">
        <v>100205.514443295</v>
      </c>
      <c r="H199" s="13" t="n">
        <v>68.78</v>
      </c>
      <c r="I199" s="13" t="n">
        <v>67.72</v>
      </c>
      <c r="J199" s="5" t="s">
        <v>74</v>
      </c>
      <c r="K199" s="8" t="n">
        <v>22.1468577062771</v>
      </c>
      <c r="L199" s="8" t="n">
        <v>-799.637038029744</v>
      </c>
      <c r="M199" s="8" t="n">
        <f aca="false">M198+L199</f>
        <v>23575.8700295961</v>
      </c>
      <c r="N199" s="5" t="str">
        <f aca="false">IF(L199&gt;0,"прибыль",IF(L199&lt;0,"убыток","ноль"))</f>
        <v>убыток</v>
      </c>
      <c r="O199" s="6" t="n">
        <f aca="false">IF(L199&lt;0,O198+1,0)</f>
        <v>6</v>
      </c>
      <c r="P199" s="6" t="n">
        <v>76</v>
      </c>
    </row>
    <row r="200" customFormat="false" ht="15" hidden="false" customHeight="false" outlineLevel="0" collapsed="false">
      <c r="A200" s="6" t="n">
        <v>195</v>
      </c>
      <c r="B200" s="5" t="s">
        <v>76</v>
      </c>
      <c r="C200" s="5" t="s">
        <v>30</v>
      </c>
      <c r="D200" s="11" t="n">
        <v>45824</v>
      </c>
      <c r="E200" s="11" t="n">
        <v>45932</v>
      </c>
      <c r="F200" s="5" t="s">
        <v>75</v>
      </c>
      <c r="G200" s="12" t="n">
        <v>70722.8763051084</v>
      </c>
      <c r="H200" s="13" t="n">
        <v>3.66</v>
      </c>
      <c r="I200" s="13" t="n">
        <v>3.445</v>
      </c>
      <c r="J200" s="5" t="s">
        <v>74</v>
      </c>
      <c r="K200" s="8" t="n">
        <v>11.9830021824153</v>
      </c>
      <c r="L200" s="8" t="n">
        <v>9029.08402309822</v>
      </c>
      <c r="M200" s="8" t="n">
        <f aca="false">M199+L200</f>
        <v>32604.9540526943</v>
      </c>
      <c r="N200" s="5" t="str">
        <f aca="false">IF(L200&gt;0,"прибыль",IF(L200&lt;0,"убыток","ноль"))</f>
        <v>прибыль</v>
      </c>
      <c r="O200" s="6" t="n">
        <f aca="false">IF(L200&lt;0,O199+1,0)</f>
        <v>0</v>
      </c>
      <c r="P200" s="6" t="n">
        <v>90</v>
      </c>
    </row>
    <row r="201" customFormat="false" ht="15" hidden="false" customHeight="false" outlineLevel="0" collapsed="false">
      <c r="A201" s="6" t="n">
        <v>196</v>
      </c>
      <c r="B201" s="5" t="s">
        <v>76</v>
      </c>
      <c r="C201" s="5" t="s">
        <v>30</v>
      </c>
      <c r="D201" s="11" t="n">
        <v>45932</v>
      </c>
      <c r="E201" s="11" t="n">
        <v>45951</v>
      </c>
      <c r="F201" s="5" t="s">
        <v>75</v>
      </c>
      <c r="G201" s="12" t="n">
        <v>75480.5598030005</v>
      </c>
      <c r="H201" s="13" t="n">
        <v>3.445</v>
      </c>
      <c r="I201" s="13" t="n">
        <v>3.388</v>
      </c>
      <c r="K201" s="8" t="n">
        <v>3.23897167948934</v>
      </c>
      <c r="L201" s="8" t="n">
        <v>10697.8872415343</v>
      </c>
      <c r="M201" s="8" t="n">
        <f aca="false">M200+L201</f>
        <v>43302.8412942285</v>
      </c>
      <c r="N201" s="5" t="str">
        <f aca="false">IF(L201&gt;0,"прибыль",IF(L201&lt;0,"убыток","ноль"))</f>
        <v>прибыль</v>
      </c>
      <c r="O201" s="6" t="n">
        <f aca="false">IF(L201&lt;0,O200+1,0)</f>
        <v>0</v>
      </c>
      <c r="P201" s="6" t="n">
        <v>19</v>
      </c>
    </row>
    <row r="202" customFormat="false" ht="15" hidden="false" customHeight="false" outlineLevel="0" collapsed="false">
      <c r="A202" s="6" t="n">
        <v>197</v>
      </c>
      <c r="B202" s="5" t="s">
        <v>76</v>
      </c>
      <c r="C202" s="5" t="s">
        <v>25</v>
      </c>
      <c r="D202" s="11" t="n">
        <v>45924</v>
      </c>
      <c r="E202" s="11" t="n">
        <v>45954</v>
      </c>
      <c r="F202" s="5" t="s">
        <v>73</v>
      </c>
      <c r="G202" s="12" t="n">
        <v>119898.388150257</v>
      </c>
      <c r="H202" s="13" t="n">
        <v>67.72</v>
      </c>
      <c r="I202" s="13" t="n">
        <v>65.77</v>
      </c>
      <c r="J202" s="5" t="s">
        <v>74</v>
      </c>
      <c r="K202" s="8" t="n">
        <v>5.88891383777647</v>
      </c>
      <c r="L202" s="8" t="n">
        <v>-2126.00030856494</v>
      </c>
      <c r="M202" s="8" t="n">
        <f aca="false">M201+L202</f>
        <v>41176.8409856636</v>
      </c>
      <c r="N202" s="5" t="str">
        <f aca="false">IF(L202&gt;0,"прибыль",IF(L202&lt;0,"убыток","ноль"))</f>
        <v>убыток</v>
      </c>
      <c r="O202" s="6" t="n">
        <f aca="false">IF(L202&lt;0,O201+1,0)</f>
        <v>1</v>
      </c>
      <c r="P202" s="6" t="n">
        <v>30</v>
      </c>
    </row>
    <row r="203" customFormat="false" ht="15" hidden="false" customHeight="false" outlineLevel="0" collapsed="false">
      <c r="A203" s="6" t="n">
        <v>198</v>
      </c>
      <c r="B203" s="5" t="s">
        <v>76</v>
      </c>
      <c r="C203" s="5" t="s">
        <v>25</v>
      </c>
      <c r="D203" s="11" t="n">
        <v>45954</v>
      </c>
      <c r="E203" s="11" t="n">
        <v>45986</v>
      </c>
      <c r="F203" s="5" t="s">
        <v>73</v>
      </c>
      <c r="G203" s="12" t="n">
        <v>397389.437145034</v>
      </c>
      <c r="H203" s="13" t="n">
        <v>65.77</v>
      </c>
      <c r="I203" s="13" t="n">
        <v>63.15</v>
      </c>
      <c r="J203" s="5" t="s">
        <v>74</v>
      </c>
      <c r="K203" s="8" t="n">
        <v>43.459213360912</v>
      </c>
      <c r="L203" s="8" t="n">
        <v>-15483.7962121148</v>
      </c>
      <c r="M203" s="8" t="n">
        <f aca="false">M202+L203</f>
        <v>25693.0447735488</v>
      </c>
      <c r="N203" s="5" t="str">
        <f aca="false">IF(L203&gt;0,"прибыль",IF(L203&lt;0,"убыток","ноль"))</f>
        <v>убыток</v>
      </c>
      <c r="O203" s="6" t="n">
        <f aca="false">IF(L203&lt;0,O202+1,0)</f>
        <v>2</v>
      </c>
      <c r="P203" s="6" t="n">
        <v>26</v>
      </c>
    </row>
    <row r="204" customFormat="false" ht="15" hidden="false" customHeight="false" outlineLevel="0" collapsed="false">
      <c r="A204" s="6" t="n">
        <v>199</v>
      </c>
      <c r="B204" s="5" t="s">
        <v>76</v>
      </c>
      <c r="C204" s="5" t="s">
        <v>30</v>
      </c>
      <c r="D204" s="11" t="n">
        <v>45951</v>
      </c>
      <c r="E204" s="11" t="n">
        <v>45986</v>
      </c>
      <c r="F204" s="5" t="s">
        <v>75</v>
      </c>
      <c r="G204" s="12" t="n">
        <v>203998.328210205</v>
      </c>
      <c r="H204" s="13" t="n">
        <v>3.388</v>
      </c>
      <c r="I204" s="13" t="n">
        <v>4.549</v>
      </c>
      <c r="J204" s="5" t="s">
        <v>74</v>
      </c>
      <c r="K204" s="8" t="n">
        <v>23.3945142187993</v>
      </c>
      <c r="L204" s="8" t="n">
        <v>-735.78391215561</v>
      </c>
      <c r="M204" s="8" t="n">
        <f aca="false">M203+L204</f>
        <v>24957.2608613932</v>
      </c>
      <c r="N204" s="5" t="str">
        <f aca="false">IF(L204&gt;0,"прибыль",IF(L204&lt;0,"убыток","ноль"))</f>
        <v>убыток</v>
      </c>
      <c r="O204" s="6" t="n">
        <f aca="false">IF(L204&lt;0,O203+1,0)</f>
        <v>3</v>
      </c>
      <c r="P204" s="6" t="n">
        <v>29</v>
      </c>
    </row>
    <row r="205" customFormat="false" ht="15" hidden="false" customHeight="false" outlineLevel="0" collapsed="false">
      <c r="A205" s="6" t="n">
        <v>200</v>
      </c>
      <c r="B205" s="5" t="s">
        <v>76</v>
      </c>
      <c r="C205" s="5" t="s">
        <v>25</v>
      </c>
      <c r="D205" s="11" t="n">
        <v>45986</v>
      </c>
      <c r="E205" s="11" t="n">
        <v>45987</v>
      </c>
      <c r="F205" s="5" t="s">
        <v>75</v>
      </c>
      <c r="G205" s="12" t="n">
        <v>365227.059800076</v>
      </c>
      <c r="H205" s="13" t="n">
        <v>63.15</v>
      </c>
      <c r="I205" s="13" t="n">
        <v>62.7</v>
      </c>
      <c r="K205" s="8" t="n">
        <v>36.0643110067353</v>
      </c>
      <c r="L205" s="8" t="n">
        <v>1881.44673465507</v>
      </c>
      <c r="M205" s="8" t="n">
        <f aca="false">M204+L205</f>
        <v>26838.7075960483</v>
      </c>
      <c r="N205" s="5" t="str">
        <f aca="false">IF(L205&gt;0,"прибыль",IF(L205&lt;0,"убыток","ноль"))</f>
        <v>прибыль</v>
      </c>
      <c r="O205" s="6" t="n">
        <f aca="false">IF(L205&lt;0,O204+1,0)</f>
        <v>0</v>
      </c>
      <c r="P205" s="6" t="n">
        <v>1</v>
      </c>
    </row>
    <row r="206" customFormat="false" ht="15" hidden="false" customHeight="false" outlineLevel="0" collapsed="false">
      <c r="A206" s="6" t="n">
        <v>201</v>
      </c>
      <c r="B206" s="5" t="s">
        <v>76</v>
      </c>
      <c r="C206" s="5" t="s">
        <v>30</v>
      </c>
      <c r="D206" s="11" t="n">
        <v>45986</v>
      </c>
      <c r="E206" s="11" t="n">
        <v>45987</v>
      </c>
      <c r="F206" s="5" t="s">
        <v>73</v>
      </c>
      <c r="G206" s="12" t="n">
        <v>216862.907669271</v>
      </c>
      <c r="H206" s="13" t="n">
        <v>4.549</v>
      </c>
      <c r="I206" s="13" t="n">
        <v>4.5</v>
      </c>
      <c r="J206" s="5" t="s">
        <v>74</v>
      </c>
      <c r="K206" s="8" t="n">
        <v>21.6278376083137</v>
      </c>
      <c r="L206" s="8" t="n">
        <v>-562.841356652698</v>
      </c>
      <c r="M206" s="8" t="n">
        <f aca="false">M205+L206</f>
        <v>26275.8662393956</v>
      </c>
      <c r="N206" s="5" t="str">
        <f aca="false">IF(L206&gt;0,"прибыль",IF(L206&lt;0,"убыток","ноль"))</f>
        <v>убыток</v>
      </c>
      <c r="O206" s="6" t="n">
        <f aca="false">IF(L206&lt;0,O205+1,0)</f>
        <v>1</v>
      </c>
      <c r="P206" s="6" t="n">
        <v>1</v>
      </c>
    </row>
    <row r="207" customFormat="false" ht="15" hidden="false" customHeight="false" outlineLevel="0" collapsed="false">
      <c r="A207" s="6" t="n">
        <v>202</v>
      </c>
      <c r="B207" s="5" t="s">
        <v>76</v>
      </c>
      <c r="C207" s="5" t="s">
        <v>25</v>
      </c>
      <c r="D207" s="11" t="n">
        <v>45987</v>
      </c>
      <c r="E207" s="11" t="n">
        <v>45988</v>
      </c>
      <c r="F207" s="5" t="s">
        <v>73</v>
      </c>
      <c r="G207" s="12" t="n">
        <v>357976.671380292</v>
      </c>
      <c r="H207" s="13" t="n">
        <v>62.7</v>
      </c>
      <c r="I207" s="13" t="n">
        <v>62.87</v>
      </c>
      <c r="K207" s="8" t="n">
        <v>35.4511065504169</v>
      </c>
      <c r="L207" s="8" t="n">
        <v>248.304892868169</v>
      </c>
      <c r="M207" s="8" t="n">
        <f aca="false">M206+L207</f>
        <v>26524.1711322638</v>
      </c>
      <c r="N207" s="5" t="str">
        <f aca="false">IF(L207&gt;0,"прибыль",IF(L207&lt;0,"убыток","ноль"))</f>
        <v>прибыль</v>
      </c>
      <c r="O207" s="6" t="n">
        <f aca="false">IF(L207&lt;0,O206+1,0)</f>
        <v>0</v>
      </c>
      <c r="P207" s="6" t="n">
        <v>1</v>
      </c>
    </row>
    <row r="208" customFormat="false" ht="15" hidden="false" customHeight="false" outlineLevel="0" collapsed="false">
      <c r="A208" s="6" t="n">
        <v>203</v>
      </c>
      <c r="B208" s="5" t="s">
        <v>76</v>
      </c>
      <c r="C208" s="5" t="s">
        <v>30</v>
      </c>
      <c r="D208" s="11" t="n">
        <v>45987</v>
      </c>
      <c r="E208" s="11" t="n">
        <v>45988</v>
      </c>
      <c r="F208" s="5" t="s">
        <v>75</v>
      </c>
      <c r="G208" s="12" t="n">
        <v>216235.058016047</v>
      </c>
      <c r="H208" s="13" t="n">
        <v>4.5</v>
      </c>
      <c r="I208" s="13" t="n">
        <v>4.595</v>
      </c>
      <c r="K208" s="8" t="n">
        <v>21.9920880528808</v>
      </c>
      <c r="L208" s="8" t="n">
        <v>-5185.88129623565</v>
      </c>
      <c r="M208" s="8" t="n">
        <f aca="false">M207+L208</f>
        <v>21338.2898360281</v>
      </c>
      <c r="N208" s="5" t="str">
        <f aca="false">IF(L208&gt;0,"прибыль",IF(L208&lt;0,"убыток","ноль"))</f>
        <v>убыток</v>
      </c>
      <c r="O208" s="6" t="n">
        <f aca="false">IF(L208&lt;0,O207+1,0)</f>
        <v>1</v>
      </c>
      <c r="P208" s="6" t="n">
        <v>1</v>
      </c>
    </row>
    <row r="209" customFormat="false" ht="15" hidden="false" customHeight="false" outlineLevel="0" collapsed="false">
      <c r="A209" s="6" t="n">
        <v>204</v>
      </c>
      <c r="B209" s="5" t="s">
        <v>76</v>
      </c>
      <c r="C209" s="5" t="s">
        <v>25</v>
      </c>
      <c r="D209" s="11" t="n">
        <v>45988</v>
      </c>
      <c r="E209" s="11" t="n">
        <v>45989</v>
      </c>
      <c r="F209" s="5" t="s">
        <v>75</v>
      </c>
      <c r="G209" s="12" t="n">
        <v>350761.703628626</v>
      </c>
      <c r="H209" s="13" t="n">
        <v>62.87</v>
      </c>
      <c r="I209" s="13" t="n">
        <v>63.52</v>
      </c>
      <c r="K209" s="8" t="n">
        <v>35.9761764789282</v>
      </c>
      <c r="L209" s="8" t="n">
        <v>-4337.63656351438</v>
      </c>
      <c r="M209" s="8" t="n">
        <f aca="false">M208+L209</f>
        <v>17000.6532725137</v>
      </c>
      <c r="N209" s="5" t="str">
        <f aca="false">IF(L209&gt;0,"прибыль",IF(L209&lt;0,"убыток","ноль"))</f>
        <v>убыток</v>
      </c>
      <c r="O209" s="6" t="n">
        <f aca="false">IF(L209&lt;0,O208+1,0)</f>
        <v>2</v>
      </c>
      <c r="P209" s="6" t="n">
        <v>1</v>
      </c>
    </row>
    <row r="210" customFormat="false" ht="15" hidden="false" customHeight="false" outlineLevel="0" collapsed="false">
      <c r="A210" s="6" t="n">
        <v>205</v>
      </c>
      <c r="B210" s="5" t="s">
        <v>76</v>
      </c>
      <c r="C210" s="5" t="s">
        <v>30</v>
      </c>
      <c r="D210" s="11" t="n">
        <v>45988</v>
      </c>
      <c r="E210" s="11" t="n">
        <v>45989</v>
      </c>
      <c r="F210" s="5" t="s">
        <v>73</v>
      </c>
      <c r="G210" s="12" t="n">
        <v>218442.813833386</v>
      </c>
      <c r="H210" s="13" t="n">
        <v>4.595</v>
      </c>
      <c r="I210" s="13" t="n">
        <v>4.636</v>
      </c>
      <c r="K210" s="8" t="n">
        <v>22.078237966469</v>
      </c>
      <c r="L210" s="8" t="n">
        <v>1335.99633828682</v>
      </c>
      <c r="M210" s="8" t="n">
        <f aca="false">M209+L210</f>
        <v>18336.6496108005</v>
      </c>
      <c r="N210" s="5" t="str">
        <f aca="false">IF(L210&gt;0,"прибыль",IF(L210&lt;0,"убыток","ноль"))</f>
        <v>прибыль</v>
      </c>
      <c r="O210" s="6" t="n">
        <f aca="false">IF(L210&lt;0,O209+1,0)</f>
        <v>0</v>
      </c>
      <c r="P210" s="6" t="n">
        <v>1</v>
      </c>
    </row>
    <row r="211" customFormat="false" ht="15" hidden="false" customHeight="false" outlineLevel="0" collapsed="false">
      <c r="A211" s="6" t="n">
        <v>206</v>
      </c>
      <c r="B211" s="5" t="s">
        <v>76</v>
      </c>
      <c r="C211" s="5" t="s">
        <v>25</v>
      </c>
      <c r="D211" s="11" t="n">
        <v>45989</v>
      </c>
      <c r="E211" s="11" t="n">
        <v>45994</v>
      </c>
      <c r="F211" s="5" t="s">
        <v>73</v>
      </c>
      <c r="G211" s="12" t="n">
        <v>364460.165562903</v>
      </c>
      <c r="H211" s="13" t="n">
        <v>63.52</v>
      </c>
      <c r="I211" s="13" t="n">
        <v>62.55</v>
      </c>
      <c r="J211" s="5" t="s">
        <v>74</v>
      </c>
      <c r="K211" s="8" t="n">
        <v>35.8522932515423</v>
      </c>
      <c r="L211" s="8" t="n">
        <v>-6392.61248927776</v>
      </c>
      <c r="M211" s="8" t="n">
        <f aca="false">M210+L211</f>
        <v>11944.0371215228</v>
      </c>
      <c r="N211" s="5" t="str">
        <f aca="false">IF(L211&gt;0,"прибыль",IF(L211&lt;0,"убыток","ноль"))</f>
        <v>убыток</v>
      </c>
      <c r="O211" s="6" t="n">
        <f aca="false">IF(L211&lt;0,O210+1,0)</f>
        <v>1</v>
      </c>
      <c r="P211" s="6" t="n">
        <v>5</v>
      </c>
    </row>
    <row r="212" customFormat="false" ht="15" hidden="false" customHeight="false" outlineLevel="0" collapsed="false">
      <c r="A212" s="6" t="n">
        <v>207</v>
      </c>
      <c r="B212" s="5" t="s">
        <v>76</v>
      </c>
      <c r="C212" s="5" t="s">
        <v>30</v>
      </c>
      <c r="D212" s="11" t="n">
        <v>45989</v>
      </c>
      <c r="E212" s="11" t="n">
        <v>45994</v>
      </c>
      <c r="F212" s="5" t="s">
        <v>75</v>
      </c>
      <c r="G212" s="12" t="n">
        <v>221763.870919741</v>
      </c>
      <c r="H212" s="13" t="n">
        <v>4.636</v>
      </c>
      <c r="I212" s="13" t="n">
        <v>4.89</v>
      </c>
      <c r="K212" s="8" t="n">
        <v>22.5358032604622</v>
      </c>
      <c r="L212" s="8" t="n">
        <v>-12808.5086035264</v>
      </c>
      <c r="M212" s="8" t="n">
        <f aca="false">M211+L212</f>
        <v>-864.471482003633</v>
      </c>
      <c r="N212" s="5" t="str">
        <f aca="false">IF(L212&gt;0,"прибыль",IF(L212&lt;0,"убыток","ноль"))</f>
        <v>убыток</v>
      </c>
      <c r="O212" s="6" t="n">
        <f aca="false">IF(L212&lt;0,O211+1,0)</f>
        <v>2</v>
      </c>
      <c r="P212" s="6" t="n">
        <v>5</v>
      </c>
    </row>
    <row r="213" customFormat="false" ht="15" hidden="false" customHeight="false" outlineLevel="0" collapsed="false">
      <c r="A213" s="6" t="n">
        <v>208</v>
      </c>
      <c r="B213" s="5" t="s">
        <v>76</v>
      </c>
      <c r="C213" s="5" t="s">
        <v>30</v>
      </c>
      <c r="D213" s="11" t="n">
        <v>45994</v>
      </c>
      <c r="E213" s="11" t="n">
        <v>46000</v>
      </c>
      <c r="F213" s="5" t="s">
        <v>73</v>
      </c>
      <c r="G213" s="12" t="n">
        <v>58627.4350688376</v>
      </c>
      <c r="H213" s="13" t="n">
        <v>4.89</v>
      </c>
      <c r="I213" s="13" t="n">
        <v>4.846</v>
      </c>
      <c r="K213" s="8" t="n">
        <v>2.89587381646187</v>
      </c>
      <c r="L213" s="8" t="n">
        <v>-712.854613416679</v>
      </c>
      <c r="M213" s="8" t="n">
        <f aca="false">M212+L213</f>
        <v>-1577.32609542031</v>
      </c>
      <c r="N213" s="5" t="str">
        <f aca="false">IF(L213&gt;0,"прибыль",IF(L213&lt;0,"убыток","ноль"))</f>
        <v>убыток</v>
      </c>
      <c r="O213" s="6" t="n">
        <f aca="false">IF(L213&lt;0,O212+1,0)</f>
        <v>3</v>
      </c>
      <c r="P213" s="6" t="n">
        <v>4</v>
      </c>
    </row>
    <row r="214" customFormat="false" ht="15" hidden="false" customHeight="false" outlineLevel="0" collapsed="false">
      <c r="A214" s="6" t="n">
        <v>209</v>
      </c>
      <c r="B214" s="5" t="s">
        <v>76</v>
      </c>
      <c r="C214" s="5" t="s">
        <v>25</v>
      </c>
      <c r="D214" s="11" t="n">
        <v>45994</v>
      </c>
      <c r="E214" s="11" t="n">
        <v>46014</v>
      </c>
      <c r="F214" s="5" t="s">
        <v>75</v>
      </c>
      <c r="G214" s="12" t="n">
        <v>104859.7012531</v>
      </c>
      <c r="H214" s="13" t="n">
        <v>62.55</v>
      </c>
      <c r="I214" s="13" t="n">
        <v>61.89</v>
      </c>
      <c r="K214" s="8" t="n">
        <v>10.3515144140327</v>
      </c>
      <c r="L214" s="8" t="n">
        <v>1158.66881201544</v>
      </c>
      <c r="M214" s="8" t="n">
        <f aca="false">M213+L214</f>
        <v>-418.657283404871</v>
      </c>
      <c r="N214" s="5" t="str">
        <f aca="false">IF(L214&gt;0,"прибыль",IF(L214&lt;0,"убыток","ноль"))</f>
        <v>прибыль</v>
      </c>
      <c r="O214" s="6" t="n">
        <f aca="false">IF(L214&lt;0,O213+1,0)</f>
        <v>0</v>
      </c>
      <c r="P214" s="6" t="n">
        <v>18</v>
      </c>
    </row>
    <row r="215" customFormat="false" ht="15" hidden="false" customHeight="false" outlineLevel="0" collapsed="false">
      <c r="A215" s="6" t="n">
        <v>210</v>
      </c>
      <c r="B215" s="5" t="s">
        <v>76</v>
      </c>
      <c r="C215" s="5" t="s">
        <v>30</v>
      </c>
      <c r="D215" s="11" t="n">
        <v>46000</v>
      </c>
      <c r="E215" s="11" t="n">
        <v>46015</v>
      </c>
      <c r="F215" s="5" t="s">
        <v>73</v>
      </c>
      <c r="G215" s="12" t="n">
        <v>47732.115825989</v>
      </c>
      <c r="H215" s="13" t="n">
        <v>4.846</v>
      </c>
      <c r="I215" s="13" t="n">
        <v>4.41</v>
      </c>
      <c r="K215" s="8" t="n">
        <v>2.14377757155875</v>
      </c>
      <c r="L215" s="8" t="n">
        <v>-4858.70817238562</v>
      </c>
      <c r="M215" s="8" t="n">
        <f aca="false">M214+L215</f>
        <v>-5277.36545579049</v>
      </c>
      <c r="N215" s="5" t="str">
        <f aca="false">IF(L215&gt;0,"прибыль",IF(L215&lt;0,"убыток","ноль"))</f>
        <v>убыток</v>
      </c>
      <c r="O215" s="6" t="n">
        <f aca="false">IF(L215&lt;0,O214+1,0)</f>
        <v>1</v>
      </c>
      <c r="P215" s="6" t="n">
        <v>15</v>
      </c>
    </row>
    <row r="216" customFormat="false" ht="15" hidden="false" customHeight="false" outlineLevel="0" collapsed="false">
      <c r="A216" s="6" t="n">
        <v>211</v>
      </c>
      <c r="B216" s="5" t="s">
        <v>76</v>
      </c>
      <c r="C216" s="5" t="s">
        <v>25</v>
      </c>
      <c r="D216" s="11" t="n">
        <v>46014</v>
      </c>
      <c r="E216" s="11" t="n">
        <v>46034</v>
      </c>
      <c r="F216" s="5" t="s">
        <v>75</v>
      </c>
      <c r="G216" s="12" t="n">
        <v>357422.365764854</v>
      </c>
      <c r="H216" s="13" t="n">
        <v>61.89</v>
      </c>
      <c r="I216" s="13" t="n">
        <v>63.5</v>
      </c>
      <c r="J216" s="5" t="s">
        <v>74</v>
      </c>
      <c r="K216" s="8" t="n">
        <v>33.4524090900072</v>
      </c>
      <c r="L216" s="8" t="n">
        <v>-7404.01282980743</v>
      </c>
      <c r="M216" s="8" t="n">
        <f aca="false">M215+L216</f>
        <v>-12681.3782855979</v>
      </c>
      <c r="N216" s="5" t="str">
        <f aca="false">IF(L216&gt;0,"прибыль",IF(L216&lt;0,"убыток","ноль"))</f>
        <v>убыток</v>
      </c>
      <c r="O216" s="6" t="n">
        <f aca="false">IF(L216&lt;0,O215+1,0)</f>
        <v>2</v>
      </c>
      <c r="P216" s="6" t="n">
        <v>12</v>
      </c>
    </row>
    <row r="217" customFormat="false" ht="15" hidden="false" customHeight="false" outlineLevel="0" collapsed="false">
      <c r="A217" s="6" t="n">
        <v>212</v>
      </c>
      <c r="B217" s="5" t="s">
        <v>76</v>
      </c>
      <c r="C217" s="5" t="s">
        <v>30</v>
      </c>
      <c r="D217" s="11" t="n">
        <v>46015</v>
      </c>
      <c r="E217" s="11" t="n">
        <v>46034</v>
      </c>
      <c r="F217" s="5" t="s">
        <v>73</v>
      </c>
      <c r="G217" s="12" t="n">
        <v>129080.724386001</v>
      </c>
      <c r="H217" s="13" t="n">
        <v>4.41</v>
      </c>
      <c r="I217" s="13" t="n">
        <v>3.222</v>
      </c>
      <c r="J217" s="5" t="s">
        <v>74</v>
      </c>
      <c r="K217" s="8" t="n">
        <v>10.8751080813379</v>
      </c>
      <c r="L217" s="8" t="n">
        <v>-31944.7309140107</v>
      </c>
      <c r="M217" s="8" t="n">
        <f aca="false">M216+L217</f>
        <v>-44626.1091996086</v>
      </c>
      <c r="N217" s="5" t="str">
        <f aca="false">IF(L217&gt;0,"прибыль",IF(L217&lt;0,"убыток","ноль"))</f>
        <v>убыток</v>
      </c>
      <c r="O217" s="6" t="n">
        <f aca="false">IF(L217&lt;0,O216+1,0)</f>
        <v>3</v>
      </c>
      <c r="P217" s="6" t="n">
        <v>11</v>
      </c>
    </row>
    <row r="218" customFormat="false" ht="15" hidden="false" customHeight="false" outlineLevel="0" collapsed="false">
      <c r="A218" s="6" t="n">
        <v>213</v>
      </c>
      <c r="B218" s="5" t="s">
        <v>76</v>
      </c>
      <c r="C218" s="5" t="s">
        <v>25</v>
      </c>
      <c r="D218" s="11" t="n">
        <v>46034</v>
      </c>
      <c r="E218" s="11" t="n">
        <v>46035</v>
      </c>
      <c r="F218" s="5" t="s">
        <v>73</v>
      </c>
      <c r="G218" s="12" t="n">
        <v>304255.255614573</v>
      </c>
      <c r="H218" s="13" t="n">
        <v>63.5</v>
      </c>
      <c r="I218" s="13" t="n">
        <v>64.01</v>
      </c>
      <c r="K218" s="8" t="n">
        <v>30.6988495592062</v>
      </c>
      <c r="L218" s="8" t="n">
        <v>1759.85432767463</v>
      </c>
      <c r="M218" s="8" t="n">
        <f aca="false">M217+L218</f>
        <v>-42866.254871934</v>
      </c>
      <c r="N218" s="5" t="str">
        <f aca="false">IF(L218&gt;0,"прибыль",IF(L218&lt;0,"убыток","ноль"))</f>
        <v>прибыль</v>
      </c>
      <c r="O218" s="6" t="n">
        <f aca="false">IF(L218&lt;0,O217+1,0)</f>
        <v>0</v>
      </c>
      <c r="P218" s="6" t="n">
        <v>1</v>
      </c>
    </row>
    <row r="219" customFormat="false" ht="15" hidden="false" customHeight="false" outlineLevel="0" collapsed="false">
      <c r="A219" s="6" t="n">
        <v>214</v>
      </c>
      <c r="B219" s="5" t="s">
        <v>76</v>
      </c>
      <c r="C219" s="5" t="s">
        <v>30</v>
      </c>
      <c r="D219" s="11" t="n">
        <v>46034</v>
      </c>
      <c r="E219" s="11" t="n">
        <v>46035</v>
      </c>
      <c r="F219" s="5" t="s">
        <v>75</v>
      </c>
      <c r="G219" s="12" t="n">
        <v>101081.239255098</v>
      </c>
      <c r="H219" s="13" t="n">
        <v>3.222</v>
      </c>
      <c r="I219" s="13" t="n">
        <v>3.367</v>
      </c>
      <c r="K219" s="8" t="n">
        <v>9.88817966320939</v>
      </c>
      <c r="L219" s="8" t="n">
        <v>-5130.37375690228</v>
      </c>
      <c r="M219" s="8" t="n">
        <f aca="false">M218+L219</f>
        <v>-47996.6286288362</v>
      </c>
      <c r="N219" s="5" t="str">
        <f aca="false">IF(L219&gt;0,"прибыль",IF(L219&lt;0,"убыток","ноль"))</f>
        <v>убыток</v>
      </c>
      <c r="O219" s="6" t="n">
        <f aca="false">IF(L219&lt;0,O218+1,0)</f>
        <v>1</v>
      </c>
      <c r="P219" s="6" t="n">
        <v>1</v>
      </c>
    </row>
    <row r="220" customFormat="false" ht="15" hidden="false" customHeight="false" outlineLevel="0" collapsed="false">
      <c r="A220" s="6" t="n">
        <v>215</v>
      </c>
      <c r="B220" s="5" t="s">
        <v>76</v>
      </c>
      <c r="C220" s="5" t="s">
        <v>25</v>
      </c>
      <c r="D220" s="11" t="n">
        <v>46035</v>
      </c>
      <c r="E220" s="11" t="n">
        <v>46037</v>
      </c>
      <c r="F220" s="5" t="s">
        <v>75</v>
      </c>
      <c r="G220" s="12" t="n">
        <v>307931.182392317</v>
      </c>
      <c r="H220" s="13" t="n">
        <v>64.01</v>
      </c>
      <c r="I220" s="13" t="n">
        <v>64.4</v>
      </c>
      <c r="K220" s="8" t="n">
        <v>31.8268030827143</v>
      </c>
      <c r="L220" s="8" t="n">
        <v>-2551.91916254921</v>
      </c>
      <c r="M220" s="8" t="n">
        <f aca="false">M219+L220</f>
        <v>-50548.5477913855</v>
      </c>
      <c r="N220" s="5" t="str">
        <f aca="false">IF(L220&gt;0,"прибыль",IF(L220&lt;0,"убыток","ноль"))</f>
        <v>убыток</v>
      </c>
      <c r="O220" s="6" t="n">
        <f aca="false">IF(L220&lt;0,O219+1,0)</f>
        <v>2</v>
      </c>
      <c r="P220" s="6" t="n">
        <v>2</v>
      </c>
    </row>
    <row r="221" customFormat="false" ht="15" hidden="false" customHeight="false" outlineLevel="0" collapsed="false">
      <c r="A221" s="6" t="n">
        <v>216</v>
      </c>
      <c r="B221" s="5" t="s">
        <v>76</v>
      </c>
      <c r="C221" s="5" t="s">
        <v>30</v>
      </c>
      <c r="D221" s="11" t="n">
        <v>46035</v>
      </c>
      <c r="E221" s="11" t="n">
        <v>46037</v>
      </c>
      <c r="F221" s="5" t="s">
        <v>73</v>
      </c>
      <c r="G221" s="12" t="n">
        <v>91561.8684318504</v>
      </c>
      <c r="H221" s="13" t="n">
        <v>3.367</v>
      </c>
      <c r="I221" s="13" t="n">
        <v>3.138</v>
      </c>
      <c r="K221" s="8" t="n">
        <v>8.71545292937122</v>
      </c>
      <c r="L221" s="8" t="n">
        <v>-6718.92800534275</v>
      </c>
      <c r="M221" s="8" t="n">
        <f aca="false">M220+L221</f>
        <v>-57267.4757967282</v>
      </c>
      <c r="N221" s="5" t="str">
        <f aca="false">IF(L221&gt;0,"прибыль",IF(L221&lt;0,"убыток","ноль"))</f>
        <v>убыток</v>
      </c>
      <c r="O221" s="6" t="n">
        <f aca="false">IF(L221&lt;0,O220+1,0)</f>
        <v>3</v>
      </c>
      <c r="P221" s="6" t="n">
        <v>2</v>
      </c>
    </row>
    <row r="222" customFormat="false" ht="15" hidden="false" customHeight="false" outlineLevel="0" collapsed="false">
      <c r="A222" s="6" t="n">
        <v>217</v>
      </c>
      <c r="B222" s="5" t="s">
        <v>76</v>
      </c>
      <c r="C222" s="5" t="s">
        <v>30</v>
      </c>
      <c r="D222" s="11" t="n">
        <v>46037</v>
      </c>
      <c r="E222" s="11" t="n">
        <v>46038</v>
      </c>
      <c r="F222" s="5" t="s">
        <v>75</v>
      </c>
      <c r="G222" s="12" t="n">
        <v>1.52484891367488E-011</v>
      </c>
      <c r="H222" s="13" t="n">
        <v>3.138</v>
      </c>
      <c r="I222" s="13" t="n">
        <v>3.171</v>
      </c>
      <c r="K222" s="8" t="n">
        <v>7.74873581255629E-016</v>
      </c>
      <c r="L222" s="8" t="n">
        <v>-2.49757361945031E-013</v>
      </c>
      <c r="M222" s="8" t="n">
        <f aca="false">M221+L222</f>
        <v>-57267.4757967282</v>
      </c>
      <c r="N222" s="5" t="str">
        <f aca="false">IF(L222&gt;0,"прибыль",IF(L222&lt;0,"убыток","ноль"))</f>
        <v>убыток</v>
      </c>
      <c r="O222" s="6" t="n">
        <f aca="false">IF(L222&lt;0,O221+1,0)</f>
        <v>4</v>
      </c>
      <c r="P222" s="6" t="n">
        <v>1</v>
      </c>
    </row>
    <row r="223" customFormat="false" ht="15" hidden="false" customHeight="false" outlineLevel="0" collapsed="false">
      <c r="A223" s="6" t="n">
        <v>218</v>
      </c>
      <c r="B223" s="5" t="s">
        <v>76</v>
      </c>
      <c r="C223" s="5" t="s">
        <v>25</v>
      </c>
      <c r="D223" s="11" t="n">
        <v>46037</v>
      </c>
      <c r="E223" s="11" t="n">
        <v>46042</v>
      </c>
      <c r="F223" s="5" t="s">
        <v>73</v>
      </c>
      <c r="G223" s="12" t="n">
        <v>326084.786902502</v>
      </c>
      <c r="H223" s="13" t="n">
        <v>64.4</v>
      </c>
      <c r="I223" s="13" t="n">
        <v>64.1</v>
      </c>
      <c r="K223" s="8" t="n">
        <v>32.9471116725045</v>
      </c>
      <c r="L223" s="8" t="n">
        <v>-2204.31701208168</v>
      </c>
      <c r="M223" s="8" t="n">
        <f aca="false">M222+L223</f>
        <v>-59471.7928088099</v>
      </c>
      <c r="N223" s="5" t="str">
        <f aca="false">IF(L223&gt;0,"прибыль",IF(L223&lt;0,"убыток","ноль"))</f>
        <v>убыток</v>
      </c>
      <c r="O223" s="6" t="n">
        <f aca="false">IF(L223&lt;0,O222+1,0)</f>
        <v>5</v>
      </c>
      <c r="P223" s="6" t="n">
        <v>5</v>
      </c>
    </row>
    <row r="224" customFormat="false" ht="15" hidden="false" customHeight="false" outlineLevel="0" collapsed="false">
      <c r="A224" s="6" t="n">
        <v>219</v>
      </c>
      <c r="B224" s="5" t="s">
        <v>76</v>
      </c>
      <c r="C224" s="5" t="s">
        <v>30</v>
      </c>
      <c r="D224" s="11" t="n">
        <v>46038</v>
      </c>
      <c r="E224" s="11" t="n">
        <v>46042</v>
      </c>
      <c r="F224" s="5" t="s">
        <v>75</v>
      </c>
      <c r="G224" s="12" t="n">
        <v>89457.4027079873</v>
      </c>
      <c r="H224" s="13" t="n">
        <v>3.171</v>
      </c>
      <c r="I224" s="13" t="n">
        <v>3.672</v>
      </c>
      <c r="K224" s="8" t="n">
        <v>9.39973594728493</v>
      </c>
      <c r="L224" s="8" t="n">
        <v>-15865.9336126318</v>
      </c>
      <c r="M224" s="8" t="n">
        <f aca="false">M223+L224</f>
        <v>-75337.7264214417</v>
      </c>
      <c r="N224" s="5" t="str">
        <f aca="false">IF(L224&gt;0,"прибыль",IF(L224&lt;0,"убыток","ноль"))</f>
        <v>убыток</v>
      </c>
      <c r="O224" s="6" t="n">
        <f aca="false">IF(L224&lt;0,O223+1,0)</f>
        <v>6</v>
      </c>
      <c r="P224" s="6" t="n">
        <v>4</v>
      </c>
    </row>
    <row r="225" customFormat="false" ht="15" hidden="false" customHeight="false" outlineLevel="0" collapsed="false">
      <c r="A225" s="6" t="n">
        <v>220</v>
      </c>
      <c r="B225" s="5" t="s">
        <v>76</v>
      </c>
      <c r="C225" s="5" t="s">
        <v>30</v>
      </c>
      <c r="D225" s="11" t="n">
        <v>46042</v>
      </c>
      <c r="E225" s="11" t="n">
        <v>46044</v>
      </c>
      <c r="F225" s="5" t="s">
        <v>73</v>
      </c>
      <c r="G225" s="12" t="n">
        <v>40544.9562675017</v>
      </c>
      <c r="H225" s="13" t="n">
        <v>3.672</v>
      </c>
      <c r="I225" s="13" t="n">
        <v>5.341</v>
      </c>
      <c r="K225" s="8" t="n">
        <v>2.92668252096573</v>
      </c>
      <c r="L225" s="8" t="n">
        <v>17985.767469292</v>
      </c>
      <c r="M225" s="8" t="n">
        <f aca="false">M224+L225</f>
        <v>-57351.9589521497</v>
      </c>
      <c r="N225" s="5" t="str">
        <f aca="false">IF(L225&gt;0,"прибыль",IF(L225&lt;0,"убыток","ноль"))</f>
        <v>прибыль</v>
      </c>
      <c r="O225" s="6" t="n">
        <f aca="false">IF(L225&lt;0,O224+1,0)</f>
        <v>0</v>
      </c>
      <c r="P225" s="6" t="n">
        <v>2</v>
      </c>
    </row>
    <row r="226" customFormat="false" ht="15" hidden="false" customHeight="false" outlineLevel="0" collapsed="false">
      <c r="A226" s="6" t="n">
        <v>221</v>
      </c>
      <c r="B226" s="5" t="s">
        <v>76</v>
      </c>
      <c r="C226" s="5" t="s">
        <v>30</v>
      </c>
      <c r="D226" s="11" t="n">
        <v>46044</v>
      </c>
      <c r="E226" s="11" t="n">
        <v>46049</v>
      </c>
      <c r="F226" s="5" t="s">
        <v>73</v>
      </c>
      <c r="G226" s="12" t="n">
        <v>14434.1595489467</v>
      </c>
      <c r="H226" s="13" t="n">
        <v>5.341</v>
      </c>
      <c r="I226" s="13" t="n">
        <v>6.546</v>
      </c>
      <c r="K226" s="8" t="n">
        <v>1.27622640655644</v>
      </c>
      <c r="L226" s="8" t="n">
        <v>11089.0923557754</v>
      </c>
      <c r="M226" s="8" t="n">
        <f aca="false">M225+L226</f>
        <v>-46262.8665963743</v>
      </c>
      <c r="N226" s="5" t="str">
        <f aca="false">IF(L226&gt;0,"прибыль",IF(L226&lt;0,"убыток","ноль"))</f>
        <v>прибыль</v>
      </c>
      <c r="O226" s="6" t="n">
        <f aca="false">IF(L226&lt;0,O225+1,0)</f>
        <v>0</v>
      </c>
      <c r="P226" s="6" t="n">
        <v>5</v>
      </c>
    </row>
    <row r="227" customFormat="false" ht="15" hidden="false" customHeight="false" outlineLevel="0" collapsed="false">
      <c r="A227" s="6" t="n">
        <v>222</v>
      </c>
      <c r="B227" s="5" t="s">
        <v>76</v>
      </c>
      <c r="C227" s="5" t="s">
        <v>25</v>
      </c>
      <c r="D227" s="11" t="n">
        <v>46042</v>
      </c>
      <c r="E227" s="11" t="n">
        <v>46051</v>
      </c>
      <c r="F227" s="5" t="s">
        <v>75</v>
      </c>
      <c r="G227" s="12" t="n">
        <v>67519.3091271666</v>
      </c>
      <c r="H227" s="13" t="n">
        <v>64.1</v>
      </c>
      <c r="I227" s="13" t="n">
        <v>69.19</v>
      </c>
      <c r="K227" s="8" t="n">
        <v>3.65172894189989</v>
      </c>
      <c r="L227" s="8" t="n">
        <v>-5518.92143977304</v>
      </c>
      <c r="M227" s="8" t="n">
        <f aca="false">M226+L227</f>
        <v>-51781.7880361473</v>
      </c>
      <c r="N227" s="5" t="str">
        <f aca="false">IF(L227&gt;0,"прибыль",IF(L227&lt;0,"убыток","ноль"))</f>
        <v>убыток</v>
      </c>
      <c r="O227" s="6" t="n">
        <f aca="false">IF(L227&lt;0,O226+1,0)</f>
        <v>1</v>
      </c>
      <c r="P227" s="6" t="n">
        <v>9</v>
      </c>
    </row>
    <row r="228" customFormat="false" ht="15" hidden="false" customHeight="false" outlineLevel="0" collapsed="false">
      <c r="A228" s="6" t="n">
        <v>223</v>
      </c>
      <c r="B228" s="5" t="s">
        <v>76</v>
      </c>
      <c r="C228" s="5" t="s">
        <v>25</v>
      </c>
      <c r="D228" s="11" t="n">
        <v>46051</v>
      </c>
      <c r="E228" s="11" t="n">
        <v>46073</v>
      </c>
      <c r="F228" s="5" t="s">
        <v>75</v>
      </c>
      <c r="G228" s="12" t="n">
        <v>54246.7522264161</v>
      </c>
      <c r="H228" s="13" t="n">
        <v>69.19</v>
      </c>
      <c r="I228" s="13" t="n">
        <v>72.05</v>
      </c>
      <c r="J228" s="5" t="s">
        <v>74</v>
      </c>
      <c r="K228" s="8" t="n">
        <v>3.26908421791113</v>
      </c>
      <c r="L228" s="8" t="n">
        <v>-11138.2012160244</v>
      </c>
      <c r="M228" s="8" t="n">
        <f aca="false">M227+L228</f>
        <v>-62919.9892521718</v>
      </c>
      <c r="N228" s="5" t="str">
        <f aca="false">IF(L228&gt;0,"прибыль",IF(L228&lt;0,"убыток","ноль"))</f>
        <v>убыток</v>
      </c>
      <c r="O228" s="6" t="n">
        <f aca="false">IF(L228&lt;0,O227+1,0)</f>
        <v>2</v>
      </c>
      <c r="P228" s="6" t="n">
        <v>20</v>
      </c>
    </row>
    <row r="229" customFormat="false" ht="15" hidden="false" customHeight="false" outlineLevel="0" collapsed="false">
      <c r="A229" s="6" t="n">
        <v>224</v>
      </c>
      <c r="B229" s="5" t="s">
        <v>76</v>
      </c>
      <c r="C229" s="5" t="s">
        <v>25</v>
      </c>
      <c r="D229" s="11" t="n">
        <v>46073</v>
      </c>
      <c r="E229" s="11" t="n">
        <v>46090</v>
      </c>
      <c r="F229" s="5" t="s">
        <v>75</v>
      </c>
      <c r="G229" s="12" t="n">
        <v>68949.2176953539</v>
      </c>
      <c r="H229" s="13" t="n">
        <v>72.05</v>
      </c>
      <c r="I229" s="13" t="n">
        <v>105.61</v>
      </c>
      <c r="J229" s="5" t="s">
        <v>74</v>
      </c>
      <c r="K229" s="8" t="n">
        <v>5.49998618159467</v>
      </c>
      <c r="L229" s="8" t="n">
        <v>-41056.005922721</v>
      </c>
      <c r="M229" s="8" t="n">
        <f aca="false">M228+L229</f>
        <v>-103975.995174893</v>
      </c>
      <c r="N229" s="5" t="str">
        <f aca="false">IF(L229&gt;0,"прибыль",IF(L229&lt;0,"убыток","ноль"))</f>
        <v>убыток</v>
      </c>
      <c r="O229" s="6" t="n">
        <f aca="false">IF(L229&lt;0,O228+1,0)</f>
        <v>3</v>
      </c>
      <c r="P229" s="6" t="n">
        <v>15</v>
      </c>
    </row>
    <row r="230" customFormat="false" ht="15" hidden="false" customHeight="false" outlineLevel="0" collapsed="false">
      <c r="A230" s="6" t="n">
        <v>225</v>
      </c>
      <c r="B230" s="5" t="s">
        <v>76</v>
      </c>
      <c r="C230" s="5" t="s">
        <v>30</v>
      </c>
      <c r="D230" s="11" t="n">
        <v>46049</v>
      </c>
      <c r="E230" s="11" t="n">
        <v>46093</v>
      </c>
      <c r="F230" s="5" t="s">
        <v>73</v>
      </c>
      <c r="G230" s="12" t="n">
        <v>43039.8245513429</v>
      </c>
      <c r="H230" s="13" t="n">
        <v>6.546</v>
      </c>
      <c r="I230" s="13" t="n">
        <v>3.284</v>
      </c>
      <c r="J230" s="5" t="s">
        <v>74</v>
      </c>
      <c r="K230" s="8" t="n">
        <v>10.0624882778716</v>
      </c>
      <c r="L230" s="8" t="n">
        <v>8993.55853713867</v>
      </c>
      <c r="M230" s="8" t="n">
        <f aca="false">M229+L230</f>
        <v>-94982.4366377541</v>
      </c>
      <c r="N230" s="5" t="str">
        <f aca="false">IF(L230&gt;0,"прибыль",IF(L230&lt;0,"убыток","ноль"))</f>
        <v>прибыль</v>
      </c>
      <c r="O230" s="6" t="n">
        <f aca="false">IF(L230&lt;0,O229+1,0)</f>
        <v>0</v>
      </c>
      <c r="P230" s="6" t="n">
        <v>40</v>
      </c>
    </row>
    <row r="231" customFormat="false" ht="15" hidden="false" customHeight="false" outlineLevel="0" collapsed="false">
      <c r="A231" s="6" t="n">
        <v>226</v>
      </c>
      <c r="B231" s="5" t="s">
        <v>76</v>
      </c>
      <c r="C231" s="5" t="s">
        <v>25</v>
      </c>
      <c r="D231" s="11" t="n">
        <v>46090</v>
      </c>
      <c r="E231" s="11" t="n">
        <v>46094</v>
      </c>
      <c r="F231" s="5" t="s">
        <v>75</v>
      </c>
      <c r="G231" s="12" t="n">
        <v>47920.6422834483</v>
      </c>
      <c r="H231" s="13" t="n">
        <v>105.61</v>
      </c>
      <c r="I231" s="13" t="n">
        <v>101.16</v>
      </c>
      <c r="K231" s="8" t="n">
        <v>3.66299466725768</v>
      </c>
      <c r="L231" s="8" t="n">
        <v>-25342.9140563725</v>
      </c>
      <c r="M231" s="8" t="n">
        <f aca="false">M230+L231</f>
        <v>-120325.350694127</v>
      </c>
      <c r="N231" s="5" t="str">
        <f aca="false">IF(L231&gt;0,"прибыль",IF(L231&lt;0,"убыток","ноль"))</f>
        <v>убыток</v>
      </c>
      <c r="O231" s="6" t="n">
        <f aca="false">IF(L231&lt;0,O230+1,0)</f>
        <v>1</v>
      </c>
      <c r="P231" s="6" t="n">
        <v>4</v>
      </c>
    </row>
    <row r="232" customFormat="false" ht="15" hidden="false" customHeight="false" outlineLevel="0" collapsed="false">
      <c r="A232" s="6" t="n">
        <v>227</v>
      </c>
      <c r="B232" s="5" t="s">
        <v>76</v>
      </c>
      <c r="C232" s="5" t="s">
        <v>25</v>
      </c>
      <c r="D232" s="11" t="n">
        <v>46094</v>
      </c>
      <c r="E232" s="11" t="n">
        <v>46099</v>
      </c>
      <c r="F232" s="5" t="s">
        <v>75</v>
      </c>
      <c r="G232" s="12" t="n">
        <v>96392.8951156119</v>
      </c>
      <c r="H232" s="13" t="n">
        <v>101.16</v>
      </c>
      <c r="I232" s="13" t="n">
        <v>102</v>
      </c>
      <c r="K232" s="8" t="n">
        <v>14.1233924479619</v>
      </c>
      <c r="L232" s="8" t="n">
        <v>-52228.3538329349</v>
      </c>
      <c r="M232" s="8" t="n">
        <f aca="false">M231+L232</f>
        <v>-172553.704527062</v>
      </c>
      <c r="N232" s="5" t="str">
        <f aca="false">IF(L232&gt;0,"прибыль",IF(L232&lt;0,"убыток","ноль"))</f>
        <v>убыток</v>
      </c>
      <c r="O232" s="6" t="n">
        <f aca="false">IF(L232&lt;0,O231+1,0)</f>
        <v>2</v>
      </c>
      <c r="P232" s="6" t="n">
        <v>5</v>
      </c>
    </row>
    <row r="233" customFormat="false" ht="15" hidden="false" customHeight="false" outlineLevel="0" collapsed="false">
      <c r="A233" s="6" t="n">
        <v>228</v>
      </c>
      <c r="B233" s="5" t="s">
        <v>76</v>
      </c>
      <c r="C233" s="5" t="s">
        <v>30</v>
      </c>
      <c r="D233" s="11" t="n">
        <v>46093</v>
      </c>
      <c r="E233" s="11" t="n">
        <v>46099</v>
      </c>
      <c r="F233" s="5" t="s">
        <v>73</v>
      </c>
      <c r="G233" s="12" t="n">
        <v>133868.161973909</v>
      </c>
      <c r="H233" s="13" t="n">
        <v>3.284</v>
      </c>
      <c r="I233" s="13" t="n">
        <v>2.975</v>
      </c>
      <c r="K233" s="8" t="n">
        <v>14.6910252685619</v>
      </c>
      <c r="L233" s="8" t="n">
        <v>12746.3775011773</v>
      </c>
      <c r="M233" s="8" t="n">
        <f aca="false">M232+L233</f>
        <v>-159807.327025884</v>
      </c>
      <c r="N233" s="5" t="str">
        <f aca="false">IF(L233&gt;0,"прибыль",IF(L233&lt;0,"убыток","ноль"))</f>
        <v>прибыль</v>
      </c>
      <c r="O233" s="6" t="n">
        <f aca="false">IF(L233&lt;0,O232+1,0)</f>
        <v>0</v>
      </c>
      <c r="P233" s="6" t="n">
        <v>6</v>
      </c>
    </row>
    <row r="234" customFormat="false" ht="15" hidden="false" customHeight="false" outlineLevel="0" collapsed="false">
      <c r="A234" s="6" t="n">
        <v>229</v>
      </c>
      <c r="B234" s="5" t="s">
        <v>76</v>
      </c>
      <c r="C234" s="5" t="s">
        <v>30</v>
      </c>
      <c r="D234" s="11" t="n">
        <v>46099</v>
      </c>
      <c r="E234" s="11" t="n">
        <v>46100</v>
      </c>
      <c r="F234" s="5" t="s">
        <v>75</v>
      </c>
      <c r="G234" s="12" t="n">
        <v>2.64248197774275E-011</v>
      </c>
      <c r="H234" s="13" t="n">
        <v>2.975</v>
      </c>
      <c r="I234" s="13" t="n">
        <v>3.208</v>
      </c>
      <c r="K234" s="8" t="n">
        <v>1.42992879011042E-015</v>
      </c>
      <c r="L234" s="8" t="n">
        <v>-2.17518595357099E-012</v>
      </c>
      <c r="M234" s="8" t="n">
        <f aca="false">M233+L234</f>
        <v>-159807.327025884</v>
      </c>
      <c r="N234" s="5" t="str">
        <f aca="false">IF(L234&gt;0,"прибыль",IF(L234&lt;0,"убыток","ноль"))</f>
        <v>убыток</v>
      </c>
      <c r="O234" s="6" t="n">
        <f aca="false">IF(L234&lt;0,O233+1,0)</f>
        <v>1</v>
      </c>
      <c r="P234" s="6" t="n">
        <v>1</v>
      </c>
    </row>
    <row r="235" customFormat="false" ht="15" hidden="false" customHeight="false" outlineLevel="0" collapsed="false">
      <c r="A235" s="6" t="n">
        <v>230</v>
      </c>
      <c r="B235" s="5" t="s">
        <v>76</v>
      </c>
      <c r="C235" s="5" t="s">
        <v>25</v>
      </c>
      <c r="D235" s="11" t="n">
        <v>46099</v>
      </c>
      <c r="E235" s="11" t="n">
        <v>46108</v>
      </c>
      <c r="F235" s="5" t="s">
        <v>73</v>
      </c>
      <c r="G235" s="12" t="n">
        <v>28962.7984404151</v>
      </c>
      <c r="H235" s="13" t="n">
        <v>102</v>
      </c>
      <c r="I235" s="13" t="n">
        <v>108.09</v>
      </c>
      <c r="K235" s="8" t="n">
        <v>1.5278555481933</v>
      </c>
      <c r="L235" s="8" t="n">
        <v>1592.7846679027</v>
      </c>
      <c r="M235" s="8" t="n">
        <f aca="false">M234+L235</f>
        <v>-158214.542357982</v>
      </c>
      <c r="N235" s="5" t="str">
        <f aca="false">IF(L235&gt;0,"прибыль",IF(L235&lt;0,"убыток","ноль"))</f>
        <v>прибыль</v>
      </c>
      <c r="O235" s="6" t="n">
        <f aca="false">IF(L235&lt;0,O234+1,0)</f>
        <v>0</v>
      </c>
      <c r="P235" s="6" t="n">
        <v>7</v>
      </c>
    </row>
    <row r="236" customFormat="false" ht="15" hidden="false" customHeight="false" outlineLevel="0" collapsed="false">
      <c r="A236" s="6" t="n">
        <v>231</v>
      </c>
      <c r="B236" s="5" t="s">
        <v>76</v>
      </c>
      <c r="C236" s="5" t="s">
        <v>30</v>
      </c>
      <c r="D236" s="11" t="n">
        <v>46100</v>
      </c>
      <c r="E236" s="11" t="n">
        <v>46154</v>
      </c>
      <c r="F236" s="5" t="s">
        <v>75</v>
      </c>
      <c r="G236" s="12" t="n">
        <v>97124.5638992649</v>
      </c>
      <c r="H236" s="13" t="n">
        <v>3.208</v>
      </c>
      <c r="I236" s="13" t="n">
        <v>2.946</v>
      </c>
      <c r="J236" s="5" t="s">
        <v>74</v>
      </c>
      <c r="K236" s="8" t="n">
        <v>11.8850164734036</v>
      </c>
      <c r="L236" s="8" t="n">
        <v>3878.43463326142</v>
      </c>
      <c r="M236" s="8" t="n">
        <f aca="false">M235+L236</f>
        <v>-154336.10772472</v>
      </c>
      <c r="N236" s="5" t="str">
        <f aca="false">IF(L236&gt;0,"прибыль",IF(L236&lt;0,"убыток","ноль"))</f>
        <v>прибыль</v>
      </c>
      <c r="O236" s="6" t="n">
        <f aca="false">IF(L236&lt;0,O235+1,0)</f>
        <v>0</v>
      </c>
      <c r="P236" s="6" t="n">
        <v>50</v>
      </c>
    </row>
    <row r="237" customFormat="false" ht="15" hidden="false" customHeight="false" outlineLevel="0" collapsed="false">
      <c r="A237" s="6" t="n">
        <v>232</v>
      </c>
      <c r="B237" s="5" t="s">
        <v>76</v>
      </c>
      <c r="C237" s="5" t="s">
        <v>25</v>
      </c>
      <c r="D237" s="11" t="n">
        <v>46108</v>
      </c>
      <c r="E237" s="11" t="n">
        <v>46217</v>
      </c>
      <c r="F237" s="5" t="s">
        <v>73</v>
      </c>
      <c r="G237" s="12" t="n">
        <v>51989.1754469069</v>
      </c>
      <c r="H237" s="13" t="n">
        <v>108.09</v>
      </c>
      <c r="I237" s="13" t="n">
        <v>84.72</v>
      </c>
      <c r="J237" s="5" t="s">
        <v>74</v>
      </c>
      <c r="K237" s="8" t="n">
        <v>8.98449641506259</v>
      </c>
      <c r="L237" s="8" t="n">
        <v>-4637.02770895237</v>
      </c>
      <c r="M237" s="8" t="n">
        <f aca="false">M236+L237</f>
        <v>-158973.135433673</v>
      </c>
      <c r="N237" s="5" t="str">
        <f aca="false">IF(L237&gt;0,"прибыль",IF(L237&lt;0,"убыток","ноль"))</f>
        <v>убыток</v>
      </c>
      <c r="O237" s="6" t="n">
        <f aca="false">IF(L237&lt;0,O236+1,0)</f>
        <v>1</v>
      </c>
      <c r="P237" s="6" t="n">
        <v>105</v>
      </c>
    </row>
    <row r="238" customFormat="false" ht="15" hidden="false" customHeight="false" outlineLevel="0" collapsed="false">
      <c r="A238" s="6" t="n">
        <v>233</v>
      </c>
      <c r="B238" s="5" t="s">
        <v>76</v>
      </c>
      <c r="C238" s="5" t="s">
        <v>25</v>
      </c>
      <c r="D238" s="11" t="n">
        <v>46217</v>
      </c>
      <c r="E238" s="11" t="n">
        <v>46230</v>
      </c>
      <c r="F238" s="5" t="s">
        <v>73</v>
      </c>
      <c r="G238" s="12" t="n">
        <v>38708.8658618967</v>
      </c>
      <c r="H238" s="13" t="n">
        <v>84.72</v>
      </c>
      <c r="I238" s="13" t="n">
        <v>92.48</v>
      </c>
      <c r="K238" s="8" t="n">
        <v>1.92425358425979</v>
      </c>
      <c r="L238" s="8" t="n">
        <v>-225.718430285075</v>
      </c>
      <c r="M238" s="8" t="n">
        <f aca="false">M237+L238</f>
        <v>-159198.853863958</v>
      </c>
      <c r="N238" s="5" t="str">
        <f aca="false">IF(L238&gt;0,"прибыль",IF(L238&lt;0,"убыток","ноль"))</f>
        <v>убыток</v>
      </c>
      <c r="O238" s="6" t="n">
        <f aca="false">IF(L238&lt;0,O237+1,0)</f>
        <v>2</v>
      </c>
      <c r="P238" s="6" t="n">
        <v>13</v>
      </c>
    </row>
    <row r="239" customFormat="false" ht="15" hidden="false" customHeight="false" outlineLevel="0" collapsed="false">
      <c r="A239" s="6" t="n">
        <v>234</v>
      </c>
      <c r="B239" s="5" t="s">
        <v>76</v>
      </c>
      <c r="C239" s="5" t="s">
        <v>25</v>
      </c>
      <c r="D239" s="11" t="n">
        <v>46230</v>
      </c>
      <c r="E239" s="11" t="n">
        <v>46239</v>
      </c>
      <c r="F239" s="5" t="s">
        <v>73</v>
      </c>
      <c r="G239" s="12" t="n">
        <v>146528.679720803</v>
      </c>
      <c r="H239" s="13" t="n">
        <v>92.48</v>
      </c>
      <c r="I239" s="13" t="n">
        <v>78.88</v>
      </c>
      <c r="J239" s="5" t="s">
        <v>74</v>
      </c>
      <c r="K239" s="8" t="n">
        <v>12.5951991464785</v>
      </c>
      <c r="L239" s="8" t="n">
        <v>-15502.2277029581</v>
      </c>
      <c r="M239" s="8" t="n">
        <f aca="false">M238+L239</f>
        <v>-174701.081566916</v>
      </c>
      <c r="N239" s="5" t="str">
        <f aca="false">IF(L239&gt;0,"прибыль",IF(L239&lt;0,"убыток","ноль"))</f>
        <v>убыток</v>
      </c>
      <c r="O239" s="6" t="n">
        <f aca="false">IF(L239&lt;0,O238+1,0)</f>
        <v>3</v>
      </c>
      <c r="P239" s="6" t="n">
        <v>7</v>
      </c>
    </row>
    <row r="240" customFormat="false" ht="15" hidden="false" customHeight="false" outlineLevel="0" collapsed="false">
      <c r="A240" s="6" t="n">
        <v>235</v>
      </c>
      <c r="B240" s="5" t="s">
        <v>76</v>
      </c>
      <c r="C240" s="5" t="s">
        <v>30</v>
      </c>
      <c r="D240" s="11" t="n">
        <v>46154</v>
      </c>
      <c r="E240" s="11" t="n">
        <v>46239</v>
      </c>
      <c r="F240" s="5" t="s">
        <v>75</v>
      </c>
      <c r="G240" s="12" t="n">
        <v>313017.21749441</v>
      </c>
      <c r="H240" s="13" t="n">
        <v>2.946</v>
      </c>
      <c r="I240" s="13" t="n">
        <v>2.702</v>
      </c>
      <c r="J240" s="5" t="s">
        <v>74</v>
      </c>
      <c r="K240" s="8" t="n">
        <v>32.3614136652989</v>
      </c>
      <c r="L240" s="8" t="n">
        <v>47735.2276454032</v>
      </c>
      <c r="M240" s="8" t="n">
        <f aca="false">M239+L240</f>
        <v>-126965.853921512</v>
      </c>
      <c r="N240" s="5" t="str">
        <f aca="false">IF(L240&gt;0,"прибыль",IF(L240&lt;0,"убыток","ноль"))</f>
        <v>прибыль</v>
      </c>
      <c r="O240" s="6" t="n">
        <f aca="false">IF(L240&lt;0,O239+1,0)</f>
        <v>0</v>
      </c>
      <c r="P240" s="6" t="n">
        <v>81</v>
      </c>
    </row>
    <row r="241" customFormat="false" ht="15" hidden="false" customHeight="false" outlineLevel="0" collapsed="false">
      <c r="A241" s="6" t="n">
        <v>236</v>
      </c>
      <c r="B241" s="5" t="s">
        <v>76</v>
      </c>
      <c r="C241" s="5" t="s">
        <v>25</v>
      </c>
      <c r="D241" s="11" t="n">
        <v>46239</v>
      </c>
      <c r="E241" s="11" t="n">
        <v>46241</v>
      </c>
      <c r="F241" s="5" t="s">
        <v>75</v>
      </c>
      <c r="G241" s="12" t="n">
        <v>120864.935712579</v>
      </c>
      <c r="H241" s="13" t="n">
        <v>78.88</v>
      </c>
      <c r="I241" s="13" t="n">
        <v>83.85</v>
      </c>
      <c r="K241" s="8" t="n">
        <v>12.3255216657421</v>
      </c>
      <c r="L241" s="8" t="n">
        <v>-8207.45530617239</v>
      </c>
      <c r="M241" s="8" t="n">
        <f aca="false">M240+L241</f>
        <v>-135173.309227685</v>
      </c>
      <c r="N241" s="5" t="str">
        <f aca="false">IF(L241&gt;0,"прибыль",IF(L241&lt;0,"убыток","ноль"))</f>
        <v>убыток</v>
      </c>
      <c r="O241" s="6" t="n">
        <f aca="false">IF(L241&lt;0,O240+1,0)</f>
        <v>1</v>
      </c>
      <c r="P241" s="6" t="n">
        <v>2</v>
      </c>
    </row>
    <row r="242" customFormat="false" ht="15" hidden="false" customHeight="false" outlineLevel="0" collapsed="false">
      <c r="A242" s="6" t="n">
        <v>237</v>
      </c>
      <c r="B242" s="5" t="s">
        <v>76</v>
      </c>
      <c r="C242" s="5" t="s">
        <v>30</v>
      </c>
      <c r="D242" s="11" t="n">
        <v>46239</v>
      </c>
      <c r="E242" s="11" t="n">
        <v>46241</v>
      </c>
      <c r="F242" s="5" t="s">
        <v>73</v>
      </c>
      <c r="G242" s="12" t="n">
        <v>263494.223566389</v>
      </c>
      <c r="H242" s="13" t="n">
        <v>2.702</v>
      </c>
      <c r="I242" s="13" t="n">
        <v>2.64</v>
      </c>
      <c r="K242" s="8" t="n">
        <v>26.2273522146594</v>
      </c>
      <c r="L242" s="8" t="n">
        <v>-6671.69310943584</v>
      </c>
      <c r="M242" s="8" t="n">
        <f aca="false">M241+L242</f>
        <v>-141845.002337121</v>
      </c>
      <c r="N242" s="5" t="str">
        <f aca="false">IF(L242&gt;0,"прибыль",IF(L242&lt;0,"убыток","ноль"))</f>
        <v>убыток</v>
      </c>
      <c r="O242" s="6" t="n">
        <f aca="false">IF(L242&lt;0,O241+1,0)</f>
        <v>2</v>
      </c>
      <c r="P242" s="6" t="n">
        <v>2</v>
      </c>
    </row>
    <row r="243" customFormat="false" ht="15" hidden="false" customHeight="false" outlineLevel="0" collapsed="false">
      <c r="A243" s="6" t="n">
        <v>238</v>
      </c>
      <c r="B243" s="5" t="s">
        <v>76</v>
      </c>
      <c r="C243" s="5" t="s">
        <v>25</v>
      </c>
      <c r="D243" s="11" t="n">
        <v>46241</v>
      </c>
      <c r="E243" s="11" t="n">
        <v>46242</v>
      </c>
      <c r="F243" s="5" t="s">
        <v>73</v>
      </c>
      <c r="G243" s="12" t="n">
        <v>117450.367817756</v>
      </c>
      <c r="H243" s="13" t="n">
        <v>83.85</v>
      </c>
      <c r="I243" s="13" t="n">
        <v>82.49</v>
      </c>
      <c r="K243" s="8" t="n">
        <v>11.574487142233</v>
      </c>
      <c r="L243" s="8" t="n">
        <v>-2444.36757438063</v>
      </c>
      <c r="M243" s="8" t="n">
        <f aca="false">M242+L243</f>
        <v>-144289.369911501</v>
      </c>
      <c r="N243" s="5" t="str">
        <f aca="false">IF(L243&gt;0,"прибыль",IF(L243&lt;0,"убыток","ноль"))</f>
        <v>убыток</v>
      </c>
      <c r="O243" s="6" t="n">
        <f aca="false">IF(L243&lt;0,O242+1,0)</f>
        <v>3</v>
      </c>
      <c r="P243" s="6" t="n">
        <v>1</v>
      </c>
    </row>
    <row r="244" customFormat="false" ht="15" hidden="false" customHeight="false" outlineLevel="0" collapsed="false">
      <c r="A244" s="6" t="n">
        <v>239</v>
      </c>
      <c r="B244" s="5" t="s">
        <v>76</v>
      </c>
      <c r="C244" s="5" t="s">
        <v>30</v>
      </c>
      <c r="D244" s="11" t="n">
        <v>46241</v>
      </c>
      <c r="E244" s="11" t="n">
        <v>46242</v>
      </c>
      <c r="F244" s="5" t="s">
        <v>75</v>
      </c>
      <c r="G244" s="12" t="n">
        <v>267698.28648402</v>
      </c>
      <c r="H244" s="13" t="n">
        <v>2.64</v>
      </c>
      <c r="I244" s="13" t="n">
        <v>2.684</v>
      </c>
      <c r="K244" s="8" t="n">
        <v>26.6439103154752</v>
      </c>
      <c r="L244" s="8" t="n">
        <v>-5125.13780558474</v>
      </c>
      <c r="M244" s="8" t="n">
        <f aca="false">M243+L244</f>
        <v>-149414.507717086</v>
      </c>
      <c r="N244" s="5" t="str">
        <f aca="false">IF(L244&gt;0,"прибыль",IF(L244&lt;0,"убыток","ноль"))</f>
        <v>убыток</v>
      </c>
      <c r="O244" s="6" t="n">
        <f aca="false">IF(L244&lt;0,O243+1,0)</f>
        <v>4</v>
      </c>
      <c r="P244" s="6" t="n">
        <v>1</v>
      </c>
    </row>
    <row r="245" customFormat="false" ht="15" hidden="false" customHeight="false" outlineLevel="0" collapsed="false">
      <c r="A245" s="6" t="n">
        <v>240</v>
      </c>
      <c r="B245" s="5" t="s">
        <v>76</v>
      </c>
      <c r="C245" s="5" t="s">
        <v>25</v>
      </c>
      <c r="D245" s="11" t="n">
        <v>46242</v>
      </c>
      <c r="E245" s="11" t="n">
        <v>46246</v>
      </c>
      <c r="F245" s="5" t="s">
        <v>75</v>
      </c>
      <c r="G245" s="12" t="n">
        <v>116472.168114142</v>
      </c>
      <c r="H245" s="13" t="n">
        <v>82.49</v>
      </c>
      <c r="I245" s="13" t="n">
        <v>90.1</v>
      </c>
      <c r="K245" s="8" t="n">
        <v>12.1619499710957</v>
      </c>
      <c r="L245" s="8" t="n">
        <v>-11348.005759079</v>
      </c>
      <c r="M245" s="8" t="n">
        <f aca="false">M244+L245</f>
        <v>-160762.513476165</v>
      </c>
      <c r="N245" s="5" t="str">
        <f aca="false">IF(L245&gt;0,"прибыль",IF(L245&lt;0,"убыток","ноль"))</f>
        <v>убыток</v>
      </c>
      <c r="O245" s="6" t="n">
        <f aca="false">IF(L245&lt;0,O244+1,0)</f>
        <v>5</v>
      </c>
      <c r="P245" s="6" t="n">
        <v>4</v>
      </c>
    </row>
    <row r="246" customFormat="false" ht="15" hidden="false" customHeight="false" outlineLevel="0" collapsed="false">
      <c r="A246" s="6" t="n">
        <v>241</v>
      </c>
      <c r="B246" s="5" t="s">
        <v>76</v>
      </c>
      <c r="C246" s="5" t="s">
        <v>30</v>
      </c>
      <c r="D246" s="11" t="n">
        <v>46242</v>
      </c>
      <c r="E246" s="11" t="n">
        <v>46246</v>
      </c>
      <c r="F246" s="5" t="s">
        <v>73</v>
      </c>
      <c r="G246" s="12" t="n">
        <v>260081.425930215</v>
      </c>
      <c r="H246" s="13" t="n">
        <v>2.684</v>
      </c>
      <c r="I246" s="13" t="n">
        <v>2.779</v>
      </c>
      <c r="K246" s="8" t="n">
        <v>25.7361765816325</v>
      </c>
      <c r="L246" s="8" t="n">
        <v>8528.44667590803</v>
      </c>
      <c r="M246" s="8" t="n">
        <f aca="false">M245+L246</f>
        <v>-152234.066800257</v>
      </c>
      <c r="N246" s="5" t="str">
        <f aca="false">IF(L246&gt;0,"прибыль",IF(L246&lt;0,"убыток","ноль"))</f>
        <v>прибыль</v>
      </c>
      <c r="O246" s="6" t="n">
        <f aca="false">IF(L246&lt;0,O245+1,0)</f>
        <v>0</v>
      </c>
      <c r="P246" s="6" t="n">
        <v>4</v>
      </c>
    </row>
    <row r="247" customFormat="false" ht="15" hidden="false" customHeight="false" outlineLevel="0" collapsed="false">
      <c r="A247" s="6" t="n">
        <v>242</v>
      </c>
      <c r="B247" s="5" t="s">
        <v>76</v>
      </c>
      <c r="C247" s="5" t="s">
        <v>25</v>
      </c>
      <c r="D247" s="11" t="n">
        <v>46246</v>
      </c>
      <c r="E247" s="11" t="n">
        <v>46264</v>
      </c>
      <c r="F247" s="5" t="s">
        <v>73</v>
      </c>
      <c r="G247" s="12" t="n">
        <v>195650.246047542</v>
      </c>
      <c r="H247" s="13" t="n">
        <v>90.1</v>
      </c>
      <c r="I247" s="13" t="n">
        <v>89.31</v>
      </c>
      <c r="K247" s="8" t="n">
        <v>24.2920057738195</v>
      </c>
      <c r="L247" s="8" t="n">
        <v>-1958.46189297853</v>
      </c>
      <c r="M247" s="8" t="n">
        <f aca="false">M246+L247</f>
        <v>-154192.528693235</v>
      </c>
      <c r="N247" s="5" t="str">
        <f aca="false">IF(L247&gt;0,"прибыль",IF(L247&lt;0,"убыток","ноль"))</f>
        <v>убыток</v>
      </c>
      <c r="O247" s="6" t="n">
        <f aca="false">IF(L247&lt;0,O246+1,0)</f>
        <v>1</v>
      </c>
      <c r="P247" s="6" t="n">
        <v>16</v>
      </c>
    </row>
    <row r="248" customFormat="false" ht="15" hidden="false" customHeight="false" outlineLevel="0" collapsed="false">
      <c r="A248" s="6" t="n">
        <v>243</v>
      </c>
      <c r="B248" s="5" t="s">
        <v>76</v>
      </c>
      <c r="C248" s="5" t="s">
        <v>30</v>
      </c>
      <c r="D248" s="11" t="n">
        <v>46246</v>
      </c>
      <c r="E248" s="11" t="n">
        <v>46264</v>
      </c>
      <c r="F248" s="5" t="s">
        <v>75</v>
      </c>
      <c r="G248" s="12" t="n">
        <v>246087.922849945</v>
      </c>
      <c r="H248" s="13" t="n">
        <v>2.779</v>
      </c>
      <c r="I248" s="13" t="n">
        <v>2.901</v>
      </c>
      <c r="J248" s="5" t="s">
        <v>74</v>
      </c>
      <c r="K248" s="8" t="n">
        <v>27.5614457083368</v>
      </c>
      <c r="L248" s="8" t="n">
        <v>-3516.10574350689</v>
      </c>
      <c r="M248" s="8" t="n">
        <f aca="false">M247+L248</f>
        <v>-157708.634436742</v>
      </c>
      <c r="N248" s="5" t="str">
        <f aca="false">IF(L248&gt;0,"прибыль",IF(L248&lt;0,"убыток","ноль"))</f>
        <v>убыток</v>
      </c>
      <c r="O248" s="6" t="n">
        <f aca="false">IF(L248&lt;0,O247+1,0)</f>
        <v>2</v>
      </c>
      <c r="P248" s="6" t="n">
        <v>16</v>
      </c>
    </row>
    <row r="249" customFormat="false" ht="15" hidden="false" customHeight="false" outlineLevel="0" collapsed="false">
      <c r="A249" s="6" t="n">
        <v>244</v>
      </c>
      <c r="B249" s="5" t="s">
        <v>76</v>
      </c>
      <c r="C249" s="5" t="s">
        <v>25</v>
      </c>
      <c r="D249" s="11" t="n">
        <v>46264</v>
      </c>
      <c r="E249" s="11" t="n">
        <v>46275</v>
      </c>
      <c r="F249" s="5" t="s">
        <v>75</v>
      </c>
      <c r="G249" s="12" t="n">
        <v>211904.780767175</v>
      </c>
      <c r="H249" s="13" t="n">
        <v>89.31</v>
      </c>
      <c r="I249" s="13" t="n">
        <v>100.97</v>
      </c>
      <c r="J249" s="5" t="s">
        <v>74</v>
      </c>
      <c r="K249" s="8" t="n">
        <v>24.0622089943404</v>
      </c>
      <c r="L249" s="8" t="n">
        <v>-22830.2220337309</v>
      </c>
      <c r="M249" s="8" t="n">
        <f aca="false">M248+L249</f>
        <v>-180538.856470473</v>
      </c>
      <c r="N249" s="5" t="str">
        <f aca="false">IF(L249&gt;0,"прибыль",IF(L249&lt;0,"убыток","ноль"))</f>
        <v>убыток</v>
      </c>
      <c r="O249" s="6" t="n">
        <f aca="false">IF(L249&lt;0,O248+1,0)</f>
        <v>3</v>
      </c>
      <c r="P249" s="6" t="n">
        <v>11</v>
      </c>
    </row>
    <row r="250" customFormat="false" ht="15" hidden="false" customHeight="false" outlineLevel="0" collapsed="false">
      <c r="A250" s="6" t="n">
        <v>245</v>
      </c>
      <c r="B250" s="5" t="s">
        <v>76</v>
      </c>
      <c r="C250" s="5" t="s">
        <v>30</v>
      </c>
      <c r="D250" s="11" t="n">
        <v>46264</v>
      </c>
      <c r="E250" s="11" t="n">
        <v>46275</v>
      </c>
      <c r="F250" s="5" t="s">
        <v>73</v>
      </c>
      <c r="G250" s="12" t="n">
        <v>398451.773262717</v>
      </c>
      <c r="H250" s="13" t="n">
        <v>2.901</v>
      </c>
      <c r="I250" s="13" t="n">
        <v>2.804</v>
      </c>
      <c r="K250" s="8" t="n">
        <v>39.4369818612961</v>
      </c>
      <c r="L250" s="8" t="n">
        <v>-16105.670208183</v>
      </c>
      <c r="M250" s="8" t="n">
        <f aca="false">M249+L250</f>
        <v>-196644.526678656</v>
      </c>
      <c r="N250" s="5" t="str">
        <f aca="false">IF(L250&gt;0,"прибыль",IF(L250&lt;0,"убыток","ноль"))</f>
        <v>убыток</v>
      </c>
      <c r="O250" s="6" t="n">
        <f aca="false">IF(L250&lt;0,O249+1,0)</f>
        <v>4</v>
      </c>
      <c r="P250" s="6" t="n">
        <v>11</v>
      </c>
    </row>
    <row r="251" customFormat="false" ht="15" hidden="false" customHeight="false" outlineLevel="0" collapsed="false">
      <c r="A251" s="6" t="n">
        <v>246</v>
      </c>
      <c r="B251" s="5" t="s">
        <v>76</v>
      </c>
      <c r="C251" s="5" t="s">
        <v>25</v>
      </c>
      <c r="D251" s="11" t="n">
        <v>46275</v>
      </c>
      <c r="E251" s="11" t="n">
        <v>46276</v>
      </c>
      <c r="F251" s="5" t="s">
        <v>73</v>
      </c>
      <c r="G251" s="12" t="n">
        <v>68422.0463682238</v>
      </c>
      <c r="H251" s="13" t="n">
        <v>100.97</v>
      </c>
      <c r="I251" s="13" t="n">
        <v>108.66</v>
      </c>
      <c r="K251" s="8" t="n">
        <v>3.67152368922437</v>
      </c>
      <c r="L251" s="8" t="n">
        <v>5004.75589257435</v>
      </c>
      <c r="M251" s="8" t="n">
        <f aca="false">M250+L251</f>
        <v>-191639.770786082</v>
      </c>
      <c r="N251" s="5" t="str">
        <f aca="false">IF(L251&gt;0,"прибыль",IF(L251&lt;0,"убыток","ноль"))</f>
        <v>прибыль</v>
      </c>
      <c r="O251" s="6" t="n">
        <f aca="false">IF(L251&lt;0,O250+1,0)</f>
        <v>0</v>
      </c>
      <c r="P251" s="6" t="n">
        <v>1</v>
      </c>
    </row>
    <row r="252" customFormat="false" ht="15" hidden="false" customHeight="false" outlineLevel="0" collapsed="false">
      <c r="A252" s="6" t="n">
        <v>247</v>
      </c>
      <c r="B252" s="5" t="s">
        <v>76</v>
      </c>
      <c r="C252" s="5" t="s">
        <v>30</v>
      </c>
      <c r="D252" s="11" t="n">
        <v>46275</v>
      </c>
      <c r="E252" s="11" t="n">
        <v>46276</v>
      </c>
      <c r="F252" s="5" t="s">
        <v>75</v>
      </c>
      <c r="G252" s="12" t="n">
        <v>4.01235086217212E-011</v>
      </c>
      <c r="H252" s="13" t="n">
        <v>2.804</v>
      </c>
      <c r="I252" s="13" t="n">
        <v>2.838</v>
      </c>
      <c r="K252" s="8" t="n">
        <v>2.03475058085799E-015</v>
      </c>
      <c r="L252" s="8" t="n">
        <v>-5.73537746019364E-013</v>
      </c>
      <c r="M252" s="8" t="n">
        <f aca="false">M251+L252</f>
        <v>-191639.770786082</v>
      </c>
      <c r="N252" s="5" t="str">
        <f aca="false">IF(L252&gt;0,"прибыль",IF(L252&lt;0,"убыток","ноль"))</f>
        <v>убыток</v>
      </c>
      <c r="O252" s="6" t="n">
        <f aca="false">IF(L252&lt;0,O251+1,0)</f>
        <v>1</v>
      </c>
      <c r="P252" s="6" t="n">
        <v>1</v>
      </c>
    </row>
    <row r="253" customFormat="false" ht="15" hidden="false" customHeight="false" outlineLevel="0" collapsed="false">
      <c r="A253" s="6" t="n">
        <v>248</v>
      </c>
      <c r="B253" s="5" t="s">
        <v>76</v>
      </c>
      <c r="C253" s="5" t="s">
        <v>30</v>
      </c>
      <c r="D253" s="11" t="n">
        <v>46276</v>
      </c>
      <c r="E253" s="11" t="n">
        <v>46288</v>
      </c>
      <c r="F253" s="5" t="s">
        <v>75</v>
      </c>
      <c r="G253" s="12" t="n">
        <v>121441.365107834</v>
      </c>
      <c r="H253" s="13" t="n">
        <v>2.838</v>
      </c>
      <c r="I253" s="13" t="n">
        <v>3.023</v>
      </c>
      <c r="K253" s="8" t="n">
        <v>6.56249078213778</v>
      </c>
      <c r="L253" s="8" t="n">
        <v>-9815.01302570342</v>
      </c>
      <c r="M253" s="8" t="n">
        <f aca="false">M252+L253</f>
        <v>-201454.783811785</v>
      </c>
      <c r="N253" s="5" t="str">
        <f aca="false">IF(L253&gt;0,"прибыль",IF(L253&lt;0,"убыток","ноль"))</f>
        <v>убыток</v>
      </c>
      <c r="O253" s="6" t="n">
        <f aca="false">IF(L253&lt;0,O252+1,0)</f>
        <v>2</v>
      </c>
      <c r="P253" s="6" t="n">
        <v>10</v>
      </c>
    </row>
    <row r="254" customFormat="false" ht="15" hidden="false" customHeight="false" outlineLevel="0" collapsed="false">
      <c r="A254" s="6" t="n">
        <v>249</v>
      </c>
      <c r="B254" s="5" t="s">
        <v>76</v>
      </c>
      <c r="C254" s="5" t="s">
        <v>30</v>
      </c>
      <c r="D254" s="11" t="n">
        <v>46288</v>
      </c>
      <c r="E254" s="11" t="n">
        <v>46290</v>
      </c>
      <c r="F254" s="5" t="s">
        <v>75</v>
      </c>
      <c r="G254" s="12" t="n">
        <v>39362.6899179871</v>
      </c>
      <c r="H254" s="13" t="n">
        <v>3.023</v>
      </c>
      <c r="I254" s="13" t="n">
        <v>3.183</v>
      </c>
      <c r="K254" s="8" t="n">
        <v>2.24013141961511</v>
      </c>
      <c r="L254" s="8" t="n">
        <v>-5442.1786057346</v>
      </c>
      <c r="M254" s="8" t="n">
        <f aca="false">M253+L254</f>
        <v>-206896.96241752</v>
      </c>
      <c r="N254" s="5" t="str">
        <f aca="false">IF(L254&gt;0,"прибыль",IF(L254&lt;0,"убыток","ноль"))</f>
        <v>убыток</v>
      </c>
      <c r="O254" s="6" t="n">
        <f aca="false">IF(L254&lt;0,O253+1,0)</f>
        <v>3</v>
      </c>
      <c r="P254" s="6" t="n">
        <v>2</v>
      </c>
    </row>
    <row r="255" customFormat="false" ht="15" hidden="false" customHeight="false" outlineLevel="0" collapsed="false">
      <c r="A255" s="6" t="n">
        <v>250</v>
      </c>
      <c r="B255" s="5" t="s">
        <v>76</v>
      </c>
      <c r="C255" s="5" t="s">
        <v>25</v>
      </c>
      <c r="E255" s="11" t="n">
        <v>46298</v>
      </c>
      <c r="F255" s="5" t="s">
        <v>73</v>
      </c>
      <c r="I255" s="13" t="n">
        <v>102.44</v>
      </c>
      <c r="L255" s="8" t="n">
        <v>4539.11880965906</v>
      </c>
      <c r="M255" s="8" t="n">
        <f aca="false">M254+L255</f>
        <v>-202357.843607861</v>
      </c>
      <c r="N255" s="5" t="str">
        <f aca="false">IF(L255&gt;0,"прибыль",IF(L255&lt;0,"убыток","ноль"))</f>
        <v>прибыль</v>
      </c>
      <c r="O255" s="6" t="n">
        <f aca="false">IF(L255&lt;0,O254+1,0)</f>
        <v>0</v>
      </c>
      <c r="Q255" s="5" t="s">
        <v>77</v>
      </c>
    </row>
    <row r="256" customFormat="false" ht="15" hidden="false" customHeight="false" outlineLevel="0" collapsed="false">
      <c r="A256" s="6" t="n">
        <v>251</v>
      </c>
      <c r="B256" s="5" t="s">
        <v>76</v>
      </c>
      <c r="C256" s="5" t="s">
        <v>30</v>
      </c>
      <c r="E256" s="11" t="n">
        <v>46298</v>
      </c>
      <c r="F256" s="5" t="s">
        <v>75</v>
      </c>
      <c r="I256" s="13" t="n">
        <v>3.043</v>
      </c>
      <c r="L256" s="8" t="n">
        <v>-15414.9262857759</v>
      </c>
      <c r="M256" s="8" t="n">
        <f aca="false">M255+L256</f>
        <v>-217772.769893637</v>
      </c>
      <c r="N256" s="5" t="str">
        <f aca="false">IF(L256&gt;0,"прибыль",IF(L256&lt;0,"убыток","ноль"))</f>
        <v>убыток</v>
      </c>
      <c r="O256" s="6" t="n">
        <f aca="false">IF(L256&lt;0,O255+1,0)</f>
        <v>1</v>
      </c>
      <c r="Q256" s="5" t="s">
        <v>77</v>
      </c>
    </row>
  </sheetData>
  <autoFilter ref="A5:Q2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5" min="4" style="0" width="17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9" min="8" style="0" width="12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7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60"/>
  </cols>
  <sheetData>
    <row r="1" customFormat="false" ht="15" hidden="false" customHeight="false" outlineLevel="0" collapsed="false">
      <c r="A1" s="10" t="s">
        <v>44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A3" s="2" t="s">
        <v>54</v>
      </c>
    </row>
    <row r="5" customFormat="false" ht="30" hidden="false" customHeight="true" outlineLevel="0" collapsed="false">
      <c r="A5" s="3" t="s">
        <v>55</v>
      </c>
      <c r="B5" s="3" t="s">
        <v>56</v>
      </c>
      <c r="C5" s="3" t="s">
        <v>57</v>
      </c>
      <c r="D5" s="3" t="s">
        <v>58</v>
      </c>
      <c r="E5" s="3" t="s">
        <v>59</v>
      </c>
      <c r="F5" s="3" t="s">
        <v>60</v>
      </c>
      <c r="G5" s="3" t="s">
        <v>61</v>
      </c>
      <c r="H5" s="3" t="s">
        <v>62</v>
      </c>
      <c r="I5" s="3" t="s">
        <v>63</v>
      </c>
      <c r="J5" s="3" t="s">
        <v>64</v>
      </c>
      <c r="K5" s="3" t="s">
        <v>65</v>
      </c>
      <c r="L5" s="3" t="s">
        <v>66</v>
      </c>
      <c r="M5" s="3" t="s">
        <v>67</v>
      </c>
      <c r="N5" s="3" t="s">
        <v>68</v>
      </c>
      <c r="O5" s="3" t="s">
        <v>69</v>
      </c>
      <c r="P5" s="3" t="s">
        <v>70</v>
      </c>
      <c r="Q5" s="3" t="s">
        <v>71</v>
      </c>
    </row>
    <row r="6" customFormat="false" ht="15" hidden="false" customHeight="false" outlineLevel="0" collapsed="false">
      <c r="A6" s="6" t="n">
        <v>1</v>
      </c>
      <c r="B6" s="5" t="s">
        <v>72</v>
      </c>
      <c r="C6" s="5" t="s">
        <v>25</v>
      </c>
      <c r="D6" s="11" t="n">
        <v>40988</v>
      </c>
      <c r="E6" s="11" t="n">
        <v>41017</v>
      </c>
      <c r="F6" s="5" t="s">
        <v>75</v>
      </c>
      <c r="G6" s="12" t="n">
        <v>949683.196325068</v>
      </c>
      <c r="H6" s="13" t="n">
        <v>125.35</v>
      </c>
      <c r="I6" s="13" t="n">
        <v>118.75</v>
      </c>
      <c r="J6" s="5" t="s">
        <v>74</v>
      </c>
      <c r="K6" s="8" t="n">
        <v>137.237471754738</v>
      </c>
      <c r="L6" s="8" t="n">
        <v>17531.5193723607</v>
      </c>
      <c r="M6" s="8" t="n">
        <f aca="false">L6</f>
        <v>17531.5193723607</v>
      </c>
      <c r="N6" s="5" t="str">
        <f aca="false">IF(L6&gt;0,"прибыль",IF(L6&lt;0,"убыток","ноль"))</f>
        <v>прибыль</v>
      </c>
      <c r="O6" s="6" t="n">
        <f aca="false">IF(L6&lt;0,1,0)</f>
        <v>0</v>
      </c>
      <c r="P6" s="6" t="n">
        <v>21</v>
      </c>
    </row>
    <row r="7" customFormat="false" ht="15" hidden="false" customHeight="false" outlineLevel="0" collapsed="false">
      <c r="A7" s="6" t="n">
        <v>2</v>
      </c>
      <c r="B7" s="5" t="s">
        <v>72</v>
      </c>
      <c r="C7" s="5" t="s">
        <v>25</v>
      </c>
      <c r="D7" s="11" t="n">
        <v>41017</v>
      </c>
      <c r="E7" s="11" t="n">
        <v>41065</v>
      </c>
      <c r="F7" s="5" t="s">
        <v>73</v>
      </c>
      <c r="G7" s="12" t="n">
        <v>221728.216984644</v>
      </c>
      <c r="H7" s="13" t="n">
        <v>118.75</v>
      </c>
      <c r="I7" s="13" t="n">
        <v>99.2</v>
      </c>
      <c r="J7" s="5" t="s">
        <v>74</v>
      </c>
      <c r="K7" s="8" t="n">
        <v>18.7011622515676</v>
      </c>
      <c r="L7" s="8" t="n">
        <v>-28646.0816779236</v>
      </c>
      <c r="M7" s="8" t="n">
        <f aca="false">M6+L7</f>
        <v>-11114.5623055629</v>
      </c>
      <c r="N7" s="5" t="str">
        <f aca="false">IF(L7&gt;0,"прибыль",IF(L7&lt;0,"убыток","ноль"))</f>
        <v>убыток</v>
      </c>
      <c r="O7" s="6" t="n">
        <f aca="false">IF(L7&lt;0,O6+1,0)</f>
        <v>1</v>
      </c>
      <c r="P7" s="6" t="n">
        <v>34</v>
      </c>
    </row>
    <row r="8" customFormat="false" ht="15" hidden="false" customHeight="false" outlineLevel="0" collapsed="false">
      <c r="A8" s="6" t="n">
        <v>3</v>
      </c>
      <c r="B8" s="5" t="s">
        <v>72</v>
      </c>
      <c r="C8" s="5" t="s">
        <v>25</v>
      </c>
      <c r="D8" s="11" t="n">
        <v>41065</v>
      </c>
      <c r="E8" s="11" t="n">
        <v>41079</v>
      </c>
      <c r="F8" s="5" t="s">
        <v>73</v>
      </c>
      <c r="G8" s="12" t="n">
        <v>822245.990866479</v>
      </c>
      <c r="H8" s="13" t="n">
        <v>99.2</v>
      </c>
      <c r="I8" s="13" t="n">
        <v>95.89</v>
      </c>
      <c r="J8" s="5" t="s">
        <v>74</v>
      </c>
      <c r="K8" s="8" t="n">
        <v>34.3156191651321</v>
      </c>
      <c r="L8" s="8" t="n">
        <v>-135967.923183003</v>
      </c>
      <c r="M8" s="8" t="n">
        <f aca="false">M7+L8</f>
        <v>-147082.485488566</v>
      </c>
      <c r="N8" s="5" t="str">
        <f aca="false">IF(L8&gt;0,"прибыль",IF(L8&lt;0,"убыток","ноль"))</f>
        <v>убыток</v>
      </c>
      <c r="O8" s="6" t="n">
        <f aca="false">IF(L8&lt;0,O7+1,0)</f>
        <v>2</v>
      </c>
      <c r="P8" s="6" t="n">
        <v>9</v>
      </c>
    </row>
    <row r="9" customFormat="false" ht="15" hidden="false" customHeight="false" outlineLevel="0" collapsed="false">
      <c r="A9" s="6" t="n">
        <v>4</v>
      </c>
      <c r="B9" s="5" t="s">
        <v>72</v>
      </c>
      <c r="C9" s="5" t="s">
        <v>25</v>
      </c>
      <c r="D9" s="11" t="n">
        <v>41142</v>
      </c>
      <c r="E9" s="11" t="n">
        <v>41170</v>
      </c>
      <c r="F9" s="5" t="s">
        <v>73</v>
      </c>
      <c r="G9" s="12" t="n">
        <v>1129524.45757345</v>
      </c>
      <c r="H9" s="13" t="n">
        <v>113.7</v>
      </c>
      <c r="I9" s="13" t="n">
        <v>113.15</v>
      </c>
      <c r="J9" s="5" t="s">
        <v>74</v>
      </c>
      <c r="K9" s="8" t="n">
        <v>112.541513294991</v>
      </c>
      <c r="L9" s="8" t="n">
        <v>-8331.19076037973</v>
      </c>
      <c r="M9" s="8" t="n">
        <f aca="false">M8+L9</f>
        <v>-155413.676248946</v>
      </c>
      <c r="N9" s="5" t="str">
        <f aca="false">IF(L9&gt;0,"прибыль",IF(L9&lt;0,"убыток","ноль"))</f>
        <v>убыток</v>
      </c>
      <c r="O9" s="6" t="n">
        <f aca="false">IF(L9&lt;0,O8+1,0)</f>
        <v>3</v>
      </c>
      <c r="P9" s="6" t="n">
        <v>20</v>
      </c>
    </row>
    <row r="10" customFormat="false" ht="15" hidden="false" customHeight="false" outlineLevel="0" collapsed="false">
      <c r="A10" s="6" t="n">
        <v>5</v>
      </c>
      <c r="B10" s="5" t="s">
        <v>72</v>
      </c>
      <c r="C10" s="5" t="s">
        <v>25</v>
      </c>
      <c r="D10" s="11" t="n">
        <v>41201</v>
      </c>
      <c r="E10" s="11" t="n">
        <v>41220</v>
      </c>
      <c r="F10" s="5" t="s">
        <v>73</v>
      </c>
      <c r="G10" s="12" t="n">
        <v>335403.259018202</v>
      </c>
      <c r="H10" s="13" t="n">
        <v>112.55</v>
      </c>
      <c r="I10" s="13" t="n">
        <v>110.7</v>
      </c>
      <c r="K10" s="8" t="n">
        <v>63.49600906138</v>
      </c>
      <c r="L10" s="8" t="n">
        <v>-892.199574985375</v>
      </c>
      <c r="M10" s="8" t="n">
        <f aca="false">M9+L10</f>
        <v>-156305.875823931</v>
      </c>
      <c r="N10" s="5" t="str">
        <f aca="false">IF(L10&gt;0,"прибыль",IF(L10&lt;0,"убыток","ноль"))</f>
        <v>убыток</v>
      </c>
      <c r="O10" s="6" t="n">
        <f aca="false">IF(L10&lt;0,O9+1,0)</f>
        <v>4</v>
      </c>
      <c r="P10" s="6" t="n">
        <v>12</v>
      </c>
    </row>
    <row r="11" customFormat="false" ht="15" hidden="false" customHeight="false" outlineLevel="0" collapsed="false">
      <c r="A11" s="6" t="n">
        <v>6</v>
      </c>
      <c r="B11" s="5" t="s">
        <v>72</v>
      </c>
      <c r="C11" s="5" t="s">
        <v>25</v>
      </c>
      <c r="D11" s="11" t="n">
        <v>41220</v>
      </c>
      <c r="E11" s="11" t="n">
        <v>41262</v>
      </c>
      <c r="F11" s="5" t="s">
        <v>73</v>
      </c>
      <c r="G11" s="12" t="n">
        <v>1091334.51872009</v>
      </c>
      <c r="H11" s="13" t="n">
        <v>110.7</v>
      </c>
      <c r="I11" s="13" t="n">
        <v>108.9</v>
      </c>
      <c r="J11" s="5" t="s">
        <v>74</v>
      </c>
      <c r="K11" s="8" t="n">
        <v>79.5942348675946</v>
      </c>
      <c r="L11" s="8" t="n">
        <v>9078.43243396836</v>
      </c>
      <c r="M11" s="8" t="n">
        <f aca="false">M10+L11</f>
        <v>-147227.443389963</v>
      </c>
      <c r="N11" s="5" t="str">
        <f aca="false">IF(L11&gt;0,"прибыль",IF(L11&lt;0,"убыток","ноль"))</f>
        <v>прибыль</v>
      </c>
      <c r="O11" s="6" t="n">
        <f aca="false">IF(L11&lt;0,O10+1,0)</f>
        <v>0</v>
      </c>
      <c r="P11" s="6" t="n">
        <v>30</v>
      </c>
    </row>
    <row r="12" customFormat="false" ht="15" hidden="false" customHeight="false" outlineLevel="0" collapsed="false">
      <c r="A12" s="6" t="n">
        <v>7</v>
      </c>
      <c r="B12" s="5" t="s">
        <v>72</v>
      </c>
      <c r="C12" s="5" t="s">
        <v>25</v>
      </c>
      <c r="D12" s="11" t="n">
        <v>41443</v>
      </c>
      <c r="E12" s="11" t="n">
        <v>41474</v>
      </c>
      <c r="F12" s="5" t="s">
        <v>75</v>
      </c>
      <c r="G12" s="12" t="n">
        <v>848898.32098986</v>
      </c>
      <c r="H12" s="13" t="n">
        <v>105.66</v>
      </c>
      <c r="I12" s="13" t="n">
        <v>108.74</v>
      </c>
      <c r="J12" s="5" t="s">
        <v>74</v>
      </c>
      <c r="K12" s="8" t="n">
        <v>86.5494235199055</v>
      </c>
      <c r="L12" s="8" t="n">
        <v>-33278.3778419082</v>
      </c>
      <c r="M12" s="8" t="n">
        <f aca="false">M11+L12</f>
        <v>-180505.821231871</v>
      </c>
      <c r="N12" s="5" t="str">
        <f aca="false">IF(L12&gt;0,"прибыль",IF(L12&lt;0,"убыток","ноль"))</f>
        <v>убыток</v>
      </c>
      <c r="O12" s="6" t="n">
        <f aca="false">IF(L12&lt;0,O11+1,0)</f>
        <v>1</v>
      </c>
      <c r="P12" s="6" t="n">
        <v>23</v>
      </c>
    </row>
    <row r="13" customFormat="false" ht="15" hidden="false" customHeight="false" outlineLevel="0" collapsed="false">
      <c r="A13" s="6" t="n">
        <v>8</v>
      </c>
      <c r="B13" s="5" t="s">
        <v>72</v>
      </c>
      <c r="C13" s="5" t="s">
        <v>25</v>
      </c>
      <c r="D13" s="11" t="n">
        <v>41535</v>
      </c>
      <c r="E13" s="11" t="n">
        <v>41592</v>
      </c>
      <c r="F13" s="5" t="s">
        <v>73</v>
      </c>
      <c r="G13" s="12" t="n">
        <v>210744.689852652</v>
      </c>
      <c r="H13" s="13" t="n">
        <v>107.81</v>
      </c>
      <c r="I13" s="13" t="n">
        <v>107.28</v>
      </c>
      <c r="J13" s="5" t="s">
        <v>74</v>
      </c>
      <c r="K13" s="8" t="n">
        <v>60.3230621046497</v>
      </c>
      <c r="L13" s="8" t="n">
        <v>434.327441896249</v>
      </c>
      <c r="M13" s="8" t="n">
        <f aca="false">M12+L13</f>
        <v>-180071.493789975</v>
      </c>
      <c r="N13" s="5" t="str">
        <f aca="false">IF(L13&gt;0,"прибыль",IF(L13&lt;0,"убыток","ноль"))</f>
        <v>прибыль</v>
      </c>
      <c r="O13" s="6" t="n">
        <f aca="false">IF(L13&lt;0,O12+1,0)</f>
        <v>0</v>
      </c>
      <c r="P13" s="6" t="n">
        <v>38</v>
      </c>
    </row>
    <row r="14" customFormat="false" ht="15" hidden="false" customHeight="false" outlineLevel="0" collapsed="false">
      <c r="A14" s="6" t="n">
        <v>9</v>
      </c>
      <c r="B14" s="5" t="s">
        <v>72</v>
      </c>
      <c r="C14" s="5" t="s">
        <v>25</v>
      </c>
      <c r="D14" s="11" t="n">
        <v>41592</v>
      </c>
      <c r="E14" s="11" t="n">
        <v>41597</v>
      </c>
      <c r="F14" s="5" t="s">
        <v>73</v>
      </c>
      <c r="G14" s="12" t="n">
        <v>784477.211883691</v>
      </c>
      <c r="H14" s="13" t="n">
        <v>107.28</v>
      </c>
      <c r="I14" s="13" t="n">
        <v>108.35</v>
      </c>
      <c r="J14" s="5" t="s">
        <v>74</v>
      </c>
      <c r="K14" s="8" t="n">
        <v>39.8106243912447</v>
      </c>
      <c r="L14" s="8" t="n">
        <v>11695.4653168128</v>
      </c>
      <c r="M14" s="8" t="n">
        <f aca="false">M13+L14</f>
        <v>-168376.028473162</v>
      </c>
      <c r="N14" s="5" t="str">
        <f aca="false">IF(L14&gt;0,"прибыль",IF(L14&lt;0,"убыток","ноль"))</f>
        <v>прибыль</v>
      </c>
      <c r="O14" s="6" t="n">
        <f aca="false">IF(L14&lt;0,O13+1,0)</f>
        <v>0</v>
      </c>
      <c r="P14" s="6" t="n">
        <v>3</v>
      </c>
    </row>
    <row r="15" customFormat="false" ht="15" hidden="false" customHeight="false" outlineLevel="0" collapsed="false">
      <c r="A15" s="6" t="n">
        <v>10</v>
      </c>
      <c r="B15" s="5" t="s">
        <v>72</v>
      </c>
      <c r="C15" s="5" t="s">
        <v>25</v>
      </c>
      <c r="D15" s="11" t="n">
        <v>41627</v>
      </c>
      <c r="E15" s="11" t="n">
        <v>41660</v>
      </c>
      <c r="F15" s="5" t="s">
        <v>73</v>
      </c>
      <c r="G15" s="12" t="n">
        <v>956122.268953376</v>
      </c>
      <c r="H15" s="13" t="n">
        <v>109.52</v>
      </c>
      <c r="I15" s="13" t="n">
        <v>106.4</v>
      </c>
      <c r="J15" s="5" t="s">
        <v>74</v>
      </c>
      <c r="K15" s="8" t="n">
        <v>94.4685195470047</v>
      </c>
      <c r="L15" s="8" t="n">
        <v>-22968.6154862051</v>
      </c>
      <c r="M15" s="8" t="n">
        <f aca="false">M14+L15</f>
        <v>-191344.643959367</v>
      </c>
      <c r="N15" s="5" t="str">
        <f aca="false">IF(L15&gt;0,"прибыль",IF(L15&lt;0,"убыток","ноль"))</f>
        <v>убыток</v>
      </c>
      <c r="O15" s="6" t="n">
        <f aca="false">IF(L15&lt;0,O14+1,0)</f>
        <v>1</v>
      </c>
      <c r="P15" s="6" t="n">
        <v>18</v>
      </c>
    </row>
    <row r="16" customFormat="false" ht="15" hidden="false" customHeight="false" outlineLevel="0" collapsed="false">
      <c r="A16" s="6" t="n">
        <v>11</v>
      </c>
      <c r="B16" s="5" t="s">
        <v>72</v>
      </c>
      <c r="C16" s="5" t="s">
        <v>25</v>
      </c>
      <c r="D16" s="11" t="n">
        <v>41717</v>
      </c>
      <c r="E16" s="11" t="n">
        <v>41747</v>
      </c>
      <c r="F16" s="5" t="s">
        <v>73</v>
      </c>
      <c r="G16" s="12" t="n">
        <v>1050426.71083185</v>
      </c>
      <c r="H16" s="13" t="n">
        <v>106.71</v>
      </c>
      <c r="I16" s="13" t="n">
        <v>109.79</v>
      </c>
      <c r="J16" s="5" t="s">
        <v>74</v>
      </c>
      <c r="K16" s="8" t="n">
        <v>106.099349730763</v>
      </c>
      <c r="L16" s="8" t="n">
        <v>21027.4736018273</v>
      </c>
      <c r="M16" s="8" t="n">
        <f aca="false">M15+L16</f>
        <v>-170317.17035754</v>
      </c>
      <c r="N16" s="5" t="str">
        <f aca="false">IF(L16&gt;0,"прибыль",IF(L16&lt;0,"убыток","ноль"))</f>
        <v>прибыль</v>
      </c>
      <c r="O16" s="6" t="n">
        <f aca="false">IF(L16&lt;0,O15+1,0)</f>
        <v>0</v>
      </c>
      <c r="P16" s="6" t="n">
        <v>22</v>
      </c>
    </row>
    <row r="17" customFormat="false" ht="15" hidden="false" customHeight="false" outlineLevel="0" collapsed="false">
      <c r="A17" s="6" t="n">
        <v>12</v>
      </c>
      <c r="B17" s="5" t="s">
        <v>72</v>
      </c>
      <c r="C17" s="5" t="s">
        <v>25</v>
      </c>
      <c r="D17" s="11" t="n">
        <v>41841</v>
      </c>
      <c r="E17" s="11" t="n">
        <v>41856</v>
      </c>
      <c r="F17" s="5" t="s">
        <v>75</v>
      </c>
      <c r="G17" s="12" t="n">
        <v>333787.238583888</v>
      </c>
      <c r="H17" s="13" t="n">
        <v>107.26</v>
      </c>
      <c r="I17" s="13" t="n">
        <v>105.53</v>
      </c>
      <c r="K17" s="8" t="n">
        <v>95.8153412737419</v>
      </c>
      <c r="L17" s="8" t="n">
        <v>4869.99042920798</v>
      </c>
      <c r="M17" s="8" t="n">
        <f aca="false">M16+L17</f>
        <v>-165447.179928332</v>
      </c>
      <c r="N17" s="5" t="str">
        <f aca="false">IF(L17&gt;0,"прибыль",IF(L17&lt;0,"убыток","ноль"))</f>
        <v>прибыль</v>
      </c>
      <c r="O17" s="6" t="n">
        <f aca="false">IF(L17&lt;0,O16+1,0)</f>
        <v>0</v>
      </c>
      <c r="P17" s="6" t="n">
        <v>11</v>
      </c>
    </row>
    <row r="18" customFormat="false" ht="15" hidden="false" customHeight="false" outlineLevel="0" collapsed="false">
      <c r="A18" s="6" t="n">
        <v>13</v>
      </c>
      <c r="B18" s="5" t="s">
        <v>72</v>
      </c>
      <c r="C18" s="5" t="s">
        <v>25</v>
      </c>
      <c r="D18" s="11" t="n">
        <v>41856</v>
      </c>
      <c r="E18" s="11" t="n">
        <v>41870</v>
      </c>
      <c r="F18" s="5" t="s">
        <v>75</v>
      </c>
      <c r="G18" s="12" t="n">
        <v>1253698.15407754</v>
      </c>
      <c r="H18" s="13" t="n">
        <v>105.53</v>
      </c>
      <c r="I18" s="13" t="n">
        <v>101.89</v>
      </c>
      <c r="J18" s="5" t="s">
        <v>74</v>
      </c>
      <c r="K18" s="8" t="n">
        <v>58.885411341147</v>
      </c>
      <c r="L18" s="8" t="n">
        <v>75931.0418432631</v>
      </c>
      <c r="M18" s="8" t="n">
        <f aca="false">M17+L18</f>
        <v>-89516.1380850685</v>
      </c>
      <c r="N18" s="5" t="str">
        <f aca="false">IF(L18&gt;0,"прибыль",IF(L18&lt;0,"убыток","ноль"))</f>
        <v>прибыль</v>
      </c>
      <c r="O18" s="6" t="n">
        <f aca="false">IF(L18&lt;0,O17+1,0)</f>
        <v>0</v>
      </c>
      <c r="P18" s="6" t="n">
        <v>10</v>
      </c>
    </row>
    <row r="19" customFormat="false" ht="15" hidden="false" customHeight="false" outlineLevel="0" collapsed="false">
      <c r="A19" s="6" t="n">
        <v>14</v>
      </c>
      <c r="B19" s="5" t="s">
        <v>72</v>
      </c>
      <c r="C19" s="5" t="s">
        <v>25</v>
      </c>
      <c r="D19" s="11" t="n">
        <v>41900</v>
      </c>
      <c r="E19" s="11" t="n">
        <v>41936</v>
      </c>
      <c r="F19" s="5" t="s">
        <v>75</v>
      </c>
      <c r="G19" s="12" t="n">
        <v>340158.566833068</v>
      </c>
      <c r="H19" s="13" t="n">
        <v>98.68</v>
      </c>
      <c r="I19" s="13" t="n">
        <v>86.93</v>
      </c>
      <c r="J19" s="5" t="s">
        <v>74</v>
      </c>
      <c r="K19" s="8" t="n">
        <v>71.6405961857697</v>
      </c>
      <c r="L19" s="8" t="n">
        <v>45980.5267298078</v>
      </c>
      <c r="M19" s="8" t="n">
        <f aca="false">M18+L19</f>
        <v>-43535.6113552606</v>
      </c>
      <c r="N19" s="5" t="str">
        <f aca="false">IF(L19&gt;0,"прибыль",IF(L19&lt;0,"убыток","ноль"))</f>
        <v>прибыль</v>
      </c>
      <c r="O19" s="6" t="n">
        <f aca="false">IF(L19&lt;0,O18+1,0)</f>
        <v>0</v>
      </c>
      <c r="P19" s="6" t="n">
        <v>26</v>
      </c>
    </row>
    <row r="20" customFormat="false" ht="15" hidden="false" customHeight="false" outlineLevel="0" collapsed="false">
      <c r="A20" s="6" t="n">
        <v>15</v>
      </c>
      <c r="B20" s="5" t="s">
        <v>72</v>
      </c>
      <c r="C20" s="5" t="s">
        <v>25</v>
      </c>
      <c r="D20" s="11" t="n">
        <v>41936</v>
      </c>
      <c r="E20" s="11" t="n">
        <v>41971</v>
      </c>
      <c r="F20" s="5" t="s">
        <v>75</v>
      </c>
      <c r="G20" s="12" t="n">
        <v>216405.847827737</v>
      </c>
      <c r="H20" s="13" t="n">
        <v>86.93</v>
      </c>
      <c r="I20" s="13" t="n">
        <v>72.51</v>
      </c>
      <c r="J20" s="5" t="s">
        <v>74</v>
      </c>
      <c r="K20" s="8" t="n">
        <v>17.3281605871691</v>
      </c>
      <c r="L20" s="8" t="n">
        <v>56392.0934157278</v>
      </c>
      <c r="M20" s="8" t="n">
        <f aca="false">M19+L20</f>
        <v>12856.4820604672</v>
      </c>
      <c r="N20" s="5" t="str">
        <f aca="false">IF(L20&gt;0,"прибыль",IF(L20&lt;0,"убыток","ноль"))</f>
        <v>прибыль</v>
      </c>
      <c r="O20" s="6" t="n">
        <f aca="false">IF(L20&lt;0,O19+1,0)</f>
        <v>0</v>
      </c>
      <c r="P20" s="6" t="n">
        <v>24</v>
      </c>
    </row>
    <row r="21" customFormat="false" ht="15" hidden="false" customHeight="false" outlineLevel="0" collapsed="false">
      <c r="A21" s="6" t="n">
        <v>16</v>
      </c>
      <c r="B21" s="5" t="s">
        <v>72</v>
      </c>
      <c r="C21" s="5" t="s">
        <v>25</v>
      </c>
      <c r="D21" s="11" t="n">
        <v>41971</v>
      </c>
      <c r="E21" s="11" t="n">
        <v>41997</v>
      </c>
      <c r="F21" s="5" t="s">
        <v>75</v>
      </c>
      <c r="G21" s="12" t="n">
        <v>174701.574133594</v>
      </c>
      <c r="H21" s="13" t="n">
        <v>72.51</v>
      </c>
      <c r="I21" s="13" t="n">
        <v>61.56</v>
      </c>
      <c r="J21" s="5" t="s">
        <v>74</v>
      </c>
      <c r="K21" s="8" t="n">
        <v>5.37746773022919</v>
      </c>
      <c r="L21" s="8" t="n">
        <v>67146.8420612801</v>
      </c>
      <c r="M21" s="8" t="n">
        <f aca="false">M20+L21</f>
        <v>80003.3241217473</v>
      </c>
      <c r="N21" s="5" t="str">
        <f aca="false">IF(L21&gt;0,"прибыль",IF(L21&lt;0,"убыток","ноль"))</f>
        <v>прибыль</v>
      </c>
      <c r="O21" s="6" t="n">
        <f aca="false">IF(L21&lt;0,O20+1,0)</f>
        <v>0</v>
      </c>
      <c r="P21" s="6" t="n">
        <v>18</v>
      </c>
    </row>
    <row r="22" customFormat="false" ht="15" hidden="false" customHeight="false" outlineLevel="0" collapsed="false">
      <c r="A22" s="6" t="n">
        <v>17</v>
      </c>
      <c r="B22" s="5" t="s">
        <v>72</v>
      </c>
      <c r="C22" s="5" t="s">
        <v>25</v>
      </c>
      <c r="D22" s="11" t="n">
        <v>41997</v>
      </c>
      <c r="E22" s="11" t="n">
        <v>42038</v>
      </c>
      <c r="F22" s="5" t="s">
        <v>75</v>
      </c>
      <c r="G22" s="12" t="n">
        <v>200424.909423113</v>
      </c>
      <c r="H22" s="13" t="n">
        <v>61.56</v>
      </c>
      <c r="I22" s="13" t="n">
        <v>54.9</v>
      </c>
      <c r="J22" s="5" t="s">
        <v>74</v>
      </c>
      <c r="K22" s="8" t="n">
        <v>10.9272173746181</v>
      </c>
      <c r="L22" s="8" t="n">
        <v>84093.2095875618</v>
      </c>
      <c r="M22" s="8" t="n">
        <f aca="false">M21+L22</f>
        <v>164096.533709309</v>
      </c>
      <c r="N22" s="5" t="str">
        <f aca="false">IF(L22&gt;0,"прибыль",IF(L22&lt;0,"убыток","ноль"))</f>
        <v>прибыль</v>
      </c>
      <c r="O22" s="6" t="n">
        <f aca="false">IF(L22&lt;0,O21+1,0)</f>
        <v>0</v>
      </c>
      <c r="P22" s="6" t="n">
        <v>25</v>
      </c>
    </row>
    <row r="23" customFormat="false" ht="15" hidden="false" customHeight="false" outlineLevel="0" collapsed="false">
      <c r="A23" s="6" t="n">
        <v>18</v>
      </c>
      <c r="B23" s="5" t="s">
        <v>72</v>
      </c>
      <c r="C23" s="5" t="s">
        <v>25</v>
      </c>
      <c r="D23" s="11" t="n">
        <v>42038</v>
      </c>
      <c r="E23" s="11" t="n">
        <v>42082</v>
      </c>
      <c r="F23" s="5" t="s">
        <v>75</v>
      </c>
      <c r="G23" s="12" t="n">
        <v>563179.580611473</v>
      </c>
      <c r="H23" s="13" t="n">
        <v>54.9</v>
      </c>
      <c r="I23" s="13" t="n">
        <v>55.94</v>
      </c>
      <c r="J23" s="5" t="s">
        <v>74</v>
      </c>
      <c r="K23" s="8" t="n">
        <v>20.2230305237986</v>
      </c>
      <c r="L23" s="8" t="n">
        <v>226073.341359498</v>
      </c>
      <c r="M23" s="8" t="n">
        <f aca="false">M22+L23</f>
        <v>390169.875068807</v>
      </c>
      <c r="N23" s="5" t="str">
        <f aca="false">IF(L23&gt;0,"прибыль",IF(L23&lt;0,"убыток","ноль"))</f>
        <v>прибыль</v>
      </c>
      <c r="O23" s="6" t="n">
        <f aca="false">IF(L23&lt;0,O22+1,0)</f>
        <v>0</v>
      </c>
      <c r="P23" s="6" t="n">
        <v>30</v>
      </c>
    </row>
    <row r="24" customFormat="false" ht="15" hidden="false" customHeight="false" outlineLevel="0" collapsed="false">
      <c r="A24" s="6" t="n">
        <v>19</v>
      </c>
      <c r="B24" s="5" t="s">
        <v>72</v>
      </c>
      <c r="C24" s="5" t="s">
        <v>25</v>
      </c>
      <c r="D24" s="11" t="n">
        <v>42114</v>
      </c>
      <c r="E24" s="11" t="n">
        <v>42143</v>
      </c>
      <c r="F24" s="5" t="s">
        <v>75</v>
      </c>
      <c r="G24" s="12" t="n">
        <v>599434.218246899</v>
      </c>
      <c r="H24" s="13" t="n">
        <v>63.88</v>
      </c>
      <c r="I24" s="13" t="n">
        <v>66.28</v>
      </c>
      <c r="J24" s="5" t="s">
        <v>74</v>
      </c>
      <c r="K24" s="8" t="n">
        <v>60.5570685971986</v>
      </c>
      <c r="L24" s="8" t="n">
        <v>-12333.4925187713</v>
      </c>
      <c r="M24" s="8" t="n">
        <f aca="false">M23+L24</f>
        <v>377836.382550036</v>
      </c>
      <c r="N24" s="5" t="str">
        <f aca="false">IF(L24&gt;0,"прибыль",IF(L24&lt;0,"убыток","ноль"))</f>
        <v>убыток</v>
      </c>
      <c r="O24" s="6" t="n">
        <f aca="false">IF(L24&lt;0,O23+1,0)</f>
        <v>1</v>
      </c>
      <c r="P24" s="6" t="n">
        <v>18</v>
      </c>
    </row>
    <row r="25" customFormat="false" ht="15" hidden="false" customHeight="false" outlineLevel="0" collapsed="false">
      <c r="A25" s="6" t="n">
        <v>20</v>
      </c>
      <c r="B25" s="5" t="s">
        <v>72</v>
      </c>
      <c r="C25" s="5" t="s">
        <v>25</v>
      </c>
      <c r="D25" s="11" t="n">
        <v>42173</v>
      </c>
      <c r="E25" s="11" t="n">
        <v>42206</v>
      </c>
      <c r="F25" s="5" t="s">
        <v>75</v>
      </c>
      <c r="G25" s="12" t="n">
        <v>540180.84930686</v>
      </c>
      <c r="H25" s="13" t="n">
        <v>63.66</v>
      </c>
      <c r="I25" s="13" t="n">
        <v>56.54</v>
      </c>
      <c r="J25" s="5" t="s">
        <v>74</v>
      </c>
      <c r="K25" s="8" t="n">
        <v>51.3955562168695</v>
      </c>
      <c r="L25" s="8" t="n">
        <v>52399.178720112</v>
      </c>
      <c r="M25" s="8" t="n">
        <f aca="false">M24+L25</f>
        <v>430235.561270148</v>
      </c>
      <c r="N25" s="5" t="str">
        <f aca="false">IF(L25&gt;0,"прибыль",IF(L25&lt;0,"убыток","ноль"))</f>
        <v>прибыль</v>
      </c>
      <c r="O25" s="6" t="n">
        <f aca="false">IF(L25&lt;0,O24+1,0)</f>
        <v>0</v>
      </c>
      <c r="P25" s="6" t="n">
        <v>23</v>
      </c>
    </row>
    <row r="26" customFormat="false" ht="15" hidden="false" customHeight="false" outlineLevel="0" collapsed="false">
      <c r="A26" s="6" t="n">
        <v>21</v>
      </c>
      <c r="B26" s="5" t="s">
        <v>72</v>
      </c>
      <c r="C26" s="5" t="s">
        <v>25</v>
      </c>
      <c r="D26" s="11" t="n">
        <v>42265</v>
      </c>
      <c r="E26" s="11" t="n">
        <v>42359</v>
      </c>
      <c r="F26" s="5" t="s">
        <v>75</v>
      </c>
      <c r="G26" s="12" t="n">
        <v>582622.774380806</v>
      </c>
      <c r="H26" s="13" t="n">
        <v>49.22</v>
      </c>
      <c r="I26" s="13" t="n">
        <v>36.75</v>
      </c>
      <c r="J26" s="5" t="s">
        <v>74</v>
      </c>
      <c r="K26" s="8" t="n">
        <v>50.9647318295864</v>
      </c>
      <c r="L26" s="8" t="n">
        <v>145899.947438053</v>
      </c>
      <c r="M26" s="8" t="n">
        <f aca="false">M25+L26</f>
        <v>576135.508708201</v>
      </c>
      <c r="N26" s="5" t="str">
        <f aca="false">IF(L26&gt;0,"прибыль",IF(L26&lt;0,"убыток","ноль"))</f>
        <v>прибыль</v>
      </c>
      <c r="O26" s="6" t="n">
        <f aca="false">IF(L26&lt;0,O25+1,0)</f>
        <v>0</v>
      </c>
      <c r="P26" s="6" t="n">
        <v>65</v>
      </c>
    </row>
    <row r="27" customFormat="false" ht="15" hidden="false" customHeight="false" outlineLevel="0" collapsed="false">
      <c r="A27" s="6" t="n">
        <v>22</v>
      </c>
      <c r="B27" s="5" t="s">
        <v>72</v>
      </c>
      <c r="C27" s="5" t="s">
        <v>25</v>
      </c>
      <c r="D27" s="11" t="n">
        <v>42388</v>
      </c>
      <c r="E27" s="11" t="n">
        <v>42394</v>
      </c>
      <c r="F27" s="5" t="s">
        <v>73</v>
      </c>
      <c r="G27" s="12" t="n">
        <v>91641.0375449837</v>
      </c>
      <c r="H27" s="13" t="n">
        <v>28.89</v>
      </c>
      <c r="I27" s="13" t="n">
        <v>32.15</v>
      </c>
      <c r="K27" s="8" t="n">
        <v>20.6047783359906</v>
      </c>
      <c r="L27" s="8" t="n">
        <v>9909.62981902244</v>
      </c>
      <c r="M27" s="8" t="n">
        <f aca="false">M26+L27</f>
        <v>586045.138527223</v>
      </c>
      <c r="N27" s="5" t="str">
        <f aca="false">IF(L27&gt;0,"прибыль",IF(L27&lt;0,"убыток","ноль"))</f>
        <v>прибыль</v>
      </c>
      <c r="O27" s="6" t="n">
        <f aca="false">IF(L27&lt;0,O26+1,0)</f>
        <v>0</v>
      </c>
      <c r="P27" s="6" t="n">
        <v>4</v>
      </c>
    </row>
    <row r="28" customFormat="false" ht="15" hidden="false" customHeight="false" outlineLevel="0" collapsed="false">
      <c r="A28" s="6" t="n">
        <v>23</v>
      </c>
      <c r="B28" s="5" t="s">
        <v>72</v>
      </c>
      <c r="C28" s="5" t="s">
        <v>25</v>
      </c>
      <c r="D28" s="11" t="n">
        <v>42394</v>
      </c>
      <c r="E28" s="11" t="n">
        <v>42404</v>
      </c>
      <c r="F28" s="5" t="s">
        <v>73</v>
      </c>
      <c r="G28" s="12" t="n">
        <v>58741.9545098519</v>
      </c>
      <c r="H28" s="13" t="n">
        <v>32.15</v>
      </c>
      <c r="I28" s="13" t="n">
        <v>35.48</v>
      </c>
      <c r="J28" s="5" t="s">
        <v>74</v>
      </c>
      <c r="K28" s="8" t="n">
        <v>3.65752613500429</v>
      </c>
      <c r="L28" s="8" t="n">
        <v>14404.9106640988</v>
      </c>
      <c r="M28" s="8" t="n">
        <f aca="false">M27+L28</f>
        <v>600450.049191322</v>
      </c>
      <c r="N28" s="5" t="str">
        <f aca="false">IF(L28&gt;0,"прибыль",IF(L28&lt;0,"убыток","ноль"))</f>
        <v>прибыль</v>
      </c>
      <c r="O28" s="6" t="n">
        <f aca="false">IF(L28&lt;0,O27+1,0)</f>
        <v>0</v>
      </c>
      <c r="P28" s="6" t="n">
        <v>8</v>
      </c>
    </row>
    <row r="29" customFormat="false" ht="15" hidden="false" customHeight="false" outlineLevel="0" collapsed="false">
      <c r="A29" s="6" t="n">
        <v>24</v>
      </c>
      <c r="B29" s="5" t="s">
        <v>72</v>
      </c>
      <c r="C29" s="5" t="s">
        <v>25</v>
      </c>
      <c r="D29" s="11" t="n">
        <v>42404</v>
      </c>
      <c r="E29" s="11" t="n">
        <v>42432</v>
      </c>
      <c r="F29" s="5" t="s">
        <v>73</v>
      </c>
      <c r="G29" s="12" t="n">
        <v>205186.583409404</v>
      </c>
      <c r="H29" s="13" t="n">
        <v>35.48</v>
      </c>
      <c r="I29" s="13" t="n">
        <v>37.05</v>
      </c>
      <c r="J29" s="5" t="s">
        <v>74</v>
      </c>
      <c r="K29" s="8" t="n">
        <v>29.0147889763073</v>
      </c>
      <c r="L29" s="8" t="n">
        <v>47097.0971218985</v>
      </c>
      <c r="M29" s="8" t="n">
        <f aca="false">M28+L29</f>
        <v>647547.146313221</v>
      </c>
      <c r="N29" s="5" t="str">
        <f aca="false">IF(L29&gt;0,"прибыль",IF(L29&lt;0,"убыток","ноль"))</f>
        <v>прибыль</v>
      </c>
      <c r="O29" s="6" t="n">
        <f aca="false">IF(L29&lt;0,O28+1,0)</f>
        <v>0</v>
      </c>
      <c r="P29" s="6" t="n">
        <v>20</v>
      </c>
    </row>
    <row r="30" customFormat="false" ht="15" hidden="false" customHeight="false" outlineLevel="0" collapsed="false">
      <c r="A30" s="6" t="n">
        <v>25</v>
      </c>
      <c r="B30" s="5" t="s">
        <v>72</v>
      </c>
      <c r="C30" s="5" t="s">
        <v>25</v>
      </c>
      <c r="D30" s="11" t="n">
        <v>42432</v>
      </c>
      <c r="E30" s="11" t="n">
        <v>42465</v>
      </c>
      <c r="F30" s="5" t="s">
        <v>75</v>
      </c>
      <c r="G30" s="12" t="n">
        <v>372552.483871729</v>
      </c>
      <c r="H30" s="13" t="n">
        <v>37.05</v>
      </c>
      <c r="I30" s="13" t="n">
        <v>37.59</v>
      </c>
      <c r="J30" s="5" t="s">
        <v>74</v>
      </c>
      <c r="K30" s="8" t="n">
        <v>46.6772528404185</v>
      </c>
      <c r="L30" s="8" t="n">
        <v>-6482.26781475454</v>
      </c>
      <c r="M30" s="8" t="n">
        <f aca="false">M29+L30</f>
        <v>641064.878498466</v>
      </c>
      <c r="N30" s="5" t="str">
        <f aca="false">IF(L30&gt;0,"прибыль",IF(L30&lt;0,"убыток","ноль"))</f>
        <v>убыток</v>
      </c>
      <c r="O30" s="6" t="n">
        <f aca="false">IF(L30&lt;0,O29+1,0)</f>
        <v>1</v>
      </c>
      <c r="P30" s="6" t="n">
        <v>22</v>
      </c>
    </row>
    <row r="31" customFormat="false" ht="15" hidden="false" customHeight="false" outlineLevel="0" collapsed="false">
      <c r="A31" s="6" t="n">
        <v>26</v>
      </c>
      <c r="B31" s="5" t="s">
        <v>72</v>
      </c>
      <c r="C31" s="5" t="s">
        <v>25</v>
      </c>
      <c r="D31" s="11" t="n">
        <v>42465</v>
      </c>
      <c r="E31" s="11" t="n">
        <v>42466</v>
      </c>
      <c r="F31" s="5" t="s">
        <v>73</v>
      </c>
      <c r="G31" s="12" t="n">
        <v>5.22072359890041E-011</v>
      </c>
      <c r="H31" s="13" t="n">
        <v>37.59</v>
      </c>
      <c r="I31" s="13" t="n">
        <v>38.37</v>
      </c>
      <c r="K31" s="8" t="n">
        <v>2.65793633067092E-015</v>
      </c>
      <c r="L31" s="8" t="n">
        <v>9.48832688083689E-013</v>
      </c>
      <c r="M31" s="8" t="n">
        <f aca="false">M30+L31</f>
        <v>641064.878498466</v>
      </c>
      <c r="N31" s="5" t="str">
        <f aca="false">IF(L31&gt;0,"прибыль",IF(L31&lt;0,"убыток","ноль"))</f>
        <v>прибыль</v>
      </c>
      <c r="O31" s="6" t="n">
        <f aca="false">IF(L31&lt;0,O30+1,0)</f>
        <v>0</v>
      </c>
      <c r="P31" s="6" t="n">
        <v>1</v>
      </c>
    </row>
    <row r="32" customFormat="false" ht="15" hidden="false" customHeight="false" outlineLevel="0" collapsed="false">
      <c r="A32" s="6" t="n">
        <v>27</v>
      </c>
      <c r="B32" s="5" t="s">
        <v>72</v>
      </c>
      <c r="C32" s="5" t="s">
        <v>25</v>
      </c>
      <c r="D32" s="11" t="n">
        <v>42466</v>
      </c>
      <c r="E32" s="11" t="n">
        <v>42472</v>
      </c>
      <c r="F32" s="5" t="s">
        <v>73</v>
      </c>
      <c r="G32" s="12" t="n">
        <v>96059.493976603</v>
      </c>
      <c r="H32" s="13" t="n">
        <v>38.37</v>
      </c>
      <c r="I32" s="13" t="n">
        <v>42.78</v>
      </c>
      <c r="K32" s="8" t="n">
        <v>5.45127569516572</v>
      </c>
      <c r="L32" s="8" t="n">
        <v>12960.5686510162</v>
      </c>
      <c r="M32" s="8" t="n">
        <f aca="false">M31+L32</f>
        <v>654025.447149482</v>
      </c>
      <c r="N32" s="5" t="str">
        <f aca="false">IF(L32&gt;0,"прибыль",IF(L32&lt;0,"убыток","ноль"))</f>
        <v>прибыль</v>
      </c>
      <c r="O32" s="6" t="n">
        <f aca="false">IF(L32&lt;0,O31+1,0)</f>
        <v>0</v>
      </c>
      <c r="P32" s="6" t="n">
        <v>4</v>
      </c>
    </row>
    <row r="33" customFormat="false" ht="15" hidden="false" customHeight="false" outlineLevel="0" collapsed="false">
      <c r="A33" s="6" t="n">
        <v>28</v>
      </c>
      <c r="B33" s="5" t="s">
        <v>72</v>
      </c>
      <c r="C33" s="5" t="s">
        <v>25</v>
      </c>
      <c r="D33" s="11" t="n">
        <v>42472</v>
      </c>
      <c r="E33" s="11" t="n">
        <v>42496</v>
      </c>
      <c r="F33" s="5" t="s">
        <v>73</v>
      </c>
      <c r="G33" s="12" t="n">
        <v>368882.807845491</v>
      </c>
      <c r="H33" s="13" t="n">
        <v>42.78</v>
      </c>
      <c r="I33" s="13" t="n">
        <v>45.09</v>
      </c>
      <c r="J33" s="5" t="s">
        <v>74</v>
      </c>
      <c r="K33" s="8" t="n">
        <v>22.2722972754032</v>
      </c>
      <c r="L33" s="8" t="n">
        <v>76540.8653652981</v>
      </c>
      <c r="M33" s="8" t="n">
        <f aca="false">M32+L33</f>
        <v>730566.312514781</v>
      </c>
      <c r="N33" s="5" t="str">
        <f aca="false">IF(L33&gt;0,"прибыль",IF(L33&lt;0,"убыток","ноль"))</f>
        <v>прибыль</v>
      </c>
      <c r="O33" s="6" t="n">
        <f aca="false">IF(L33&lt;0,O32+1,0)</f>
        <v>0</v>
      </c>
      <c r="P33" s="6" t="n">
        <v>16</v>
      </c>
    </row>
    <row r="34" customFormat="false" ht="15" hidden="false" customHeight="false" outlineLevel="0" collapsed="false">
      <c r="A34" s="6" t="n">
        <v>29</v>
      </c>
      <c r="B34" s="5" t="s">
        <v>72</v>
      </c>
      <c r="C34" s="5" t="s">
        <v>25</v>
      </c>
      <c r="D34" s="11" t="n">
        <v>42556</v>
      </c>
      <c r="E34" s="11" t="n">
        <v>42585</v>
      </c>
      <c r="F34" s="5" t="s">
        <v>75</v>
      </c>
      <c r="G34" s="12" t="n">
        <v>439851.752060403</v>
      </c>
      <c r="H34" s="13" t="n">
        <v>50.13</v>
      </c>
      <c r="I34" s="13" t="n">
        <v>41.96</v>
      </c>
      <c r="J34" s="5" t="s">
        <v>74</v>
      </c>
      <c r="K34" s="8" t="n">
        <v>40.9217091795693</v>
      </c>
      <c r="L34" s="8" t="n">
        <v>61228.3988202405</v>
      </c>
      <c r="M34" s="8" t="n">
        <f aca="false">M33+L34</f>
        <v>791794.711335021</v>
      </c>
      <c r="N34" s="5" t="str">
        <f aca="false">IF(L34&gt;0,"прибыль",IF(L34&lt;0,"убыток","ноль"))</f>
        <v>прибыль</v>
      </c>
      <c r="O34" s="6" t="n">
        <f aca="false">IF(L34&lt;0,O33+1,0)</f>
        <v>0</v>
      </c>
      <c r="P34" s="6" t="n">
        <v>21</v>
      </c>
    </row>
    <row r="35" customFormat="false" ht="15" hidden="false" customHeight="false" outlineLevel="0" collapsed="false">
      <c r="A35" s="6" t="n">
        <v>30</v>
      </c>
      <c r="B35" s="5" t="s">
        <v>72</v>
      </c>
      <c r="C35" s="5" t="s">
        <v>25</v>
      </c>
      <c r="D35" s="11" t="n">
        <v>42618</v>
      </c>
      <c r="E35" s="11" t="n">
        <v>42648</v>
      </c>
      <c r="F35" s="5" t="s">
        <v>73</v>
      </c>
      <c r="G35" s="12" t="n">
        <v>445867.520257437</v>
      </c>
      <c r="H35" s="13" t="n">
        <v>46.72</v>
      </c>
      <c r="I35" s="13" t="n">
        <v>51.29</v>
      </c>
      <c r="J35" s="5" t="s">
        <v>74</v>
      </c>
      <c r="K35" s="8" t="n">
        <v>67.2740240979168</v>
      </c>
      <c r="L35" s="8" t="n">
        <v>26148.2695068942</v>
      </c>
      <c r="M35" s="8" t="n">
        <f aca="false">M34+L35</f>
        <v>817942.980841915</v>
      </c>
      <c r="N35" s="5" t="str">
        <f aca="false">IF(L35&gt;0,"прибыль",IF(L35&lt;0,"убыток","ноль"))</f>
        <v>прибыль</v>
      </c>
      <c r="O35" s="6" t="n">
        <f aca="false">IF(L35&lt;0,O34+1,0)</f>
        <v>0</v>
      </c>
      <c r="P35" s="6" t="n">
        <v>22</v>
      </c>
    </row>
    <row r="36" customFormat="false" ht="15" hidden="false" customHeight="false" outlineLevel="0" collapsed="false">
      <c r="A36" s="6" t="n">
        <v>31</v>
      </c>
      <c r="B36" s="5" t="s">
        <v>72</v>
      </c>
      <c r="C36" s="5" t="s">
        <v>25</v>
      </c>
      <c r="D36" s="11" t="n">
        <v>42648</v>
      </c>
      <c r="E36" s="11" t="n">
        <v>42649</v>
      </c>
      <c r="F36" s="5" t="s">
        <v>75</v>
      </c>
      <c r="G36" s="12" t="n">
        <v>7.06555835027575E-011</v>
      </c>
      <c r="H36" s="13" t="n">
        <v>51.29</v>
      </c>
      <c r="I36" s="13" t="n">
        <v>51.75</v>
      </c>
      <c r="K36" s="8" t="n">
        <v>3.57428126444507E-015</v>
      </c>
      <c r="L36" s="8" t="n">
        <v>-8.33616067408359E-013</v>
      </c>
      <c r="M36" s="8" t="n">
        <f aca="false">M35+L36</f>
        <v>817942.980841915</v>
      </c>
      <c r="N36" s="5" t="str">
        <f aca="false">IF(L36&gt;0,"прибыль",IF(L36&lt;0,"убыток","ноль"))</f>
        <v>убыток</v>
      </c>
      <c r="O36" s="6" t="n">
        <f aca="false">IF(L36&lt;0,O35+1,0)</f>
        <v>1</v>
      </c>
      <c r="P36" s="6" t="n">
        <v>1</v>
      </c>
    </row>
    <row r="37" customFormat="false" ht="15" hidden="false" customHeight="false" outlineLevel="0" collapsed="false">
      <c r="A37" s="6" t="n">
        <v>32</v>
      </c>
      <c r="B37" s="5" t="s">
        <v>72</v>
      </c>
      <c r="C37" s="5" t="s">
        <v>25</v>
      </c>
      <c r="D37" s="11" t="n">
        <v>42649</v>
      </c>
      <c r="E37" s="11" t="n">
        <v>42677</v>
      </c>
      <c r="F37" s="5" t="s">
        <v>75</v>
      </c>
      <c r="G37" s="12" t="n">
        <v>718926.159044611</v>
      </c>
      <c r="H37" s="13" t="n">
        <v>51.75</v>
      </c>
      <c r="I37" s="13" t="n">
        <v>47.12</v>
      </c>
      <c r="J37" s="5" t="s">
        <v>74</v>
      </c>
      <c r="K37" s="8" t="n">
        <v>48.1128693456041</v>
      </c>
      <c r="L37" s="8" t="n">
        <v>48016.9203953258</v>
      </c>
      <c r="M37" s="8" t="n">
        <f aca="false">M36+L37</f>
        <v>865959.901237241</v>
      </c>
      <c r="N37" s="5" t="str">
        <f aca="false">IF(L37&gt;0,"прибыль",IF(L37&lt;0,"убыток","ноль"))</f>
        <v>прибыль</v>
      </c>
      <c r="O37" s="6" t="n">
        <f aca="false">IF(L37&lt;0,O36+1,0)</f>
        <v>0</v>
      </c>
      <c r="P37" s="6" t="n">
        <v>20</v>
      </c>
    </row>
    <row r="38" customFormat="false" ht="15" hidden="false" customHeight="false" outlineLevel="0" collapsed="false">
      <c r="A38" s="6" t="n">
        <v>33</v>
      </c>
      <c r="B38" s="5" t="s">
        <v>72</v>
      </c>
      <c r="C38" s="5" t="s">
        <v>25</v>
      </c>
      <c r="D38" s="11" t="n">
        <v>42709</v>
      </c>
      <c r="E38" s="11" t="n">
        <v>42747</v>
      </c>
      <c r="F38" s="5" t="s">
        <v>75</v>
      </c>
      <c r="G38" s="12" t="n">
        <v>176323.155726433</v>
      </c>
      <c r="H38" s="13" t="n">
        <v>54.61</v>
      </c>
      <c r="I38" s="13" t="n">
        <v>55.19</v>
      </c>
      <c r="K38" s="8" t="n">
        <v>46.6916742646406</v>
      </c>
      <c r="L38" s="8" t="n">
        <v>1633.45054956856</v>
      </c>
      <c r="M38" s="8" t="n">
        <f aca="false">M37+L38</f>
        <v>867593.35178681</v>
      </c>
      <c r="N38" s="5" t="str">
        <f aca="false">IF(L38&gt;0,"прибыль",IF(L38&lt;0,"убыток","ноль"))</f>
        <v>прибыль</v>
      </c>
      <c r="O38" s="6" t="n">
        <f aca="false">IF(L38&lt;0,O37+1,0)</f>
        <v>0</v>
      </c>
      <c r="P38" s="6" t="n">
        <v>27</v>
      </c>
    </row>
    <row r="39" customFormat="false" ht="15" hidden="false" customHeight="false" outlineLevel="0" collapsed="false">
      <c r="A39" s="6" t="n">
        <v>34</v>
      </c>
      <c r="B39" s="5" t="s">
        <v>72</v>
      </c>
      <c r="C39" s="5" t="s">
        <v>25</v>
      </c>
      <c r="D39" s="11" t="n">
        <v>42747</v>
      </c>
      <c r="E39" s="11" t="n">
        <v>42769</v>
      </c>
      <c r="F39" s="5" t="s">
        <v>75</v>
      </c>
      <c r="G39" s="12" t="n">
        <v>582867.316063778</v>
      </c>
      <c r="H39" s="13" t="n">
        <v>55.19</v>
      </c>
      <c r="I39" s="13" t="n">
        <v>56.67</v>
      </c>
      <c r="J39" s="5" t="s">
        <v>74</v>
      </c>
      <c r="K39" s="8" t="n">
        <v>29.1825474988989</v>
      </c>
      <c r="L39" s="8" t="n">
        <v>-812.816461697678</v>
      </c>
      <c r="M39" s="8" t="n">
        <f aca="false">M38+L39</f>
        <v>866780.535325112</v>
      </c>
      <c r="N39" s="5" t="str">
        <f aca="false">IF(L39&gt;0,"прибыль",IF(L39&lt;0,"убыток","ноль"))</f>
        <v>убыток</v>
      </c>
      <c r="O39" s="6" t="n">
        <f aca="false">IF(L39&lt;0,O38+1,0)</f>
        <v>1</v>
      </c>
      <c r="P39" s="6" t="n">
        <v>16</v>
      </c>
    </row>
    <row r="40" customFormat="false" ht="15" hidden="false" customHeight="false" outlineLevel="0" collapsed="false">
      <c r="A40" s="6" t="n">
        <v>35</v>
      </c>
      <c r="B40" s="5" t="s">
        <v>72</v>
      </c>
      <c r="C40" s="5" t="s">
        <v>25</v>
      </c>
      <c r="D40" s="11" t="n">
        <v>42797</v>
      </c>
      <c r="E40" s="11" t="n">
        <v>42804</v>
      </c>
      <c r="F40" s="5" t="s">
        <v>75</v>
      </c>
      <c r="G40" s="12" t="n">
        <v>266028.881583774</v>
      </c>
      <c r="H40" s="13" t="n">
        <v>55.17</v>
      </c>
      <c r="I40" s="13" t="n">
        <v>52.6</v>
      </c>
      <c r="K40" s="8" t="n">
        <v>55.1934265988837</v>
      </c>
      <c r="L40" s="8" t="n">
        <v>11833.3041265868</v>
      </c>
      <c r="M40" s="8" t="n">
        <f aca="false">M39+L40</f>
        <v>878613.839451699</v>
      </c>
      <c r="N40" s="5" t="str">
        <f aca="false">IF(L40&gt;0,"прибыль",IF(L40&lt;0,"убыток","ноль"))</f>
        <v>прибыль</v>
      </c>
      <c r="O40" s="6" t="n">
        <f aca="false">IF(L40&lt;0,O39+1,0)</f>
        <v>0</v>
      </c>
      <c r="P40" s="6" t="n">
        <v>4</v>
      </c>
    </row>
    <row r="41" customFormat="false" ht="15" hidden="false" customHeight="false" outlineLevel="0" collapsed="false">
      <c r="A41" s="6" t="n">
        <v>36</v>
      </c>
      <c r="B41" s="5" t="s">
        <v>72</v>
      </c>
      <c r="C41" s="5" t="s">
        <v>25</v>
      </c>
      <c r="D41" s="11" t="n">
        <v>42804</v>
      </c>
      <c r="E41" s="11" t="n">
        <v>42830</v>
      </c>
      <c r="F41" s="5" t="s">
        <v>75</v>
      </c>
      <c r="G41" s="12" t="n">
        <v>583699.266363313</v>
      </c>
      <c r="H41" s="13" t="n">
        <v>52.6</v>
      </c>
      <c r="I41" s="13" t="n">
        <v>54.3</v>
      </c>
      <c r="J41" s="5" t="s">
        <v>74</v>
      </c>
      <c r="K41" s="8" t="n">
        <v>28.5819809529704</v>
      </c>
      <c r="L41" s="8" t="n">
        <v>12031.065322953</v>
      </c>
      <c r="M41" s="8" t="n">
        <f aca="false">M40+L41</f>
        <v>890644.904774652</v>
      </c>
      <c r="N41" s="5" t="str">
        <f aca="false">IF(L41&gt;0,"прибыль",IF(L41&lt;0,"убыток","ноль"))</f>
        <v>прибыль</v>
      </c>
      <c r="O41" s="6" t="n">
        <f aca="false">IF(L41&lt;0,O40+1,0)</f>
        <v>0</v>
      </c>
      <c r="P41" s="6" t="n">
        <v>18</v>
      </c>
    </row>
    <row r="42" customFormat="false" ht="15" hidden="false" customHeight="false" outlineLevel="0" collapsed="false">
      <c r="A42" s="6" t="n">
        <v>37</v>
      </c>
      <c r="B42" s="5" t="s">
        <v>72</v>
      </c>
      <c r="C42" s="5" t="s">
        <v>25</v>
      </c>
      <c r="D42" s="11" t="n">
        <v>42859</v>
      </c>
      <c r="E42" s="11" t="n">
        <v>42865</v>
      </c>
      <c r="F42" s="5" t="s">
        <v>73</v>
      </c>
      <c r="G42" s="12" t="n">
        <v>175819.852936271</v>
      </c>
      <c r="H42" s="13" t="n">
        <v>50.54</v>
      </c>
      <c r="I42" s="13" t="n">
        <v>49.4</v>
      </c>
      <c r="K42" s="8" t="n">
        <v>51.3387488199619</v>
      </c>
      <c r="L42" s="8" t="n">
        <v>-4334.4792653025</v>
      </c>
      <c r="M42" s="8" t="n">
        <f aca="false">M41+L42</f>
        <v>886310.425509349</v>
      </c>
      <c r="N42" s="5" t="str">
        <f aca="false">IF(L42&gt;0,"прибыль",IF(L42&lt;0,"убыток","ноль"))</f>
        <v>убыток</v>
      </c>
      <c r="O42" s="6" t="n">
        <f aca="false">IF(L42&lt;0,O41+1,0)</f>
        <v>1</v>
      </c>
      <c r="P42" s="6" t="n">
        <v>2</v>
      </c>
    </row>
    <row r="43" customFormat="false" ht="15" hidden="false" customHeight="false" outlineLevel="0" collapsed="false">
      <c r="A43" s="6" t="n">
        <v>38</v>
      </c>
      <c r="B43" s="5" t="s">
        <v>72</v>
      </c>
      <c r="C43" s="5" t="s">
        <v>25</v>
      </c>
      <c r="D43" s="11" t="n">
        <v>42865</v>
      </c>
      <c r="E43" s="11" t="n">
        <v>42881</v>
      </c>
      <c r="F43" s="5" t="s">
        <v>73</v>
      </c>
      <c r="G43" s="12" t="n">
        <v>181669.940193725</v>
      </c>
      <c r="H43" s="13" t="n">
        <v>49.4</v>
      </c>
      <c r="I43" s="13" t="n">
        <v>51.27</v>
      </c>
      <c r="K43" s="8" t="n">
        <v>9.19563371419194</v>
      </c>
      <c r="L43" s="8" t="n">
        <v>2233.53845639962</v>
      </c>
      <c r="M43" s="8" t="n">
        <f aca="false">M42+L43</f>
        <v>888543.963965749</v>
      </c>
      <c r="N43" s="5" t="str">
        <f aca="false">IF(L43&gt;0,"прибыль",IF(L43&lt;0,"убыток","ноль"))</f>
        <v>прибыль</v>
      </c>
      <c r="O43" s="6" t="n">
        <f aca="false">IF(L43&lt;0,O42+1,0)</f>
        <v>0</v>
      </c>
      <c r="P43" s="6" t="n">
        <v>12</v>
      </c>
    </row>
    <row r="44" customFormat="false" ht="15" hidden="false" customHeight="false" outlineLevel="0" collapsed="false">
      <c r="A44" s="6" t="n">
        <v>39</v>
      </c>
      <c r="B44" s="5" t="s">
        <v>72</v>
      </c>
      <c r="C44" s="5" t="s">
        <v>25</v>
      </c>
      <c r="D44" s="11" t="n">
        <v>42881</v>
      </c>
      <c r="E44" s="11" t="n">
        <v>42891</v>
      </c>
      <c r="F44" s="5" t="s">
        <v>73</v>
      </c>
      <c r="G44" s="12" t="n">
        <v>497748.470849455</v>
      </c>
      <c r="H44" s="13" t="n">
        <v>51.27</v>
      </c>
      <c r="I44" s="13" t="n">
        <v>50.15</v>
      </c>
      <c r="J44" s="5" t="s">
        <v>74</v>
      </c>
      <c r="K44" s="8" t="n">
        <v>24.6761608431402</v>
      </c>
      <c r="L44" s="8" t="n">
        <v>-4249.93014749473</v>
      </c>
      <c r="M44" s="8" t="n">
        <f aca="false">M43+L44</f>
        <v>884294.033818254</v>
      </c>
      <c r="N44" s="5" t="str">
        <f aca="false">IF(L44&gt;0,"прибыль",IF(L44&lt;0,"убыток","ноль"))</f>
        <v>убыток</v>
      </c>
      <c r="O44" s="6" t="n">
        <f aca="false">IF(L44&lt;0,O43+1,0)</f>
        <v>1</v>
      </c>
      <c r="P44" s="6" t="n">
        <v>6</v>
      </c>
    </row>
    <row r="45" customFormat="false" ht="15" hidden="false" customHeight="false" outlineLevel="0" collapsed="false">
      <c r="A45" s="6" t="n">
        <v>40</v>
      </c>
      <c r="B45" s="5" t="s">
        <v>72</v>
      </c>
      <c r="C45" s="5" t="s">
        <v>25</v>
      </c>
      <c r="D45" s="11" t="n">
        <v>42921</v>
      </c>
      <c r="E45" s="11" t="n">
        <v>42942</v>
      </c>
      <c r="F45" s="5" t="s">
        <v>75</v>
      </c>
      <c r="G45" s="12" t="n">
        <v>156462.956012235</v>
      </c>
      <c r="H45" s="13" t="n">
        <v>49.81</v>
      </c>
      <c r="I45" s="13" t="n">
        <v>50.8</v>
      </c>
      <c r="K45" s="8" t="n">
        <v>38.720378168621</v>
      </c>
      <c r="L45" s="8" t="n">
        <v>-3524.46477215795</v>
      </c>
      <c r="M45" s="8" t="n">
        <f aca="false">M44+L45</f>
        <v>880769.569046096</v>
      </c>
      <c r="N45" s="5" t="str">
        <f aca="false">IF(L45&gt;0,"прибыль",IF(L45&lt;0,"убыток","ноль"))</f>
        <v>убыток</v>
      </c>
      <c r="O45" s="6" t="n">
        <f aca="false">IF(L45&lt;0,O44+1,0)</f>
        <v>2</v>
      </c>
      <c r="P45" s="6" t="n">
        <v>15</v>
      </c>
    </row>
    <row r="46" customFormat="false" ht="15" hidden="false" customHeight="false" outlineLevel="0" collapsed="false">
      <c r="A46" s="6" t="n">
        <v>41</v>
      </c>
      <c r="B46" s="5" t="s">
        <v>72</v>
      </c>
      <c r="C46" s="5" t="s">
        <v>25</v>
      </c>
      <c r="D46" s="11" t="n">
        <v>42942</v>
      </c>
      <c r="E46" s="11" t="n">
        <v>42950</v>
      </c>
      <c r="F46" s="5" t="s">
        <v>75</v>
      </c>
      <c r="G46" s="12" t="n">
        <v>457995.906953959</v>
      </c>
      <c r="H46" s="13" t="n">
        <v>50.8</v>
      </c>
      <c r="I46" s="13" t="n">
        <v>52.31</v>
      </c>
      <c r="J46" s="5" t="s">
        <v>74</v>
      </c>
      <c r="K46" s="8" t="n">
        <v>50.638233678547</v>
      </c>
      <c r="L46" s="8" t="n">
        <v>-36141.5432037805</v>
      </c>
      <c r="M46" s="8" t="n">
        <f aca="false">M45+L46</f>
        <v>844628.025842316</v>
      </c>
      <c r="N46" s="5" t="str">
        <f aca="false">IF(L46&gt;0,"прибыль",IF(L46&lt;0,"убыток","ноль"))</f>
        <v>убыток</v>
      </c>
      <c r="O46" s="6" t="n">
        <f aca="false">IF(L46&lt;0,O45+1,0)</f>
        <v>3</v>
      </c>
      <c r="P46" s="6" t="n">
        <v>6</v>
      </c>
    </row>
    <row r="47" customFormat="false" ht="15" hidden="false" customHeight="false" outlineLevel="0" collapsed="false">
      <c r="A47" s="6" t="n">
        <v>42</v>
      </c>
      <c r="B47" s="5" t="s">
        <v>72</v>
      </c>
      <c r="C47" s="5" t="s">
        <v>25</v>
      </c>
      <c r="D47" s="11" t="n">
        <v>42950</v>
      </c>
      <c r="E47" s="11" t="n">
        <v>42983</v>
      </c>
      <c r="F47" s="5" t="s">
        <v>73</v>
      </c>
      <c r="G47" s="12" t="n">
        <v>518677.86164688</v>
      </c>
      <c r="H47" s="13" t="n">
        <v>52.31</v>
      </c>
      <c r="I47" s="13" t="n">
        <v>52.31</v>
      </c>
      <c r="J47" s="5" t="s">
        <v>74</v>
      </c>
      <c r="K47" s="8" t="n">
        <v>25.6860886240295</v>
      </c>
      <c r="L47" s="8" t="n">
        <v>-4981.77525491331</v>
      </c>
      <c r="M47" s="8" t="n">
        <f aca="false">M46+L47</f>
        <v>839646.250587402</v>
      </c>
      <c r="N47" s="5" t="str">
        <f aca="false">IF(L47&gt;0,"прибыль",IF(L47&lt;0,"убыток","ноль"))</f>
        <v>убыток</v>
      </c>
      <c r="O47" s="6" t="n">
        <f aca="false">IF(L47&lt;0,O46+1,0)</f>
        <v>4</v>
      </c>
      <c r="P47" s="6" t="n">
        <v>23</v>
      </c>
    </row>
    <row r="48" customFormat="false" ht="15" hidden="false" customHeight="false" outlineLevel="0" collapsed="false">
      <c r="A48" s="6" t="n">
        <v>43</v>
      </c>
      <c r="B48" s="5" t="s">
        <v>72</v>
      </c>
      <c r="C48" s="5" t="s">
        <v>25</v>
      </c>
      <c r="D48" s="11" t="n">
        <v>43012</v>
      </c>
      <c r="E48" s="11" t="n">
        <v>43074</v>
      </c>
      <c r="F48" s="5" t="s">
        <v>73</v>
      </c>
      <c r="G48" s="12" t="n">
        <v>738007.880314617</v>
      </c>
      <c r="H48" s="13" t="n">
        <v>55.75</v>
      </c>
      <c r="I48" s="13" t="n">
        <v>62.13</v>
      </c>
      <c r="J48" s="5" t="s">
        <v>74</v>
      </c>
      <c r="K48" s="8" t="n">
        <v>78.6380019377478</v>
      </c>
      <c r="L48" s="8" t="n">
        <v>96665.6401237848</v>
      </c>
      <c r="M48" s="8" t="n">
        <f aca="false">M47+L48</f>
        <v>936311.890711187</v>
      </c>
      <c r="N48" s="5" t="str">
        <f aca="false">IF(L48&gt;0,"прибыль",IF(L48&lt;0,"убыток","ноль"))</f>
        <v>прибыль</v>
      </c>
      <c r="O48" s="6" t="n">
        <f aca="false">IF(L48&lt;0,O47+1,0)</f>
        <v>0</v>
      </c>
      <c r="P48" s="6" t="n">
        <v>43</v>
      </c>
    </row>
    <row r="49" customFormat="false" ht="15" hidden="false" customHeight="false" outlineLevel="0" collapsed="false">
      <c r="A49" s="6" t="n">
        <v>44</v>
      </c>
      <c r="B49" s="5" t="s">
        <v>72</v>
      </c>
      <c r="C49" s="5" t="s">
        <v>25</v>
      </c>
      <c r="D49" s="11" t="n">
        <v>43164</v>
      </c>
      <c r="E49" s="11" t="n">
        <v>43181</v>
      </c>
      <c r="F49" s="5" t="s">
        <v>73</v>
      </c>
      <c r="G49" s="12" t="n">
        <v>166362.771965455</v>
      </c>
      <c r="H49" s="13" t="n">
        <v>64.54</v>
      </c>
      <c r="I49" s="13" t="n">
        <v>69.71</v>
      </c>
      <c r="K49" s="8" t="n">
        <v>48.8091345085643</v>
      </c>
      <c r="L49" s="8" t="n">
        <v>12147.6209019117</v>
      </c>
      <c r="M49" s="8" t="n">
        <f aca="false">M48+L49</f>
        <v>948459.511613099</v>
      </c>
      <c r="N49" s="5" t="str">
        <f aca="false">IF(L49&gt;0,"прибыль",IF(L49&lt;0,"убыток","ноль"))</f>
        <v>прибыль</v>
      </c>
      <c r="O49" s="6" t="n">
        <f aca="false">IF(L49&lt;0,O48+1,0)</f>
        <v>0</v>
      </c>
      <c r="P49" s="6" t="n">
        <v>12</v>
      </c>
    </row>
    <row r="50" customFormat="false" ht="15" hidden="false" customHeight="false" outlineLevel="0" collapsed="false">
      <c r="A50" s="6" t="n">
        <v>45</v>
      </c>
      <c r="B50" s="5" t="s">
        <v>72</v>
      </c>
      <c r="C50" s="5" t="s">
        <v>25</v>
      </c>
      <c r="D50" s="11" t="n">
        <v>43181</v>
      </c>
      <c r="E50" s="11" t="n">
        <v>43243</v>
      </c>
      <c r="F50" s="5" t="s">
        <v>73</v>
      </c>
      <c r="G50" s="12" t="n">
        <v>130529.654847497</v>
      </c>
      <c r="H50" s="13" t="n">
        <v>69.71</v>
      </c>
      <c r="I50" s="13" t="n">
        <v>79.43</v>
      </c>
      <c r="J50" s="5" t="s">
        <v>74</v>
      </c>
      <c r="K50" s="8" t="n">
        <v>8.5010094896213</v>
      </c>
      <c r="L50" s="8" t="n">
        <v>39482.0339354391</v>
      </c>
      <c r="M50" s="8" t="n">
        <f aca="false">M49+L50</f>
        <v>987941.545548538</v>
      </c>
      <c r="N50" s="5" t="str">
        <f aca="false">IF(L50&gt;0,"прибыль",IF(L50&lt;0,"убыток","ноль"))</f>
        <v>прибыль</v>
      </c>
      <c r="O50" s="6" t="n">
        <f aca="false">IF(L50&lt;0,O49+1,0)</f>
        <v>0</v>
      </c>
      <c r="P50" s="6" t="n">
        <v>43</v>
      </c>
    </row>
    <row r="51" customFormat="false" ht="15" hidden="false" customHeight="false" outlineLevel="0" collapsed="false">
      <c r="A51" s="6" t="n">
        <v>46</v>
      </c>
      <c r="B51" s="5" t="s">
        <v>72</v>
      </c>
      <c r="C51" s="5" t="s">
        <v>25</v>
      </c>
      <c r="D51" s="11" t="n">
        <v>43243</v>
      </c>
      <c r="E51" s="11" t="n">
        <v>43256</v>
      </c>
      <c r="F51" s="5" t="s">
        <v>73</v>
      </c>
      <c r="G51" s="12" t="n">
        <v>500731.061356459</v>
      </c>
      <c r="H51" s="13" t="n">
        <v>79.43</v>
      </c>
      <c r="I51" s="13" t="n">
        <v>75.37</v>
      </c>
      <c r="J51" s="5" t="s">
        <v>74</v>
      </c>
      <c r="K51" s="8" t="n">
        <v>31.3219354571989</v>
      </c>
      <c r="L51" s="8" t="n">
        <v>125676.325852062</v>
      </c>
      <c r="M51" s="8" t="n">
        <f aca="false">M50+L51</f>
        <v>1113617.8714006</v>
      </c>
      <c r="N51" s="5" t="str">
        <f aca="false">IF(L51&gt;0,"прибыль",IF(L51&lt;0,"убыток","ноль"))</f>
        <v>прибыль</v>
      </c>
      <c r="O51" s="6" t="n">
        <f aca="false">IF(L51&lt;0,O50+1,0)</f>
        <v>0</v>
      </c>
      <c r="P51" s="6" t="n">
        <v>9</v>
      </c>
    </row>
    <row r="52" customFormat="false" ht="15" hidden="false" customHeight="false" outlineLevel="0" collapsed="false">
      <c r="A52" s="6" t="n">
        <v>47</v>
      </c>
      <c r="B52" s="5" t="s">
        <v>72</v>
      </c>
      <c r="C52" s="5" t="s">
        <v>25</v>
      </c>
      <c r="D52" s="11" t="n">
        <v>43285</v>
      </c>
      <c r="E52" s="11" t="n">
        <v>43293</v>
      </c>
      <c r="F52" s="5" t="s">
        <v>73</v>
      </c>
      <c r="G52" s="12" t="n">
        <v>112249.635675689</v>
      </c>
      <c r="H52" s="13" t="n">
        <v>77.85</v>
      </c>
      <c r="I52" s="13" t="n">
        <v>74.06</v>
      </c>
      <c r="K52" s="8" t="n">
        <v>33.0545235419971</v>
      </c>
      <c r="L52" s="8" t="n">
        <v>-5769.86304995195</v>
      </c>
      <c r="M52" s="8" t="n">
        <f aca="false">M51+L52</f>
        <v>1107848.00835065</v>
      </c>
      <c r="N52" s="5" t="str">
        <f aca="false">IF(L52&gt;0,"прибыль",IF(L52&lt;0,"убыток","ноль"))</f>
        <v>убыток</v>
      </c>
      <c r="O52" s="6" t="n">
        <f aca="false">IF(L52&lt;0,O51+1,0)</f>
        <v>1</v>
      </c>
      <c r="P52" s="6" t="n">
        <v>6</v>
      </c>
    </row>
    <row r="53" customFormat="false" ht="15" hidden="false" customHeight="false" outlineLevel="0" collapsed="false">
      <c r="A53" s="6" t="n">
        <v>48</v>
      </c>
      <c r="B53" s="5" t="s">
        <v>72</v>
      </c>
      <c r="C53" s="5" t="s">
        <v>25</v>
      </c>
      <c r="D53" s="11" t="n">
        <v>43293</v>
      </c>
      <c r="E53" s="11" t="n">
        <v>43340</v>
      </c>
      <c r="F53" s="5" t="s">
        <v>73</v>
      </c>
      <c r="G53" s="12" t="n">
        <v>177478.982558651</v>
      </c>
      <c r="H53" s="13" t="n">
        <v>74.06</v>
      </c>
      <c r="I53" s="13" t="n">
        <v>76.3</v>
      </c>
      <c r="J53" s="5" t="s">
        <v>74</v>
      </c>
      <c r="K53" s="8" t="n">
        <v>31.1801921151028</v>
      </c>
      <c r="L53" s="8" t="n">
        <v>4624.84222877042</v>
      </c>
      <c r="M53" s="8" t="n">
        <f aca="false">M52+L53</f>
        <v>1112472.85057942</v>
      </c>
      <c r="N53" s="5" t="str">
        <f aca="false">IF(L53&gt;0,"прибыль",IF(L53&lt;0,"убыток","ноль"))</f>
        <v>прибыль</v>
      </c>
      <c r="O53" s="6" t="n">
        <f aca="false">IF(L53&lt;0,O52+1,0)</f>
        <v>0</v>
      </c>
      <c r="P53" s="6" t="n">
        <v>33</v>
      </c>
    </row>
    <row r="54" customFormat="false" ht="15" hidden="false" customHeight="false" outlineLevel="0" collapsed="false">
      <c r="A54" s="6" t="n">
        <v>49</v>
      </c>
      <c r="B54" s="5" t="s">
        <v>72</v>
      </c>
      <c r="C54" s="5" t="s">
        <v>25</v>
      </c>
      <c r="D54" s="11" t="n">
        <v>43340</v>
      </c>
      <c r="E54" s="11" t="n">
        <v>43348</v>
      </c>
      <c r="F54" s="5" t="s">
        <v>73</v>
      </c>
      <c r="G54" s="12" t="n">
        <v>706317.862778842</v>
      </c>
      <c r="H54" s="13" t="n">
        <v>76.3</v>
      </c>
      <c r="I54" s="13" t="n">
        <v>77.7</v>
      </c>
      <c r="J54" s="5" t="s">
        <v>74</v>
      </c>
      <c r="K54" s="8" t="n">
        <v>36.6001140064897</v>
      </c>
      <c r="L54" s="8" t="n">
        <v>25647.8172369457</v>
      </c>
      <c r="M54" s="8" t="n">
        <f aca="false">M53+L54</f>
        <v>1138120.66781636</v>
      </c>
      <c r="N54" s="5" t="str">
        <f aca="false">IF(L54&gt;0,"прибыль",IF(L54&lt;0,"убыток","ноль"))</f>
        <v>прибыль</v>
      </c>
      <c r="O54" s="6" t="n">
        <f aca="false">IF(L54&lt;0,O53+1,0)</f>
        <v>0</v>
      </c>
      <c r="P54" s="6" t="n">
        <v>6</v>
      </c>
    </row>
    <row r="55" customFormat="false" ht="15" hidden="false" customHeight="false" outlineLevel="0" collapsed="false">
      <c r="A55" s="6" t="n">
        <v>50</v>
      </c>
      <c r="B55" s="5" t="s">
        <v>72</v>
      </c>
      <c r="C55" s="5" t="s">
        <v>25</v>
      </c>
      <c r="D55" s="11" t="n">
        <v>43376</v>
      </c>
      <c r="E55" s="11" t="n">
        <v>43397</v>
      </c>
      <c r="F55" s="5" t="s">
        <v>75</v>
      </c>
      <c r="G55" s="12" t="n">
        <v>158943.782074446</v>
      </c>
      <c r="H55" s="13" t="n">
        <v>84.7</v>
      </c>
      <c r="I55" s="13" t="n">
        <v>76.19</v>
      </c>
      <c r="K55" s="8" t="n">
        <v>46.5386609889221</v>
      </c>
      <c r="L55" s="8" t="n">
        <v>15634.2864148712</v>
      </c>
      <c r="M55" s="8" t="n">
        <f aca="false">M54+L55</f>
        <v>1153754.95423124</v>
      </c>
      <c r="N55" s="5" t="str">
        <f aca="false">IF(L55&gt;0,"прибыль",IF(L55&lt;0,"убыток","ноль"))</f>
        <v>прибыль</v>
      </c>
      <c r="O55" s="6" t="n">
        <f aca="false">IF(L55&lt;0,O54+1,0)</f>
        <v>0</v>
      </c>
      <c r="P55" s="6" t="n">
        <v>15</v>
      </c>
    </row>
    <row r="56" customFormat="false" ht="15" hidden="false" customHeight="false" outlineLevel="0" collapsed="false">
      <c r="A56" s="6" t="n">
        <v>51</v>
      </c>
      <c r="B56" s="5" t="s">
        <v>72</v>
      </c>
      <c r="C56" s="5" t="s">
        <v>25</v>
      </c>
      <c r="D56" s="11" t="n">
        <v>43397</v>
      </c>
      <c r="E56" s="11" t="n">
        <v>43410</v>
      </c>
      <c r="F56" s="5" t="s">
        <v>75</v>
      </c>
      <c r="G56" s="12" t="n">
        <v>628566.480705408</v>
      </c>
      <c r="H56" s="13" t="n">
        <v>76.19</v>
      </c>
      <c r="I56" s="13" t="n">
        <v>72.64</v>
      </c>
      <c r="J56" s="5" t="s">
        <v>74</v>
      </c>
      <c r="K56" s="8" t="n">
        <v>56.4501895712241</v>
      </c>
      <c r="L56" s="8" t="n">
        <v>68707.368610277</v>
      </c>
      <c r="M56" s="8" t="n">
        <f aca="false">M55+L56</f>
        <v>1222462.32284151</v>
      </c>
      <c r="N56" s="5" t="str">
        <f aca="false">IF(L56&gt;0,"прибыль",IF(L56&lt;0,"убыток","ноль"))</f>
        <v>прибыль</v>
      </c>
      <c r="O56" s="6" t="n">
        <f aca="false">IF(L56&lt;0,O55+1,0)</f>
        <v>0</v>
      </c>
      <c r="P56" s="6" t="n">
        <v>8</v>
      </c>
    </row>
    <row r="57" customFormat="false" ht="15" hidden="false" customHeight="false" outlineLevel="0" collapsed="false">
      <c r="A57" s="6" t="n">
        <v>52</v>
      </c>
      <c r="B57" s="5" t="s">
        <v>72</v>
      </c>
      <c r="C57" s="5" t="s">
        <v>25</v>
      </c>
      <c r="D57" s="11" t="n">
        <v>43410</v>
      </c>
      <c r="E57" s="11" t="n">
        <v>43431</v>
      </c>
      <c r="F57" s="5" t="s">
        <v>73</v>
      </c>
      <c r="G57" s="12" t="n">
        <v>122669.648363176</v>
      </c>
      <c r="H57" s="13" t="n">
        <v>72.64</v>
      </c>
      <c r="I57" s="13" t="n">
        <v>60.52</v>
      </c>
      <c r="K57" s="8" t="n">
        <v>5.09645691021949</v>
      </c>
      <c r="L57" s="8" t="n">
        <v>-20745.6066156964</v>
      </c>
      <c r="M57" s="8" t="n">
        <f aca="false">M56+L57</f>
        <v>1201716.71622582</v>
      </c>
      <c r="N57" s="5" t="str">
        <f aca="false">IF(L57&gt;0,"прибыль",IF(L57&lt;0,"убыток","ноль"))</f>
        <v>убыток</v>
      </c>
      <c r="O57" s="6" t="n">
        <f aca="false">IF(L57&lt;0,O56+1,0)</f>
        <v>1</v>
      </c>
      <c r="P57" s="6" t="n">
        <v>15</v>
      </c>
    </row>
    <row r="58" customFormat="false" ht="15" hidden="false" customHeight="false" outlineLevel="0" collapsed="false">
      <c r="A58" s="6" t="n">
        <v>53</v>
      </c>
      <c r="B58" s="5" t="s">
        <v>72</v>
      </c>
      <c r="C58" s="5" t="s">
        <v>25</v>
      </c>
      <c r="D58" s="11" t="n">
        <v>43431</v>
      </c>
      <c r="E58" s="11" t="n">
        <v>43439</v>
      </c>
      <c r="F58" s="5" t="s">
        <v>73</v>
      </c>
      <c r="G58" s="12" t="n">
        <v>446531.481155746</v>
      </c>
      <c r="H58" s="13" t="n">
        <v>60.52</v>
      </c>
      <c r="I58" s="13" t="n">
        <v>61.66</v>
      </c>
      <c r="J58" s="5" t="s">
        <v>74</v>
      </c>
      <c r="K58" s="8" t="n">
        <v>35.9792566932265</v>
      </c>
      <c r="L58" s="8" t="n">
        <v>-88913.8246157551</v>
      </c>
      <c r="M58" s="8" t="n">
        <f aca="false">M57+L58</f>
        <v>1112802.89161006</v>
      </c>
      <c r="N58" s="5" t="str">
        <f aca="false">IF(L58&gt;0,"прибыль",IF(L58&lt;0,"убыток","ноль"))</f>
        <v>убыток</v>
      </c>
      <c r="O58" s="6" t="n">
        <f aca="false">IF(L58&lt;0,O57+1,0)</f>
        <v>2</v>
      </c>
      <c r="P58" s="6" t="n">
        <v>6</v>
      </c>
    </row>
    <row r="59" customFormat="false" ht="15" hidden="false" customHeight="false" outlineLevel="0" collapsed="false">
      <c r="A59" s="6" t="n">
        <v>54</v>
      </c>
      <c r="B59" s="5" t="s">
        <v>72</v>
      </c>
      <c r="C59" s="5" t="s">
        <v>25</v>
      </c>
      <c r="D59" s="11" t="n">
        <v>43439</v>
      </c>
      <c r="E59" s="11" t="n">
        <v>43461</v>
      </c>
      <c r="F59" s="5" t="s">
        <v>75</v>
      </c>
      <c r="G59" s="12" t="n">
        <v>165415.662780989</v>
      </c>
      <c r="H59" s="13" t="n">
        <v>61.66</v>
      </c>
      <c r="I59" s="13" t="n">
        <v>54.9</v>
      </c>
      <c r="K59" s="8" t="n">
        <v>12.5499979242211</v>
      </c>
      <c r="L59" s="8" t="n">
        <v>14601.9435548026</v>
      </c>
      <c r="M59" s="8" t="n">
        <f aca="false">M58+L59</f>
        <v>1127404.83516486</v>
      </c>
      <c r="N59" s="5" t="str">
        <f aca="false">IF(L59&gt;0,"прибыль",IF(L59&lt;0,"убыток","ноль"))</f>
        <v>прибыль</v>
      </c>
      <c r="O59" s="6" t="n">
        <f aca="false">IF(L59&lt;0,O58+1,0)</f>
        <v>0</v>
      </c>
      <c r="P59" s="6" t="n">
        <v>16</v>
      </c>
    </row>
    <row r="60" customFormat="false" ht="15" hidden="false" customHeight="false" outlineLevel="0" collapsed="false">
      <c r="A60" s="6" t="n">
        <v>55</v>
      </c>
      <c r="B60" s="5" t="s">
        <v>72</v>
      </c>
      <c r="C60" s="5" t="s">
        <v>25</v>
      </c>
      <c r="D60" s="11" t="n">
        <v>43461</v>
      </c>
      <c r="E60" s="11" t="n">
        <v>43529</v>
      </c>
      <c r="F60" s="5" t="s">
        <v>75</v>
      </c>
      <c r="G60" s="12" t="n">
        <v>642388.131334191</v>
      </c>
      <c r="H60" s="13" t="n">
        <v>54.9</v>
      </c>
      <c r="I60" s="13" t="n">
        <v>65.62</v>
      </c>
      <c r="J60" s="5" t="s">
        <v>74</v>
      </c>
      <c r="K60" s="8" t="n">
        <v>84.2922420223127</v>
      </c>
      <c r="L60" s="8" t="n">
        <v>-32089.1981294606</v>
      </c>
      <c r="M60" s="8" t="n">
        <f aca="false">M59+L60</f>
        <v>1095315.6370354</v>
      </c>
      <c r="N60" s="5" t="str">
        <f aca="false">IF(L60&gt;0,"прибыль",IF(L60&lt;0,"убыток","ноль"))</f>
        <v>убыток</v>
      </c>
      <c r="O60" s="6" t="n">
        <f aca="false">IF(L60&lt;0,O59+1,0)</f>
        <v>1</v>
      </c>
      <c r="P60" s="6" t="n">
        <v>45</v>
      </c>
    </row>
    <row r="61" customFormat="false" ht="15" hidden="false" customHeight="false" outlineLevel="0" collapsed="false">
      <c r="A61" s="6" t="n">
        <v>56</v>
      </c>
      <c r="B61" s="5" t="s">
        <v>72</v>
      </c>
      <c r="C61" s="5" t="s">
        <v>25</v>
      </c>
      <c r="D61" s="11" t="n">
        <v>43529</v>
      </c>
      <c r="E61" s="11" t="n">
        <v>43558</v>
      </c>
      <c r="F61" s="5" t="s">
        <v>73</v>
      </c>
      <c r="G61" s="12" t="n">
        <v>1215471.16415504</v>
      </c>
      <c r="H61" s="13" t="n">
        <v>65.62</v>
      </c>
      <c r="I61" s="13" t="n">
        <v>69.43</v>
      </c>
      <c r="J61" s="5" t="s">
        <v>74</v>
      </c>
      <c r="K61" s="8" t="n">
        <v>90.2580765750694</v>
      </c>
      <c r="L61" s="8" t="n">
        <v>39907.2415481793</v>
      </c>
      <c r="M61" s="8" t="n">
        <f aca="false">M60+L61</f>
        <v>1135222.87858358</v>
      </c>
      <c r="N61" s="5" t="str">
        <f aca="false">IF(L61&gt;0,"прибыль",IF(L61&lt;0,"убыток","ноль"))</f>
        <v>прибыль</v>
      </c>
      <c r="O61" s="6" t="n">
        <f aca="false">IF(L61&lt;0,O60+1,0)</f>
        <v>0</v>
      </c>
      <c r="P61" s="6" t="n">
        <v>21</v>
      </c>
    </row>
    <row r="62" customFormat="false" ht="15" hidden="false" customHeight="false" outlineLevel="0" collapsed="false">
      <c r="A62" s="6" t="n">
        <v>57</v>
      </c>
      <c r="B62" s="5" t="s">
        <v>72</v>
      </c>
      <c r="C62" s="5" t="s">
        <v>25</v>
      </c>
      <c r="D62" s="11" t="n">
        <v>43591</v>
      </c>
      <c r="E62" s="11" t="n">
        <v>43609</v>
      </c>
      <c r="F62" s="5" t="s">
        <v>73</v>
      </c>
      <c r="G62" s="12" t="n">
        <v>149428.504566716</v>
      </c>
      <c r="H62" s="13" t="n">
        <v>70.86</v>
      </c>
      <c r="I62" s="13" t="n">
        <v>67.97</v>
      </c>
      <c r="K62" s="8" t="n">
        <v>44.2065176795346</v>
      </c>
      <c r="L62" s="8" t="n">
        <v>-6432.49640025038</v>
      </c>
      <c r="M62" s="8" t="n">
        <f aca="false">M61+L62</f>
        <v>1128790.38218333</v>
      </c>
      <c r="N62" s="5" t="str">
        <f aca="false">IF(L62&gt;0,"прибыль",IF(L62&lt;0,"убыток","ноль"))</f>
        <v>убыток</v>
      </c>
      <c r="O62" s="6" t="n">
        <f aca="false">IF(L62&lt;0,O61+1,0)</f>
        <v>1</v>
      </c>
      <c r="P62" s="6" t="n">
        <v>13</v>
      </c>
    </row>
    <row r="63" customFormat="false" ht="15" hidden="false" customHeight="false" outlineLevel="0" collapsed="false">
      <c r="A63" s="6" t="n">
        <v>58</v>
      </c>
      <c r="B63" s="5" t="s">
        <v>72</v>
      </c>
      <c r="C63" s="5" t="s">
        <v>25</v>
      </c>
      <c r="D63" s="11" t="n">
        <v>43609</v>
      </c>
      <c r="E63" s="11" t="n">
        <v>43637</v>
      </c>
      <c r="F63" s="5" t="s">
        <v>73</v>
      </c>
      <c r="G63" s="12" t="n">
        <v>155910.884900895</v>
      </c>
      <c r="H63" s="13" t="n">
        <v>67.97</v>
      </c>
      <c r="I63" s="13" t="n">
        <v>64.55</v>
      </c>
      <c r="J63" s="5" t="s">
        <v>74</v>
      </c>
      <c r="K63" s="8" t="n">
        <v>7.50522038356569</v>
      </c>
      <c r="L63" s="8" t="n">
        <v>-5813.98244996526</v>
      </c>
      <c r="M63" s="8" t="n">
        <f aca="false">M62+L63</f>
        <v>1122976.39973337</v>
      </c>
      <c r="N63" s="5" t="str">
        <f aca="false">IF(L63&gt;0,"прибыль",IF(L63&lt;0,"убыток","ноль"))</f>
        <v>убыток</v>
      </c>
      <c r="O63" s="6" t="n">
        <f aca="false">IF(L63&lt;0,O62+1,0)</f>
        <v>2</v>
      </c>
      <c r="P63" s="6" t="n">
        <v>19</v>
      </c>
    </row>
    <row r="64" customFormat="false" ht="15" hidden="false" customHeight="false" outlineLevel="0" collapsed="false">
      <c r="A64" s="6" t="n">
        <v>59</v>
      </c>
      <c r="B64" s="5" t="s">
        <v>72</v>
      </c>
      <c r="C64" s="5" t="s">
        <v>25</v>
      </c>
      <c r="D64" s="11" t="n">
        <v>43637</v>
      </c>
      <c r="E64" s="11" t="n">
        <v>43707</v>
      </c>
      <c r="F64" s="5" t="s">
        <v>73</v>
      </c>
      <c r="G64" s="12" t="n">
        <v>136434.422265712</v>
      </c>
      <c r="H64" s="13" t="n">
        <v>64.55</v>
      </c>
      <c r="I64" s="13" t="n">
        <v>60.95</v>
      </c>
      <c r="J64" s="5" t="s">
        <v>74</v>
      </c>
      <c r="K64" s="8" t="n">
        <v>19.0075877623891</v>
      </c>
      <c r="L64" s="8" t="n">
        <v>-1133.87803696027</v>
      </c>
      <c r="M64" s="8" t="n">
        <f aca="false">M63+L64</f>
        <v>1121842.52169641</v>
      </c>
      <c r="N64" s="5" t="str">
        <f aca="false">IF(L64&gt;0,"прибыль",IF(L64&lt;0,"убыток","ноль"))</f>
        <v>убыток</v>
      </c>
      <c r="O64" s="6" t="n">
        <f aca="false">IF(L64&lt;0,O63+1,0)</f>
        <v>3</v>
      </c>
      <c r="P64" s="6" t="n">
        <v>50</v>
      </c>
    </row>
    <row r="65" customFormat="false" ht="15" hidden="false" customHeight="false" outlineLevel="0" collapsed="false">
      <c r="A65" s="6" t="n">
        <v>60</v>
      </c>
      <c r="B65" s="5" t="s">
        <v>72</v>
      </c>
      <c r="C65" s="5" t="s">
        <v>25</v>
      </c>
      <c r="D65" s="11" t="n">
        <v>43707</v>
      </c>
      <c r="E65" s="11" t="n">
        <v>43725</v>
      </c>
      <c r="F65" s="5" t="s">
        <v>73</v>
      </c>
      <c r="G65" s="12" t="n">
        <v>284853.823855009</v>
      </c>
      <c r="H65" s="13" t="n">
        <v>60.95</v>
      </c>
      <c r="I65" s="13" t="n">
        <v>67.95</v>
      </c>
      <c r="J65" s="5" t="s">
        <v>74</v>
      </c>
      <c r="K65" s="8" t="n">
        <v>16.2097425465778</v>
      </c>
      <c r="L65" s="8" t="n">
        <v>39324.8173340011</v>
      </c>
      <c r="M65" s="8" t="n">
        <f aca="false">M64+L65</f>
        <v>1161167.33903041</v>
      </c>
      <c r="N65" s="5" t="str">
        <f aca="false">IF(L65&gt;0,"прибыль",IF(L65&lt;0,"убыток","ноль"))</f>
        <v>прибыль</v>
      </c>
      <c r="O65" s="6" t="n">
        <f aca="false">IF(L65&lt;0,O64+1,0)</f>
        <v>0</v>
      </c>
      <c r="P65" s="6" t="n">
        <v>12</v>
      </c>
    </row>
    <row r="66" customFormat="false" ht="15" hidden="false" customHeight="false" outlineLevel="0" collapsed="false">
      <c r="A66" s="6" t="n">
        <v>61</v>
      </c>
      <c r="B66" s="5" t="s">
        <v>72</v>
      </c>
      <c r="C66" s="5" t="s">
        <v>25</v>
      </c>
      <c r="D66" s="11" t="n">
        <v>43725</v>
      </c>
      <c r="E66" s="11" t="n">
        <v>43775</v>
      </c>
      <c r="F66" s="5" t="s">
        <v>73</v>
      </c>
      <c r="G66" s="12" t="n">
        <v>623291.592876531</v>
      </c>
      <c r="H66" s="13" t="n">
        <v>67.95</v>
      </c>
      <c r="I66" s="13" t="n">
        <v>62.91</v>
      </c>
      <c r="J66" s="5" t="s">
        <v>74</v>
      </c>
      <c r="K66" s="8" t="n">
        <v>86.8519028032801</v>
      </c>
      <c r="L66" s="8" t="n">
        <v>27792.1416524856</v>
      </c>
      <c r="M66" s="8" t="n">
        <f aca="false">M65+L66</f>
        <v>1188959.48068289</v>
      </c>
      <c r="N66" s="5" t="str">
        <f aca="false">IF(L66&gt;0,"прибыль",IF(L66&lt;0,"убыток","ноль"))</f>
        <v>прибыль</v>
      </c>
      <c r="O66" s="6" t="n">
        <f aca="false">IF(L66&lt;0,O65+1,0)</f>
        <v>0</v>
      </c>
      <c r="P66" s="6" t="n">
        <v>35</v>
      </c>
    </row>
    <row r="67" customFormat="false" ht="15" hidden="false" customHeight="false" outlineLevel="0" collapsed="false">
      <c r="A67" s="6" t="n">
        <v>62</v>
      </c>
      <c r="B67" s="5" t="s">
        <v>72</v>
      </c>
      <c r="C67" s="5" t="s">
        <v>25</v>
      </c>
      <c r="D67" s="11" t="n">
        <v>43775</v>
      </c>
      <c r="E67" s="11" t="n">
        <v>43776</v>
      </c>
      <c r="F67" s="5" t="s">
        <v>75</v>
      </c>
      <c r="G67" s="12" t="n">
        <v>1.00021027935188E-010</v>
      </c>
      <c r="H67" s="13" t="n">
        <v>62.91</v>
      </c>
      <c r="I67" s="13" t="n">
        <v>61.94</v>
      </c>
      <c r="K67" s="8" t="n">
        <v>4.93338780328271E-015</v>
      </c>
      <c r="L67" s="8" t="n">
        <v>1.34833848173032E-012</v>
      </c>
      <c r="M67" s="8" t="n">
        <f aca="false">M66+L67</f>
        <v>1188959.48068289</v>
      </c>
      <c r="N67" s="5" t="str">
        <f aca="false">IF(L67&gt;0,"прибыль",IF(L67&lt;0,"убыток","ноль"))</f>
        <v>прибыль</v>
      </c>
      <c r="O67" s="6" t="n">
        <f aca="false">IF(L67&lt;0,O66+1,0)</f>
        <v>0</v>
      </c>
      <c r="P67" s="6" t="n">
        <v>1</v>
      </c>
    </row>
    <row r="68" customFormat="false" ht="15" hidden="false" customHeight="false" outlineLevel="0" collapsed="false">
      <c r="A68" s="6" t="n">
        <v>63</v>
      </c>
      <c r="B68" s="5" t="s">
        <v>72</v>
      </c>
      <c r="C68" s="5" t="s">
        <v>25</v>
      </c>
      <c r="D68" s="11" t="n">
        <v>43776</v>
      </c>
      <c r="E68" s="11" t="n">
        <v>43790</v>
      </c>
      <c r="F68" s="5" t="s">
        <v>75</v>
      </c>
      <c r="G68" s="12" t="n">
        <v>175064.254131476</v>
      </c>
      <c r="H68" s="13" t="n">
        <v>61.94</v>
      </c>
      <c r="I68" s="13" t="n">
        <v>62.45</v>
      </c>
      <c r="K68" s="8" t="n">
        <v>15.9365878953186</v>
      </c>
      <c r="L68" s="8" t="n">
        <v>530.873059389354</v>
      </c>
      <c r="M68" s="8" t="n">
        <f aca="false">M67+L68</f>
        <v>1189490.35374228</v>
      </c>
      <c r="N68" s="5" t="str">
        <f aca="false">IF(L68&gt;0,"прибыль",IF(L68&lt;0,"убыток","ноль"))</f>
        <v>прибыль</v>
      </c>
      <c r="O68" s="6" t="n">
        <f aca="false">IF(L68&lt;0,O67+1,0)</f>
        <v>0</v>
      </c>
      <c r="P68" s="6" t="n">
        <v>10</v>
      </c>
    </row>
    <row r="69" customFormat="false" ht="15" hidden="false" customHeight="false" outlineLevel="0" collapsed="false">
      <c r="A69" s="6" t="n">
        <v>64</v>
      </c>
      <c r="B69" s="5" t="s">
        <v>72</v>
      </c>
      <c r="C69" s="5" t="s">
        <v>25</v>
      </c>
      <c r="D69" s="11" t="n">
        <v>43790</v>
      </c>
      <c r="E69" s="11" t="n">
        <v>43803</v>
      </c>
      <c r="F69" s="5" t="s">
        <v>75</v>
      </c>
      <c r="G69" s="12" t="n">
        <v>691020.642797436</v>
      </c>
      <c r="H69" s="13" t="n">
        <v>62.45</v>
      </c>
      <c r="I69" s="13" t="n">
        <v>61.02</v>
      </c>
      <c r="J69" s="5" t="s">
        <v>74</v>
      </c>
      <c r="K69" s="8" t="n">
        <v>70.8803437343077</v>
      </c>
      <c r="L69" s="8" t="n">
        <v>2215.56755201082</v>
      </c>
      <c r="M69" s="8" t="n">
        <f aca="false">M68+L69</f>
        <v>1191705.92129429</v>
      </c>
      <c r="N69" s="5" t="str">
        <f aca="false">IF(L69&gt;0,"прибыль",IF(L69&lt;0,"убыток","ноль"))</f>
        <v>прибыль</v>
      </c>
      <c r="O69" s="6" t="n">
        <f aca="false">IF(L69&lt;0,O68+1,0)</f>
        <v>0</v>
      </c>
      <c r="P69" s="6" t="n">
        <v>9</v>
      </c>
    </row>
    <row r="70" customFormat="false" ht="15" hidden="false" customHeight="false" outlineLevel="0" collapsed="false">
      <c r="A70" s="6" t="n">
        <v>65</v>
      </c>
      <c r="B70" s="5" t="s">
        <v>72</v>
      </c>
      <c r="C70" s="5" t="s">
        <v>25</v>
      </c>
      <c r="D70" s="11" t="n">
        <v>43803</v>
      </c>
      <c r="E70" s="11" t="n">
        <v>43804</v>
      </c>
      <c r="F70" s="5" t="s">
        <v>73</v>
      </c>
      <c r="G70" s="12" t="n">
        <v>9.94622387972021E-011</v>
      </c>
      <c r="H70" s="13" t="n">
        <v>61.02</v>
      </c>
      <c r="I70" s="13" t="n">
        <v>63.02</v>
      </c>
      <c r="K70" s="8" t="n">
        <v>5.12607582126925E-015</v>
      </c>
      <c r="L70" s="8" t="n">
        <v>3.05415155236159E-012</v>
      </c>
      <c r="M70" s="8" t="n">
        <f aca="false">M69+L70</f>
        <v>1191705.92129429</v>
      </c>
      <c r="N70" s="5" t="str">
        <f aca="false">IF(L70&gt;0,"прибыль",IF(L70&lt;0,"убыток","ноль"))</f>
        <v>прибыль</v>
      </c>
      <c r="O70" s="6" t="n">
        <f aca="false">IF(L70&lt;0,O69+1,0)</f>
        <v>0</v>
      </c>
      <c r="P70" s="6" t="n">
        <v>1</v>
      </c>
    </row>
    <row r="71" customFormat="false" ht="15" hidden="false" customHeight="false" outlineLevel="0" collapsed="false">
      <c r="A71" s="6" t="n">
        <v>66</v>
      </c>
      <c r="B71" s="5" t="s">
        <v>72</v>
      </c>
      <c r="C71" s="5" t="s">
        <v>25</v>
      </c>
      <c r="D71" s="11" t="n">
        <v>43804</v>
      </c>
      <c r="E71" s="11" t="n">
        <v>43839</v>
      </c>
      <c r="F71" s="5" t="s">
        <v>73</v>
      </c>
      <c r="G71" s="12" t="n">
        <v>251610.903750316</v>
      </c>
      <c r="H71" s="13" t="n">
        <v>63.02</v>
      </c>
      <c r="I71" s="13" t="n">
        <v>66.07</v>
      </c>
      <c r="J71" s="5" t="s">
        <v>74</v>
      </c>
      <c r="K71" s="8" t="n">
        <v>25.7904953722154</v>
      </c>
      <c r="L71" s="8" t="n">
        <v>20231.4275649796</v>
      </c>
      <c r="M71" s="8" t="n">
        <f aca="false">M70+L71</f>
        <v>1211937.34885927</v>
      </c>
      <c r="N71" s="5" t="str">
        <f aca="false">IF(L71&gt;0,"прибыль",IF(L71&lt;0,"убыток","ноль"))</f>
        <v>прибыль</v>
      </c>
      <c r="O71" s="6" t="n">
        <f aca="false">IF(L71&lt;0,O70+1,0)</f>
        <v>0</v>
      </c>
      <c r="P71" s="6" t="n">
        <v>21</v>
      </c>
    </row>
    <row r="72" customFormat="false" ht="15" hidden="false" customHeight="false" outlineLevel="0" collapsed="false">
      <c r="A72" s="6" t="n">
        <v>67</v>
      </c>
      <c r="B72" s="5" t="s">
        <v>72</v>
      </c>
      <c r="C72" s="5" t="s">
        <v>25</v>
      </c>
      <c r="D72" s="11" t="n">
        <v>43839</v>
      </c>
      <c r="E72" s="11" t="n">
        <v>43874</v>
      </c>
      <c r="F72" s="5" t="s">
        <v>73</v>
      </c>
      <c r="G72" s="12" t="n">
        <v>165493.061370333</v>
      </c>
      <c r="H72" s="13" t="n">
        <v>66.07</v>
      </c>
      <c r="I72" s="13" t="n">
        <v>56.12</v>
      </c>
      <c r="J72" s="5" t="s">
        <v>74</v>
      </c>
      <c r="K72" s="8" t="n">
        <v>8.14386054826352</v>
      </c>
      <c r="L72" s="8" t="n">
        <v>-2623.99426561052</v>
      </c>
      <c r="M72" s="8" t="n">
        <f aca="false">M71+L72</f>
        <v>1209313.35459366</v>
      </c>
      <c r="N72" s="5" t="str">
        <f aca="false">IF(L72&gt;0,"прибыль",IF(L72&lt;0,"убыток","ноль"))</f>
        <v>убыток</v>
      </c>
      <c r="O72" s="6" t="n">
        <f aca="false">IF(L72&lt;0,O71+1,0)</f>
        <v>1</v>
      </c>
      <c r="P72" s="6" t="n">
        <v>25</v>
      </c>
    </row>
    <row r="73" customFormat="false" ht="15" hidden="false" customHeight="false" outlineLevel="0" collapsed="false">
      <c r="A73" s="6" t="n">
        <v>68</v>
      </c>
      <c r="B73" s="5" t="s">
        <v>72</v>
      </c>
      <c r="C73" s="5" t="s">
        <v>25</v>
      </c>
      <c r="D73" s="11" t="n">
        <v>43874</v>
      </c>
      <c r="E73" s="11" t="n">
        <v>43894</v>
      </c>
      <c r="F73" s="5" t="s">
        <v>73</v>
      </c>
      <c r="G73" s="12" t="n">
        <v>555710.500297453</v>
      </c>
      <c r="H73" s="13" t="n">
        <v>56.12</v>
      </c>
      <c r="I73" s="13" t="n">
        <v>52.03</v>
      </c>
      <c r="J73" s="5" t="s">
        <v>74</v>
      </c>
      <c r="K73" s="8" t="n">
        <v>44.4724415175549</v>
      </c>
      <c r="L73" s="8" t="n">
        <v>-68815.4159304669</v>
      </c>
      <c r="M73" s="8" t="n">
        <f aca="false">M72+L73</f>
        <v>1140497.9386632</v>
      </c>
      <c r="N73" s="5" t="str">
        <f aca="false">IF(L73&gt;0,"прибыль",IF(L73&lt;0,"убыток","ноль"))</f>
        <v>убыток</v>
      </c>
      <c r="O73" s="6" t="n">
        <f aca="false">IF(L73&lt;0,O72+1,0)</f>
        <v>2</v>
      </c>
      <c r="P73" s="6" t="n">
        <v>13</v>
      </c>
    </row>
    <row r="74" customFormat="false" ht="15" hidden="false" customHeight="false" outlineLevel="0" collapsed="false">
      <c r="A74" s="6" t="n">
        <v>69</v>
      </c>
      <c r="B74" s="5" t="s">
        <v>72</v>
      </c>
      <c r="C74" s="5" t="s">
        <v>25</v>
      </c>
      <c r="D74" s="11" t="n">
        <v>43894</v>
      </c>
      <c r="E74" s="11" t="n">
        <v>43901</v>
      </c>
      <c r="F74" s="5" t="s">
        <v>75</v>
      </c>
      <c r="G74" s="12" t="n">
        <v>120538.243413785</v>
      </c>
      <c r="H74" s="13" t="n">
        <v>52.03</v>
      </c>
      <c r="I74" s="13" t="n">
        <v>37.8</v>
      </c>
      <c r="K74" s="8" t="n">
        <v>4.39627374553991</v>
      </c>
      <c r="L74" s="8" t="n">
        <v>32608.3722292414</v>
      </c>
      <c r="M74" s="8" t="n">
        <f aca="false">M73+L74</f>
        <v>1173106.31089244</v>
      </c>
      <c r="N74" s="5" t="str">
        <f aca="false">IF(L74&gt;0,"прибыль",IF(L74&lt;0,"убыток","ноль"))</f>
        <v>прибыль</v>
      </c>
      <c r="O74" s="6" t="n">
        <f aca="false">IF(L74&lt;0,O73+1,0)</f>
        <v>0</v>
      </c>
      <c r="P74" s="6" t="n">
        <v>4</v>
      </c>
    </row>
    <row r="75" customFormat="false" ht="15" hidden="false" customHeight="false" outlineLevel="0" collapsed="false">
      <c r="A75" s="6" t="n">
        <v>70</v>
      </c>
      <c r="B75" s="5" t="s">
        <v>72</v>
      </c>
      <c r="C75" s="5" t="s">
        <v>25</v>
      </c>
      <c r="D75" s="11" t="n">
        <v>43901</v>
      </c>
      <c r="E75" s="11" t="n">
        <v>43924</v>
      </c>
      <c r="F75" s="5" t="s">
        <v>75</v>
      </c>
      <c r="G75" s="12" t="n">
        <v>88308.3535062449</v>
      </c>
      <c r="H75" s="13" t="n">
        <v>37.8</v>
      </c>
      <c r="I75" s="13" t="n">
        <v>29.72</v>
      </c>
      <c r="J75" s="5" t="s">
        <v>74</v>
      </c>
      <c r="K75" s="8" t="n">
        <v>3.97010784532463</v>
      </c>
      <c r="L75" s="8" t="n">
        <v>38160.6116038555</v>
      </c>
      <c r="M75" s="8" t="n">
        <f aca="false">M74+L75</f>
        <v>1211266.92249629</v>
      </c>
      <c r="N75" s="5" t="str">
        <f aca="false">IF(L75&gt;0,"прибыль",IF(L75&lt;0,"убыток","ноль"))</f>
        <v>прибыль</v>
      </c>
      <c r="O75" s="6" t="n">
        <f aca="false">IF(L75&lt;0,O74+1,0)</f>
        <v>0</v>
      </c>
      <c r="P75" s="6" t="n">
        <v>17</v>
      </c>
    </row>
    <row r="76" customFormat="false" ht="15" hidden="false" customHeight="false" outlineLevel="0" collapsed="false">
      <c r="A76" s="6" t="n">
        <v>71</v>
      </c>
      <c r="B76" s="5" t="s">
        <v>72</v>
      </c>
      <c r="C76" s="5" t="s">
        <v>25</v>
      </c>
      <c r="D76" s="11" t="n">
        <v>43924</v>
      </c>
      <c r="E76" s="11" t="n">
        <v>43927</v>
      </c>
      <c r="F76" s="5" t="s">
        <v>75</v>
      </c>
      <c r="G76" s="12" t="n">
        <v>67746.6141629357</v>
      </c>
      <c r="H76" s="13" t="n">
        <v>29.72</v>
      </c>
      <c r="I76" s="13" t="n">
        <v>35.12</v>
      </c>
      <c r="K76" s="8" t="n">
        <v>2.27461035619624</v>
      </c>
      <c r="L76" s="8" t="n">
        <v>22252.1324286547</v>
      </c>
      <c r="M76" s="8" t="n">
        <f aca="false">M75+L76</f>
        <v>1233519.05492495</v>
      </c>
      <c r="N76" s="5" t="str">
        <f aca="false">IF(L76&gt;0,"прибыль",IF(L76&lt;0,"убыток","ноль"))</f>
        <v>прибыль</v>
      </c>
      <c r="O76" s="6" t="n">
        <f aca="false">IF(L76&lt;0,O75+1,0)</f>
        <v>0</v>
      </c>
      <c r="P76" s="6" t="n">
        <v>1</v>
      </c>
    </row>
    <row r="77" customFormat="false" ht="15" hidden="false" customHeight="false" outlineLevel="0" collapsed="false">
      <c r="A77" s="6" t="n">
        <v>72</v>
      </c>
      <c r="B77" s="5" t="s">
        <v>72</v>
      </c>
      <c r="C77" s="5" t="s">
        <v>25</v>
      </c>
      <c r="D77" s="11" t="n">
        <v>43927</v>
      </c>
      <c r="E77" s="11" t="n">
        <v>43970</v>
      </c>
      <c r="F77" s="5" t="s">
        <v>75</v>
      </c>
      <c r="G77" s="12" t="n">
        <v>53827.7805647046</v>
      </c>
      <c r="H77" s="13" t="n">
        <v>35.12</v>
      </c>
      <c r="I77" s="13" t="n">
        <v>35.45</v>
      </c>
      <c r="J77" s="5" t="s">
        <v>74</v>
      </c>
      <c r="K77" s="8" t="n">
        <v>4.52321437082187</v>
      </c>
      <c r="L77" s="8" t="n">
        <v>14614.3978480426</v>
      </c>
      <c r="M77" s="8" t="n">
        <f aca="false">M76+L77</f>
        <v>1248133.45277299</v>
      </c>
      <c r="N77" s="5" t="str">
        <f aca="false">IF(L77&gt;0,"прибыль",IF(L77&lt;0,"убыток","ноль"))</f>
        <v>прибыль</v>
      </c>
      <c r="O77" s="6" t="n">
        <f aca="false">IF(L77&lt;0,O76+1,0)</f>
        <v>0</v>
      </c>
      <c r="P77" s="6" t="n">
        <v>29</v>
      </c>
    </row>
    <row r="78" customFormat="false" ht="15" hidden="false" customHeight="false" outlineLevel="0" collapsed="false">
      <c r="A78" s="6" t="n">
        <v>73</v>
      </c>
      <c r="B78" s="5" t="s">
        <v>72</v>
      </c>
      <c r="C78" s="5" t="s">
        <v>25</v>
      </c>
      <c r="D78" s="11" t="n">
        <v>43970</v>
      </c>
      <c r="E78" s="11" t="n">
        <v>44076</v>
      </c>
      <c r="F78" s="5" t="s">
        <v>75</v>
      </c>
      <c r="G78" s="12" t="n">
        <v>892336.720572876</v>
      </c>
      <c r="H78" s="13" t="n">
        <v>35.45</v>
      </c>
      <c r="I78" s="13" t="n">
        <v>45.92</v>
      </c>
      <c r="J78" s="5" t="s">
        <v>74</v>
      </c>
      <c r="K78" s="8" t="n">
        <v>82.0603779489584</v>
      </c>
      <c r="L78" s="8" t="n">
        <v>-9218.2731323838</v>
      </c>
      <c r="M78" s="8" t="n">
        <f aca="false">M77+L78</f>
        <v>1238915.17964061</v>
      </c>
      <c r="N78" s="5" t="str">
        <f aca="false">IF(L78&gt;0,"прибыль",IF(L78&lt;0,"убыток","ноль"))</f>
        <v>убыток</v>
      </c>
      <c r="O78" s="6" t="n">
        <f aca="false">IF(L78&lt;0,O77+1,0)</f>
        <v>1</v>
      </c>
      <c r="P78" s="6" t="n">
        <v>73</v>
      </c>
    </row>
    <row r="79" customFormat="false" ht="15" hidden="false" customHeight="false" outlineLevel="0" collapsed="false">
      <c r="A79" s="6" t="n">
        <v>74</v>
      </c>
      <c r="B79" s="5" t="s">
        <v>72</v>
      </c>
      <c r="C79" s="5" t="s">
        <v>25</v>
      </c>
      <c r="D79" s="11" t="n">
        <v>44140</v>
      </c>
      <c r="E79" s="11" t="n">
        <v>44145</v>
      </c>
      <c r="F79" s="5" t="s">
        <v>75</v>
      </c>
      <c r="G79" s="12" t="n">
        <v>104121.71634544</v>
      </c>
      <c r="H79" s="13" t="n">
        <v>40.05</v>
      </c>
      <c r="I79" s="13" t="n">
        <v>42.29</v>
      </c>
      <c r="K79" s="8" t="n">
        <v>28.039920941626</v>
      </c>
      <c r="L79" s="8" t="n">
        <v>-6171.45488997867</v>
      </c>
      <c r="M79" s="8" t="n">
        <f aca="false">M78+L79</f>
        <v>1232743.72475063</v>
      </c>
      <c r="N79" s="5" t="str">
        <f aca="false">IF(L79&gt;0,"прибыль",IF(L79&lt;0,"убыток","ноль"))</f>
        <v>убыток</v>
      </c>
      <c r="O79" s="6" t="n">
        <f aca="false">IF(L79&lt;0,O78+1,0)</f>
        <v>2</v>
      </c>
      <c r="P79" s="6" t="n">
        <v>3</v>
      </c>
    </row>
    <row r="80" customFormat="false" ht="15" hidden="false" customHeight="false" outlineLevel="0" collapsed="false">
      <c r="A80" s="6" t="n">
        <v>75</v>
      </c>
      <c r="B80" s="5" t="s">
        <v>72</v>
      </c>
      <c r="C80" s="5" t="s">
        <v>25</v>
      </c>
      <c r="D80" s="11" t="n">
        <v>44145</v>
      </c>
      <c r="E80" s="11" t="n">
        <v>44168</v>
      </c>
      <c r="F80" s="5" t="s">
        <v>75</v>
      </c>
      <c r="G80" s="12" t="n">
        <v>346411.571172601</v>
      </c>
      <c r="H80" s="13" t="n">
        <v>42.29</v>
      </c>
      <c r="I80" s="13" t="n">
        <v>48.22</v>
      </c>
      <c r="J80" s="5" t="s">
        <v>74</v>
      </c>
      <c r="K80" s="8" t="n">
        <v>21.013652005492</v>
      </c>
      <c r="L80" s="8" t="n">
        <v>-73882.4825892447</v>
      </c>
      <c r="M80" s="8" t="n">
        <f aca="false">M79+L80</f>
        <v>1158861.24216138</v>
      </c>
      <c r="N80" s="5" t="str">
        <f aca="false">IF(L80&gt;0,"прибыль",IF(L80&lt;0,"убыток","ноль"))</f>
        <v>убыток</v>
      </c>
      <c r="O80" s="6" t="n">
        <f aca="false">IF(L80&lt;0,O79+1,0)</f>
        <v>3</v>
      </c>
      <c r="P80" s="6" t="n">
        <v>17</v>
      </c>
    </row>
    <row r="81" customFormat="false" ht="15" hidden="false" customHeight="false" outlineLevel="0" collapsed="false">
      <c r="A81" s="6" t="n">
        <v>76</v>
      </c>
      <c r="B81" s="5" t="s">
        <v>76</v>
      </c>
      <c r="C81" s="5" t="s">
        <v>25</v>
      </c>
      <c r="D81" s="11" t="n">
        <v>44258</v>
      </c>
      <c r="E81" s="11" t="n">
        <v>44260</v>
      </c>
      <c r="F81" s="5" t="s">
        <v>73</v>
      </c>
      <c r="G81" s="12" t="n">
        <v>129261.118945333</v>
      </c>
      <c r="H81" s="13" t="n">
        <v>62.62</v>
      </c>
      <c r="I81" s="13" t="n">
        <v>67.19</v>
      </c>
      <c r="K81" s="8" t="n">
        <v>37.0600751125439</v>
      </c>
      <c r="L81" s="8" t="n">
        <v>9078.73622218154</v>
      </c>
      <c r="M81" s="8" t="n">
        <f aca="false">M80+L81</f>
        <v>1167939.97838356</v>
      </c>
      <c r="N81" s="5" t="str">
        <f aca="false">IF(L81&gt;0,"прибыль",IF(L81&lt;0,"убыток","ноль"))</f>
        <v>прибыль</v>
      </c>
      <c r="O81" s="6" t="n">
        <f aca="false">IF(L81&lt;0,O80+1,0)</f>
        <v>0</v>
      </c>
      <c r="P81" s="6" t="n">
        <v>2</v>
      </c>
    </row>
    <row r="82" customFormat="false" ht="15" hidden="false" customHeight="false" outlineLevel="0" collapsed="false">
      <c r="A82" s="6" t="n">
        <v>77</v>
      </c>
      <c r="B82" s="5" t="s">
        <v>76</v>
      </c>
      <c r="C82" s="5" t="s">
        <v>25</v>
      </c>
      <c r="D82" s="11" t="n">
        <v>44260</v>
      </c>
      <c r="E82" s="11" t="n">
        <v>44274</v>
      </c>
      <c r="F82" s="5" t="s">
        <v>73</v>
      </c>
      <c r="G82" s="12" t="n">
        <v>142068.830921387</v>
      </c>
      <c r="H82" s="13" t="n">
        <v>67.19</v>
      </c>
      <c r="I82" s="13" t="n">
        <v>62.87</v>
      </c>
      <c r="K82" s="8" t="n">
        <v>7.11201134154901</v>
      </c>
      <c r="L82" s="8" t="n">
        <v>164.283898251886</v>
      </c>
      <c r="M82" s="8" t="n">
        <f aca="false">M81+L82</f>
        <v>1168104.26228182</v>
      </c>
      <c r="N82" s="5" t="str">
        <f aca="false">IF(L82&gt;0,"прибыль",IF(L82&lt;0,"убыток","ноль"))</f>
        <v>прибыль</v>
      </c>
      <c r="O82" s="6" t="n">
        <f aca="false">IF(L82&lt;0,O81+1,0)</f>
        <v>0</v>
      </c>
      <c r="P82" s="6" t="n">
        <v>9</v>
      </c>
    </row>
    <row r="83" customFormat="false" ht="15" hidden="false" customHeight="false" outlineLevel="0" collapsed="false">
      <c r="A83" s="6" t="n">
        <v>78</v>
      </c>
      <c r="B83" s="5" t="s">
        <v>76</v>
      </c>
      <c r="C83" s="5" t="s">
        <v>25</v>
      </c>
      <c r="D83" s="11" t="n">
        <v>44274</v>
      </c>
      <c r="E83" s="11" t="n">
        <v>44284</v>
      </c>
      <c r="F83" s="5" t="s">
        <v>73</v>
      </c>
      <c r="G83" s="12" t="n">
        <v>77682.969013254</v>
      </c>
      <c r="H83" s="13" t="n">
        <v>62.87</v>
      </c>
      <c r="I83" s="13" t="n">
        <v>64.4</v>
      </c>
      <c r="K83" s="8" t="n">
        <v>3.98194146958893</v>
      </c>
      <c r="L83" s="8" t="n">
        <v>1951.87843705501</v>
      </c>
      <c r="M83" s="8" t="n">
        <f aca="false">M82+L83</f>
        <v>1170056.14071887</v>
      </c>
      <c r="N83" s="5" t="str">
        <f aca="false">IF(L83&gt;0,"прибыль",IF(L83&lt;0,"убыток","ноль"))</f>
        <v>прибыль</v>
      </c>
      <c r="O83" s="6" t="n">
        <f aca="false">IF(L83&lt;0,O82+1,0)</f>
        <v>0</v>
      </c>
      <c r="P83" s="6" t="n">
        <v>6</v>
      </c>
    </row>
    <row r="84" customFormat="false" ht="15" hidden="false" customHeight="false" outlineLevel="0" collapsed="false">
      <c r="A84" s="6" t="n">
        <v>79</v>
      </c>
      <c r="B84" s="5" t="s">
        <v>76</v>
      </c>
      <c r="C84" s="5" t="s">
        <v>25</v>
      </c>
      <c r="D84" s="11" t="n">
        <v>44284</v>
      </c>
      <c r="E84" s="11" t="n">
        <v>44291</v>
      </c>
      <c r="F84" s="5" t="s">
        <v>73</v>
      </c>
      <c r="G84" s="12" t="n">
        <v>253811.668128278</v>
      </c>
      <c r="H84" s="13" t="n">
        <v>64.4</v>
      </c>
      <c r="I84" s="13" t="n">
        <v>64.81</v>
      </c>
      <c r="J84" s="5" t="s">
        <v>74</v>
      </c>
      <c r="K84" s="8" t="n">
        <v>26.7424576954052</v>
      </c>
      <c r="L84" s="8" t="n">
        <v>3557.61792759576</v>
      </c>
      <c r="M84" s="8" t="n">
        <f aca="false">M83+L84</f>
        <v>1173613.75864647</v>
      </c>
      <c r="N84" s="5" t="str">
        <f aca="false">IF(L84&gt;0,"прибыль",IF(L84&lt;0,"убыток","ноль"))</f>
        <v>прибыль</v>
      </c>
      <c r="O84" s="6" t="n">
        <f aca="false">IF(L84&lt;0,O83+1,0)</f>
        <v>0</v>
      </c>
      <c r="P84" s="6" t="n">
        <v>5</v>
      </c>
    </row>
    <row r="85" customFormat="false" ht="15" hidden="false" customHeight="false" outlineLevel="0" collapsed="false">
      <c r="A85" s="6" t="n">
        <v>80</v>
      </c>
      <c r="B85" s="5" t="s">
        <v>76</v>
      </c>
      <c r="C85" s="5" t="s">
        <v>25</v>
      </c>
      <c r="D85" s="11" t="n">
        <v>44291</v>
      </c>
      <c r="E85" s="11" t="n">
        <v>44321</v>
      </c>
      <c r="F85" s="5" t="s">
        <v>75</v>
      </c>
      <c r="G85" s="12" t="n">
        <v>612981.103641269</v>
      </c>
      <c r="H85" s="13" t="n">
        <v>64.81</v>
      </c>
      <c r="I85" s="13" t="n">
        <v>69.4</v>
      </c>
      <c r="J85" s="5" t="s">
        <v>74</v>
      </c>
      <c r="K85" s="8" t="n">
        <v>49.6944037777215</v>
      </c>
      <c r="L85" s="8" t="n">
        <v>-45428.6880702037</v>
      </c>
      <c r="M85" s="8" t="n">
        <f aca="false">M84+L85</f>
        <v>1128185.07057626</v>
      </c>
      <c r="N85" s="5" t="str">
        <f aca="false">IF(L85&gt;0,"прибыль",IF(L85&lt;0,"убыток","ноль"))</f>
        <v>убыток</v>
      </c>
      <c r="O85" s="6" t="n">
        <f aca="false">IF(L85&lt;0,O84+1,0)</f>
        <v>1</v>
      </c>
      <c r="P85" s="6" t="n">
        <v>21</v>
      </c>
    </row>
    <row r="86" customFormat="false" ht="15" hidden="false" customHeight="false" outlineLevel="0" collapsed="false">
      <c r="A86" s="6" t="n">
        <v>81</v>
      </c>
      <c r="B86" s="5" t="s">
        <v>76</v>
      </c>
      <c r="C86" s="5" t="s">
        <v>25</v>
      </c>
      <c r="D86" s="11" t="n">
        <v>44412</v>
      </c>
      <c r="E86" s="11" t="n">
        <v>44432</v>
      </c>
      <c r="F86" s="5" t="s">
        <v>73</v>
      </c>
      <c r="G86" s="12" t="n">
        <v>185585.843986728</v>
      </c>
      <c r="H86" s="13" t="n">
        <v>72.4</v>
      </c>
      <c r="I86" s="13" t="n">
        <v>68.78</v>
      </c>
      <c r="K86" s="8" t="n">
        <v>42.9839520547526</v>
      </c>
      <c r="L86" s="8" t="n">
        <v>-6232.27611302224</v>
      </c>
      <c r="M86" s="8" t="n">
        <f aca="false">M85+L86</f>
        <v>1121952.79446324</v>
      </c>
      <c r="N86" s="5" t="str">
        <f aca="false">IF(L86&gt;0,"прибыль",IF(L86&lt;0,"убыток","ноль"))</f>
        <v>убыток</v>
      </c>
      <c r="O86" s="6" t="n">
        <f aca="false">IF(L86&lt;0,O85+1,0)</f>
        <v>2</v>
      </c>
      <c r="P86" s="6" t="n">
        <v>14</v>
      </c>
    </row>
    <row r="87" customFormat="false" ht="15" hidden="false" customHeight="false" outlineLevel="0" collapsed="false">
      <c r="A87" s="6" t="n">
        <v>82</v>
      </c>
      <c r="B87" s="5" t="s">
        <v>76</v>
      </c>
      <c r="C87" s="5" t="s">
        <v>25</v>
      </c>
      <c r="D87" s="11" t="n">
        <v>44432</v>
      </c>
      <c r="E87" s="11" t="n">
        <v>44474</v>
      </c>
      <c r="F87" s="5" t="s">
        <v>73</v>
      </c>
      <c r="G87" s="12" t="n">
        <v>607175.623112527</v>
      </c>
      <c r="H87" s="13" t="n">
        <v>68.78</v>
      </c>
      <c r="I87" s="13" t="n">
        <v>81.35</v>
      </c>
      <c r="J87" s="5" t="s">
        <v>74</v>
      </c>
      <c r="K87" s="8" t="n">
        <v>40.3853659701761</v>
      </c>
      <c r="L87" s="8" t="n">
        <v>88012.3330950624</v>
      </c>
      <c r="M87" s="8" t="n">
        <f aca="false">M86+L87</f>
        <v>1209965.1275583</v>
      </c>
      <c r="N87" s="5" t="str">
        <f aca="false">IF(L87&gt;0,"прибыль",IF(L87&lt;0,"убыток","ноль"))</f>
        <v>прибыль</v>
      </c>
      <c r="O87" s="6" t="n">
        <f aca="false">IF(L87&lt;0,O86+1,0)</f>
        <v>0</v>
      </c>
      <c r="P87" s="6" t="n">
        <v>30</v>
      </c>
    </row>
    <row r="88" customFormat="false" ht="15" hidden="false" customHeight="false" outlineLevel="0" collapsed="false">
      <c r="A88" s="6" t="n">
        <v>83</v>
      </c>
      <c r="B88" s="5" t="s">
        <v>76</v>
      </c>
      <c r="C88" s="5" t="s">
        <v>25</v>
      </c>
      <c r="D88" s="11" t="n">
        <v>44533</v>
      </c>
      <c r="E88" s="11" t="n">
        <v>44566</v>
      </c>
      <c r="F88" s="5" t="s">
        <v>73</v>
      </c>
      <c r="G88" s="12" t="n">
        <v>407355.642553395</v>
      </c>
      <c r="H88" s="13" t="n">
        <v>70.34</v>
      </c>
      <c r="I88" s="13" t="n">
        <v>80</v>
      </c>
      <c r="J88" s="5" t="s">
        <v>74</v>
      </c>
      <c r="K88" s="8" t="n">
        <v>43.0189132137204</v>
      </c>
      <c r="L88" s="8" t="n">
        <v>45623.9602544043</v>
      </c>
      <c r="M88" s="8" t="n">
        <f aca="false">M87+L88</f>
        <v>1255589.08781271</v>
      </c>
      <c r="N88" s="5" t="str">
        <f aca="false">IF(L88&gt;0,"прибыль",IF(L88&lt;0,"убыток","ноль"))</f>
        <v>прибыль</v>
      </c>
      <c r="O88" s="6" t="n">
        <f aca="false">IF(L88&lt;0,O87+1,0)</f>
        <v>0</v>
      </c>
      <c r="P88" s="6" t="n">
        <v>22</v>
      </c>
    </row>
    <row r="89" customFormat="false" ht="15" hidden="false" customHeight="false" outlineLevel="0" collapsed="false">
      <c r="A89" s="6" t="n">
        <v>84</v>
      </c>
      <c r="B89" s="5" t="s">
        <v>76</v>
      </c>
      <c r="C89" s="5" t="s">
        <v>25</v>
      </c>
      <c r="D89" s="11" t="n">
        <v>44595</v>
      </c>
      <c r="E89" s="11" t="n">
        <v>44608</v>
      </c>
      <c r="F89" s="5" t="s">
        <v>73</v>
      </c>
      <c r="G89" s="12" t="n">
        <v>158236.745777232</v>
      </c>
      <c r="H89" s="13" t="n">
        <v>89.56</v>
      </c>
      <c r="I89" s="13" t="n">
        <v>93.12</v>
      </c>
      <c r="K89" s="8" t="n">
        <v>45.1353931619199</v>
      </c>
      <c r="L89" s="8" t="n">
        <v>5915.26236805882</v>
      </c>
      <c r="M89" s="8" t="n">
        <f aca="false">M88+L89</f>
        <v>1261504.35018077</v>
      </c>
      <c r="N89" s="5" t="str">
        <f aca="false">IF(L89&gt;0,"прибыль",IF(L89&lt;0,"убыток","ноль"))</f>
        <v>прибыль</v>
      </c>
      <c r="O89" s="6" t="n">
        <f aca="false">IF(L89&lt;0,O88+1,0)</f>
        <v>0</v>
      </c>
      <c r="P89" s="6" t="n">
        <v>9</v>
      </c>
    </row>
    <row r="90" customFormat="false" ht="15" hidden="false" customHeight="false" outlineLevel="0" collapsed="false">
      <c r="A90" s="6" t="n">
        <v>85</v>
      </c>
      <c r="B90" s="5" t="s">
        <v>76</v>
      </c>
      <c r="C90" s="5" t="s">
        <v>25</v>
      </c>
      <c r="D90" s="11" t="n">
        <v>44608</v>
      </c>
      <c r="E90" s="11" t="n">
        <v>44623</v>
      </c>
      <c r="F90" s="5" t="s">
        <v>73</v>
      </c>
      <c r="G90" s="12" t="n">
        <v>381022.425117048</v>
      </c>
      <c r="H90" s="13" t="n">
        <v>93.12</v>
      </c>
      <c r="I90" s="13" t="n">
        <v>114.46</v>
      </c>
      <c r="J90" s="5" t="s">
        <v>74</v>
      </c>
      <c r="K90" s="8" t="n">
        <v>25.413766042889</v>
      </c>
      <c r="L90" s="8" t="n">
        <v>127227.481974689</v>
      </c>
      <c r="M90" s="8" t="n">
        <f aca="false">M89+L90</f>
        <v>1388731.83215545</v>
      </c>
      <c r="N90" s="5" t="str">
        <f aca="false">IF(L90&gt;0,"прибыль",IF(L90&lt;0,"убыток","ноль"))</f>
        <v>прибыль</v>
      </c>
      <c r="O90" s="6" t="n">
        <f aca="false">IF(L90&lt;0,O89+1,0)</f>
        <v>0</v>
      </c>
      <c r="P90" s="6" t="n">
        <v>9</v>
      </c>
    </row>
    <row r="91" customFormat="false" ht="15" hidden="false" customHeight="false" outlineLevel="0" collapsed="false">
      <c r="A91" s="6" t="n">
        <v>86</v>
      </c>
      <c r="B91" s="5" t="s">
        <v>76</v>
      </c>
      <c r="C91" s="5" t="s">
        <v>25</v>
      </c>
      <c r="D91" s="11" t="n">
        <v>44623</v>
      </c>
      <c r="E91" s="11" t="n">
        <v>44630</v>
      </c>
      <c r="F91" s="5" t="s">
        <v>73</v>
      </c>
      <c r="G91" s="12" t="n">
        <v>45501.8614456673</v>
      </c>
      <c r="H91" s="13" t="n">
        <v>114.46</v>
      </c>
      <c r="I91" s="13" t="n">
        <v>120</v>
      </c>
      <c r="K91" s="8" t="n">
        <v>3.18087895130485</v>
      </c>
      <c r="L91" s="8" t="n">
        <v>18112.5367014783</v>
      </c>
      <c r="M91" s="8" t="n">
        <f aca="false">M90+L91</f>
        <v>1406844.36885693</v>
      </c>
      <c r="N91" s="5" t="str">
        <f aca="false">IF(L91&gt;0,"прибыль",IF(L91&lt;0,"убыток","ноль"))</f>
        <v>прибыль</v>
      </c>
      <c r="O91" s="6" t="n">
        <f aca="false">IF(L91&lt;0,O90+1,0)</f>
        <v>0</v>
      </c>
      <c r="P91" s="6" t="n">
        <v>3</v>
      </c>
    </row>
    <row r="92" customFormat="false" ht="15" hidden="false" customHeight="false" outlineLevel="0" collapsed="false">
      <c r="A92" s="6" t="n">
        <v>87</v>
      </c>
      <c r="B92" s="5" t="s">
        <v>76</v>
      </c>
      <c r="C92" s="5" t="s">
        <v>25</v>
      </c>
      <c r="D92" s="11" t="n">
        <v>44630</v>
      </c>
      <c r="E92" s="11" t="n">
        <v>44644</v>
      </c>
      <c r="F92" s="5" t="s">
        <v>73</v>
      </c>
      <c r="G92" s="12" t="n">
        <v>34019.9308441982</v>
      </c>
      <c r="H92" s="13" t="n">
        <v>120</v>
      </c>
      <c r="I92" s="13" t="n">
        <v>121.45</v>
      </c>
      <c r="K92" s="8" t="n">
        <v>2.40554488657787</v>
      </c>
      <c r="L92" s="8" t="n">
        <v>14088.5613424726</v>
      </c>
      <c r="M92" s="8" t="n">
        <f aca="false">M91+L92</f>
        <v>1420932.93019941</v>
      </c>
      <c r="N92" s="5" t="str">
        <f aca="false">IF(L92&gt;0,"прибыль",IF(L92&lt;0,"убыток","ноль"))</f>
        <v>прибыль</v>
      </c>
      <c r="O92" s="6" t="n">
        <f aca="false">IF(L92&lt;0,O91+1,0)</f>
        <v>0</v>
      </c>
      <c r="P92" s="6" t="n">
        <v>10</v>
      </c>
    </row>
    <row r="93" customFormat="false" ht="15" hidden="false" customHeight="false" outlineLevel="0" collapsed="false">
      <c r="A93" s="6" t="n">
        <v>88</v>
      </c>
      <c r="B93" s="5" t="s">
        <v>76</v>
      </c>
      <c r="C93" s="5" t="s">
        <v>25</v>
      </c>
      <c r="D93" s="11" t="n">
        <v>44644</v>
      </c>
      <c r="E93" s="11" t="n">
        <v>44687</v>
      </c>
      <c r="F93" s="5" t="s">
        <v>73</v>
      </c>
      <c r="G93" s="12" t="n">
        <v>248039.174295816</v>
      </c>
      <c r="H93" s="13" t="n">
        <v>121.45</v>
      </c>
      <c r="I93" s="13" t="n">
        <v>112</v>
      </c>
      <c r="J93" s="5" t="s">
        <v>74</v>
      </c>
      <c r="K93" s="8" t="n">
        <v>21.7234292042179</v>
      </c>
      <c r="L93" s="8" t="n">
        <v>58098.2685793217</v>
      </c>
      <c r="M93" s="8" t="n">
        <f aca="false">M92+L93</f>
        <v>1479031.19877873</v>
      </c>
      <c r="N93" s="5" t="str">
        <f aca="false">IF(L93&gt;0,"прибыль",IF(L93&lt;0,"убыток","ноль"))</f>
        <v>прибыль</v>
      </c>
      <c r="O93" s="6" t="n">
        <f aca="false">IF(L93&lt;0,O92+1,0)</f>
        <v>0</v>
      </c>
      <c r="P93" s="6" t="n">
        <v>29</v>
      </c>
    </row>
    <row r="94" customFormat="false" ht="15" hidden="false" customHeight="false" outlineLevel="0" collapsed="false">
      <c r="A94" s="6" t="n">
        <v>89</v>
      </c>
      <c r="B94" s="5" t="s">
        <v>76</v>
      </c>
      <c r="C94" s="5" t="s">
        <v>25</v>
      </c>
      <c r="D94" s="11" t="n">
        <v>44715</v>
      </c>
      <c r="E94" s="11" t="n">
        <v>44748</v>
      </c>
      <c r="F94" s="5" t="s">
        <v>73</v>
      </c>
      <c r="G94" s="12" t="n">
        <v>182251.715017339</v>
      </c>
      <c r="H94" s="13" t="n">
        <v>117.88</v>
      </c>
      <c r="I94" s="13" t="n">
        <v>105.83</v>
      </c>
      <c r="J94" s="5" t="s">
        <v>74</v>
      </c>
      <c r="K94" s="8" t="n">
        <v>38.3809775674562</v>
      </c>
      <c r="L94" s="8" t="n">
        <v>-17189.00499288</v>
      </c>
      <c r="M94" s="8" t="n">
        <f aca="false">M93+L94</f>
        <v>1461842.19378585</v>
      </c>
      <c r="N94" s="5" t="str">
        <f aca="false">IF(L94&gt;0,"прибыль",IF(L94&lt;0,"убыток","ноль"))</f>
        <v>убыток</v>
      </c>
      <c r="O94" s="6" t="n">
        <f aca="false">IF(L94&lt;0,O93+1,0)</f>
        <v>1</v>
      </c>
      <c r="P94" s="6" t="n">
        <v>22</v>
      </c>
    </row>
    <row r="95" customFormat="false" ht="15" hidden="false" customHeight="false" outlineLevel="0" collapsed="false">
      <c r="A95" s="6" t="n">
        <v>90</v>
      </c>
      <c r="B95" s="5" t="s">
        <v>76</v>
      </c>
      <c r="C95" s="5" t="s">
        <v>25</v>
      </c>
      <c r="D95" s="11" t="n">
        <v>44748</v>
      </c>
      <c r="E95" s="11" t="n">
        <v>44761</v>
      </c>
      <c r="F95" s="5" t="s">
        <v>73</v>
      </c>
      <c r="G95" s="12" t="n">
        <v>89251.6643085174</v>
      </c>
      <c r="H95" s="13" t="n">
        <v>105.83</v>
      </c>
      <c r="I95" s="13" t="n">
        <v>106.05</v>
      </c>
      <c r="K95" s="8" t="n">
        <v>4.04971872745851</v>
      </c>
      <c r="L95" s="8" t="n">
        <v>-8261.33947807474</v>
      </c>
      <c r="M95" s="8" t="n">
        <f aca="false">M94+L95</f>
        <v>1453580.85430777</v>
      </c>
      <c r="N95" s="5" t="str">
        <f aca="false">IF(L95&gt;0,"прибыль",IF(L95&lt;0,"убыток","ноль"))</f>
        <v>убыток</v>
      </c>
      <c r="O95" s="6" t="n">
        <f aca="false">IF(L95&lt;0,O94+1,0)</f>
        <v>2</v>
      </c>
      <c r="P95" s="6" t="n">
        <v>9</v>
      </c>
    </row>
    <row r="96" customFormat="false" ht="15" hidden="false" customHeight="false" outlineLevel="0" collapsed="false">
      <c r="A96" s="6" t="n">
        <v>91</v>
      </c>
      <c r="B96" s="5" t="s">
        <v>76</v>
      </c>
      <c r="C96" s="5" t="s">
        <v>25</v>
      </c>
      <c r="D96" s="11" t="n">
        <v>44761</v>
      </c>
      <c r="E96" s="11" t="n">
        <v>44803</v>
      </c>
      <c r="F96" s="5" t="s">
        <v>73</v>
      </c>
      <c r="G96" s="12" t="n">
        <v>114854.846912187</v>
      </c>
      <c r="H96" s="13" t="n">
        <v>106.05</v>
      </c>
      <c r="I96" s="13" t="n">
        <v>104.77</v>
      </c>
      <c r="J96" s="5" t="s">
        <v>74</v>
      </c>
      <c r="K96" s="8" t="n">
        <v>17.8756705330541</v>
      </c>
      <c r="L96" s="8" t="n">
        <v>1799.75524660159</v>
      </c>
      <c r="M96" s="8" t="n">
        <f aca="false">M95+L96</f>
        <v>1455380.60955437</v>
      </c>
      <c r="N96" s="5" t="str">
        <f aca="false">IF(L96&gt;0,"прибыль",IF(L96&lt;0,"убыток","ноль"))</f>
        <v>прибыль</v>
      </c>
      <c r="O96" s="6" t="n">
        <f aca="false">IF(L96&lt;0,O95+1,0)</f>
        <v>0</v>
      </c>
      <c r="P96" s="6" t="n">
        <v>30</v>
      </c>
    </row>
    <row r="97" customFormat="false" ht="15" hidden="false" customHeight="false" outlineLevel="0" collapsed="false">
      <c r="A97" s="6" t="n">
        <v>92</v>
      </c>
      <c r="B97" s="5" t="s">
        <v>76</v>
      </c>
      <c r="C97" s="5" t="s">
        <v>25</v>
      </c>
      <c r="D97" s="11" t="n">
        <v>44803</v>
      </c>
      <c r="E97" s="11" t="n">
        <v>44809</v>
      </c>
      <c r="F97" s="5" t="s">
        <v>73</v>
      </c>
      <c r="G97" s="12" t="n">
        <v>457001.166940817</v>
      </c>
      <c r="H97" s="13" t="n">
        <v>104.77</v>
      </c>
      <c r="I97" s="13" t="n">
        <v>96.23</v>
      </c>
      <c r="J97" s="5" t="s">
        <v>74</v>
      </c>
      <c r="K97" s="8" t="n">
        <v>21.4702414672074</v>
      </c>
      <c r="L97" s="8" t="n">
        <v>-27617.8078381364</v>
      </c>
      <c r="M97" s="8" t="n">
        <f aca="false">M96+L97</f>
        <v>1427762.80171624</v>
      </c>
      <c r="N97" s="5" t="str">
        <f aca="false">IF(L97&gt;0,"прибыль",IF(L97&lt;0,"убыток","ноль"))</f>
        <v>убыток</v>
      </c>
      <c r="O97" s="6" t="n">
        <f aca="false">IF(L97&lt;0,O96+1,0)</f>
        <v>1</v>
      </c>
      <c r="P97" s="6" t="n">
        <v>4</v>
      </c>
    </row>
    <row r="98" customFormat="false" ht="15" hidden="false" customHeight="false" outlineLevel="0" collapsed="false">
      <c r="A98" s="6" t="n">
        <v>93</v>
      </c>
      <c r="B98" s="5" t="s">
        <v>76</v>
      </c>
      <c r="C98" s="5" t="s">
        <v>25</v>
      </c>
      <c r="D98" s="11" t="n">
        <v>44839</v>
      </c>
      <c r="E98" s="11" t="n">
        <v>44868</v>
      </c>
      <c r="F98" s="5" t="s">
        <v>75</v>
      </c>
      <c r="G98" s="12" t="n">
        <v>525814.691766692</v>
      </c>
      <c r="H98" s="13" t="n">
        <v>93.18</v>
      </c>
      <c r="I98" s="13" t="n">
        <v>96.57</v>
      </c>
      <c r="J98" s="5" t="s">
        <v>74</v>
      </c>
      <c r="K98" s="8" t="n">
        <v>53.3321057521974</v>
      </c>
      <c r="L98" s="8" t="n">
        <v>-15066.0636163165</v>
      </c>
      <c r="M98" s="8" t="n">
        <f aca="false">M97+L98</f>
        <v>1412696.73809992</v>
      </c>
      <c r="N98" s="5" t="str">
        <f aca="false">IF(L98&gt;0,"прибыль",IF(L98&lt;0,"убыток","ноль"))</f>
        <v>убыток</v>
      </c>
      <c r="O98" s="6" t="n">
        <f aca="false">IF(L98&lt;0,O97+1,0)</f>
        <v>2</v>
      </c>
      <c r="P98" s="6" t="n">
        <v>21</v>
      </c>
    </row>
    <row r="99" customFormat="false" ht="15" hidden="false" customHeight="false" outlineLevel="0" collapsed="false">
      <c r="A99" s="6" t="n">
        <v>94</v>
      </c>
      <c r="B99" s="5" t="s">
        <v>76</v>
      </c>
      <c r="C99" s="5" t="s">
        <v>25</v>
      </c>
      <c r="D99" s="11" t="n">
        <v>44900</v>
      </c>
      <c r="E99" s="11" t="n">
        <v>45013</v>
      </c>
      <c r="F99" s="5" t="s">
        <v>75</v>
      </c>
      <c r="G99" s="12" t="n">
        <v>178484.544991408</v>
      </c>
      <c r="H99" s="13" t="n">
        <v>88.8</v>
      </c>
      <c r="I99" s="13" t="n">
        <v>77.93</v>
      </c>
      <c r="J99" s="5" t="s">
        <v>74</v>
      </c>
      <c r="K99" s="8" t="n">
        <v>45.3001787450918</v>
      </c>
      <c r="L99" s="8" t="n">
        <v>33714.186617787</v>
      </c>
      <c r="M99" s="8" t="n">
        <f aca="false">M98+L99</f>
        <v>1446410.92471771</v>
      </c>
      <c r="N99" s="5" t="str">
        <f aca="false">IF(L99&gt;0,"прибыль",IF(L99&lt;0,"убыток","ноль"))</f>
        <v>прибыль</v>
      </c>
      <c r="O99" s="6" t="n">
        <f aca="false">IF(L99&lt;0,O98+1,0)</f>
        <v>0</v>
      </c>
      <c r="P99" s="6" t="n">
        <v>78</v>
      </c>
    </row>
    <row r="100" customFormat="false" ht="15" hidden="false" customHeight="false" outlineLevel="0" collapsed="false">
      <c r="A100" s="6" t="n">
        <v>95</v>
      </c>
      <c r="B100" s="5" t="s">
        <v>76</v>
      </c>
      <c r="C100" s="5" t="s">
        <v>25</v>
      </c>
      <c r="D100" s="11" t="n">
        <v>45013</v>
      </c>
      <c r="E100" s="11" t="n">
        <v>45050</v>
      </c>
      <c r="F100" s="5" t="s">
        <v>75</v>
      </c>
      <c r="G100" s="12" t="n">
        <v>925278.037028122</v>
      </c>
      <c r="H100" s="13" t="n">
        <v>77.93</v>
      </c>
      <c r="I100" s="13" t="n">
        <v>75.47</v>
      </c>
      <c r="J100" s="5" t="s">
        <v>74</v>
      </c>
      <c r="K100" s="8" t="n">
        <v>83.9053658859063</v>
      </c>
      <c r="L100" s="8" t="n">
        <v>187100.397572474</v>
      </c>
      <c r="M100" s="8" t="n">
        <f aca="false">M99+L100</f>
        <v>1633511.32229018</v>
      </c>
      <c r="N100" s="5" t="str">
        <f aca="false">IF(L100&gt;0,"прибыль",IF(L100&lt;0,"убыток","ноль"))</f>
        <v>прибыль</v>
      </c>
      <c r="O100" s="6" t="n">
        <f aca="false">IF(L100&lt;0,O99+1,0)</f>
        <v>0</v>
      </c>
      <c r="P100" s="6" t="n">
        <v>26</v>
      </c>
    </row>
    <row r="101" customFormat="false" ht="15" hidden="false" customHeight="false" outlineLevel="0" collapsed="false">
      <c r="A101" s="6" t="n">
        <v>96</v>
      </c>
      <c r="B101" s="5" t="s">
        <v>76</v>
      </c>
      <c r="C101" s="5" t="s">
        <v>25</v>
      </c>
      <c r="D101" s="11" t="n">
        <v>45050</v>
      </c>
      <c r="E101" s="11" t="n">
        <v>45051</v>
      </c>
      <c r="F101" s="5" t="s">
        <v>73</v>
      </c>
      <c r="G101" s="12" t="n">
        <v>9.67476642095847E-011</v>
      </c>
      <c r="H101" s="13" t="n">
        <v>75.47</v>
      </c>
      <c r="I101" s="13" t="n">
        <v>75.22</v>
      </c>
      <c r="K101" s="8" t="n">
        <v>4.81094027090138E-015</v>
      </c>
      <c r="L101" s="8" t="n">
        <v>-5.33669731828073E-013</v>
      </c>
      <c r="M101" s="8" t="n">
        <f aca="false">M100+L101</f>
        <v>1633511.32229018</v>
      </c>
      <c r="N101" s="5" t="str">
        <f aca="false">IF(L101&gt;0,"прибыль",IF(L101&lt;0,"убыток","ноль"))</f>
        <v>убыток</v>
      </c>
      <c r="O101" s="6" t="n">
        <f aca="false">IF(L101&lt;0,O100+1,0)</f>
        <v>1</v>
      </c>
      <c r="P101" s="6" t="n">
        <v>1</v>
      </c>
    </row>
    <row r="102" customFormat="false" ht="15" hidden="false" customHeight="false" outlineLevel="0" collapsed="false">
      <c r="A102" s="6" t="n">
        <v>97</v>
      </c>
      <c r="B102" s="5" t="s">
        <v>76</v>
      </c>
      <c r="C102" s="5" t="s">
        <v>25</v>
      </c>
      <c r="D102" s="11" t="n">
        <v>45051</v>
      </c>
      <c r="E102" s="11" t="n">
        <v>45082</v>
      </c>
      <c r="F102" s="5" t="s">
        <v>73</v>
      </c>
      <c r="G102" s="12" t="n">
        <v>597529.518315792</v>
      </c>
      <c r="H102" s="13" t="n">
        <v>75.22</v>
      </c>
      <c r="I102" s="13" t="n">
        <v>77.67</v>
      </c>
      <c r="J102" s="5" t="s">
        <v>74</v>
      </c>
      <c r="K102" s="8" t="n">
        <v>54.7213482104072</v>
      </c>
      <c r="L102" s="8" t="n">
        <v>-9458.84816537151</v>
      </c>
      <c r="M102" s="8" t="n">
        <f aca="false">M101+L102</f>
        <v>1624052.47412481</v>
      </c>
      <c r="N102" s="5" t="str">
        <f aca="false">IF(L102&gt;0,"прибыль",IF(L102&lt;0,"убыток","ноль"))</f>
        <v>убыток</v>
      </c>
      <c r="O102" s="6" t="n">
        <f aca="false">IF(L102&lt;0,O101+1,0)</f>
        <v>2</v>
      </c>
      <c r="P102" s="6" t="n">
        <v>20</v>
      </c>
    </row>
    <row r="103" customFormat="false" ht="15" hidden="false" customHeight="false" outlineLevel="0" collapsed="false">
      <c r="A103" s="6" t="n">
        <v>98</v>
      </c>
      <c r="B103" s="5" t="s">
        <v>76</v>
      </c>
      <c r="C103" s="5" t="s">
        <v>25</v>
      </c>
      <c r="D103" s="11" t="n">
        <v>45082</v>
      </c>
      <c r="E103" s="11" t="n">
        <v>45083</v>
      </c>
      <c r="F103" s="5" t="s">
        <v>75</v>
      </c>
      <c r="G103" s="12" t="n">
        <v>9.52250159125507E-011</v>
      </c>
      <c r="H103" s="13" t="n">
        <v>77.67</v>
      </c>
      <c r="I103" s="13" t="n">
        <v>77.54</v>
      </c>
      <c r="K103" s="8" t="n">
        <v>4.76472647295915E-015</v>
      </c>
      <c r="L103" s="8" t="n">
        <v>-7.4278273105266E-014</v>
      </c>
      <c r="M103" s="8" t="n">
        <f aca="false">M102+L103</f>
        <v>1624052.47412481</v>
      </c>
      <c r="N103" s="5" t="str">
        <f aca="false">IF(L103&gt;0,"прибыль",IF(L103&lt;0,"убыток","ноль"))</f>
        <v>убыток</v>
      </c>
      <c r="O103" s="6" t="n">
        <f aca="false">IF(L103&lt;0,O102+1,0)</f>
        <v>3</v>
      </c>
      <c r="P103" s="6" t="n">
        <v>1</v>
      </c>
    </row>
    <row r="104" customFormat="false" ht="15" hidden="false" customHeight="false" outlineLevel="0" collapsed="false">
      <c r="A104" s="6" t="n">
        <v>99</v>
      </c>
      <c r="B104" s="5" t="s">
        <v>76</v>
      </c>
      <c r="C104" s="5" t="s">
        <v>25</v>
      </c>
      <c r="D104" s="11" t="n">
        <v>45083</v>
      </c>
      <c r="E104" s="11" t="n">
        <v>45112</v>
      </c>
      <c r="F104" s="5" t="s">
        <v>75</v>
      </c>
      <c r="G104" s="12" t="n">
        <v>629148.949939445</v>
      </c>
      <c r="H104" s="13" t="n">
        <v>77.54</v>
      </c>
      <c r="I104" s="13" t="n">
        <v>76.55</v>
      </c>
      <c r="J104" s="5" t="s">
        <v>74</v>
      </c>
      <c r="K104" s="8" t="n">
        <v>37.2960687112508</v>
      </c>
      <c r="L104" s="8" t="n">
        <v>6037.65687565028</v>
      </c>
      <c r="M104" s="8" t="n">
        <f aca="false">M103+L104</f>
        <v>1630090.13100046</v>
      </c>
      <c r="N104" s="5" t="str">
        <f aca="false">IF(L104&gt;0,"прибыль",IF(L104&lt;0,"убыток","ноль"))</f>
        <v>прибыль</v>
      </c>
      <c r="O104" s="6" t="n">
        <f aca="false">IF(L104&lt;0,O103+1,0)</f>
        <v>0</v>
      </c>
      <c r="P104" s="6" t="n">
        <v>20</v>
      </c>
    </row>
    <row r="105" customFormat="false" ht="15" hidden="false" customHeight="false" outlineLevel="0" collapsed="false">
      <c r="A105" s="6" t="n">
        <v>100</v>
      </c>
      <c r="B105" s="5" t="s">
        <v>76</v>
      </c>
      <c r="C105" s="5" t="s">
        <v>25</v>
      </c>
      <c r="D105" s="11" t="n">
        <v>45174</v>
      </c>
      <c r="E105" s="11" t="n">
        <v>45203</v>
      </c>
      <c r="F105" s="5" t="s">
        <v>75</v>
      </c>
      <c r="G105" s="12" t="n">
        <v>981095.695108726</v>
      </c>
      <c r="H105" s="13" t="n">
        <v>88.91</v>
      </c>
      <c r="I105" s="13" t="n">
        <v>91.35</v>
      </c>
      <c r="J105" s="5" t="s">
        <v>74</v>
      </c>
      <c r="K105" s="8" t="n">
        <v>148.254238756766</v>
      </c>
      <c r="L105" s="8" t="n">
        <v>-76620.3116505625</v>
      </c>
      <c r="M105" s="8" t="n">
        <f aca="false">M104+L105</f>
        <v>1553469.8193499</v>
      </c>
      <c r="N105" s="5" t="str">
        <f aca="false">IF(L105&gt;0,"прибыль",IF(L105&lt;0,"убыток","ноль"))</f>
        <v>убыток</v>
      </c>
      <c r="O105" s="6" t="n">
        <f aca="false">IF(L105&lt;0,O104+1,0)</f>
        <v>1</v>
      </c>
      <c r="P105" s="6" t="n">
        <v>21</v>
      </c>
    </row>
    <row r="106" customFormat="false" ht="15" hidden="false" customHeight="false" outlineLevel="0" collapsed="false">
      <c r="A106" s="6" t="n">
        <v>101</v>
      </c>
      <c r="B106" s="5" t="s">
        <v>76</v>
      </c>
      <c r="C106" s="5" t="s">
        <v>25</v>
      </c>
      <c r="D106" s="11" t="n">
        <v>45203</v>
      </c>
      <c r="E106" s="11" t="n">
        <v>45204</v>
      </c>
      <c r="F106" s="5" t="s">
        <v>73</v>
      </c>
      <c r="G106" s="12" t="n">
        <v>311732.768578802</v>
      </c>
      <c r="H106" s="13" t="n">
        <v>91.35</v>
      </c>
      <c r="I106" s="13" t="n">
        <v>86.64</v>
      </c>
      <c r="K106" s="8" t="n">
        <v>14.7548615365715</v>
      </c>
      <c r="L106" s="8" t="n">
        <v>-16650.2927089097</v>
      </c>
      <c r="M106" s="8" t="n">
        <f aca="false">M105+L106</f>
        <v>1536819.52664099</v>
      </c>
      <c r="N106" s="5" t="str">
        <f aca="false">IF(L106&gt;0,"прибыль",IF(L106&lt;0,"убыток","ноль"))</f>
        <v>убыток</v>
      </c>
      <c r="O106" s="6" t="n">
        <f aca="false">IF(L106&lt;0,O105+1,0)</f>
        <v>2</v>
      </c>
      <c r="P106" s="6" t="n">
        <v>1</v>
      </c>
    </row>
    <row r="107" customFormat="false" ht="15" hidden="false" customHeight="false" outlineLevel="0" collapsed="false">
      <c r="A107" s="6" t="n">
        <v>102</v>
      </c>
      <c r="B107" s="5" t="s">
        <v>76</v>
      </c>
      <c r="C107" s="5" t="s">
        <v>25</v>
      </c>
      <c r="D107" s="11" t="n">
        <v>45204</v>
      </c>
      <c r="E107" s="11" t="n">
        <v>45215</v>
      </c>
      <c r="F107" s="5" t="s">
        <v>73</v>
      </c>
      <c r="G107" s="12" t="n">
        <v>200898.002002772</v>
      </c>
      <c r="H107" s="13" t="n">
        <v>86.64</v>
      </c>
      <c r="I107" s="13" t="n">
        <v>91.13</v>
      </c>
      <c r="K107" s="8" t="n">
        <v>9.99834854354585</v>
      </c>
      <c r="L107" s="8" t="n">
        <v>-941.029480398674</v>
      </c>
      <c r="M107" s="8" t="n">
        <f aca="false">M106+L107</f>
        <v>1535878.49716059</v>
      </c>
      <c r="N107" s="5" t="str">
        <f aca="false">IF(L107&gt;0,"прибыль",IF(L107&lt;0,"убыток","ноль"))</f>
        <v>убыток</v>
      </c>
      <c r="O107" s="6" t="n">
        <f aca="false">IF(L107&lt;0,O106+1,0)</f>
        <v>3</v>
      </c>
      <c r="P107" s="6" t="n">
        <v>7</v>
      </c>
    </row>
    <row r="108" customFormat="false" ht="15" hidden="false" customHeight="false" outlineLevel="0" collapsed="false">
      <c r="A108" s="6" t="n">
        <v>103</v>
      </c>
      <c r="B108" s="5" t="s">
        <v>76</v>
      </c>
      <c r="C108" s="5" t="s">
        <v>25</v>
      </c>
      <c r="D108" s="11" t="n">
        <v>45215</v>
      </c>
      <c r="E108" s="11" t="n">
        <v>45356</v>
      </c>
      <c r="F108" s="5" t="s">
        <v>73</v>
      </c>
      <c r="G108" s="12" t="n">
        <v>868576.439144044</v>
      </c>
      <c r="H108" s="13" t="n">
        <v>91.13</v>
      </c>
      <c r="I108" s="13" t="n">
        <v>83.25</v>
      </c>
      <c r="J108" s="5" t="s">
        <v>74</v>
      </c>
      <c r="K108" s="8" t="n">
        <v>67.3046053353358</v>
      </c>
      <c r="L108" s="8" t="n">
        <v>22662.4807377858</v>
      </c>
      <c r="M108" s="8" t="n">
        <f aca="false">M107+L108</f>
        <v>1558540.97789838</v>
      </c>
      <c r="N108" s="5" t="str">
        <f aca="false">IF(L108&gt;0,"прибыль",IF(L108&lt;0,"убыток","ноль"))</f>
        <v>прибыль</v>
      </c>
      <c r="O108" s="6" t="n">
        <f aca="false">IF(L108&lt;0,O107+1,0)</f>
        <v>0</v>
      </c>
      <c r="P108" s="6" t="n">
        <v>98</v>
      </c>
    </row>
    <row r="109" customFormat="false" ht="15" hidden="false" customHeight="false" outlineLevel="0" collapsed="false">
      <c r="A109" s="6" t="n">
        <v>104</v>
      </c>
      <c r="B109" s="5" t="s">
        <v>76</v>
      </c>
      <c r="C109" s="5" t="s">
        <v>25</v>
      </c>
      <c r="D109" s="11" t="n">
        <v>45418</v>
      </c>
      <c r="E109" s="11" t="n">
        <v>45443</v>
      </c>
      <c r="F109" s="5" t="s">
        <v>73</v>
      </c>
      <c r="G109" s="12" t="n">
        <v>264570.452680781</v>
      </c>
      <c r="H109" s="13" t="n">
        <v>83.67</v>
      </c>
      <c r="I109" s="13" t="n">
        <v>81.84</v>
      </c>
      <c r="K109" s="8" t="n">
        <v>71.291858565901</v>
      </c>
      <c r="L109" s="8" t="n">
        <v>-5130.94251309058</v>
      </c>
      <c r="M109" s="8" t="n">
        <f aca="false">M108+L109</f>
        <v>1553410.03538529</v>
      </c>
      <c r="N109" s="5" t="str">
        <f aca="false">IF(L109&gt;0,"прибыль",IF(L109&lt;0,"убыток","ноль"))</f>
        <v>убыток</v>
      </c>
      <c r="O109" s="6" t="n">
        <f aca="false">IF(L109&lt;0,O108+1,0)</f>
        <v>1</v>
      </c>
      <c r="P109" s="6" t="n">
        <v>18</v>
      </c>
    </row>
    <row r="110" customFormat="false" ht="15" hidden="false" customHeight="false" outlineLevel="0" collapsed="false">
      <c r="A110" s="6" t="n">
        <v>105</v>
      </c>
      <c r="B110" s="5" t="s">
        <v>76</v>
      </c>
      <c r="C110" s="5" t="s">
        <v>25</v>
      </c>
      <c r="D110" s="11" t="n">
        <v>45443</v>
      </c>
      <c r="E110" s="11" t="n">
        <v>45454</v>
      </c>
      <c r="F110" s="5" t="s">
        <v>73</v>
      </c>
      <c r="G110" s="12" t="n">
        <v>185823.738809017</v>
      </c>
      <c r="H110" s="13" t="n">
        <v>81.84</v>
      </c>
      <c r="I110" s="13" t="n">
        <v>81.42</v>
      </c>
      <c r="J110" s="5" t="s">
        <v>74</v>
      </c>
      <c r="K110" s="8" t="n">
        <v>9.48179324572251</v>
      </c>
      <c r="L110" s="8" t="n">
        <v>3802.6443121871</v>
      </c>
      <c r="M110" s="8" t="n">
        <f aca="false">M109+L110</f>
        <v>1557212.67969747</v>
      </c>
      <c r="N110" s="5" t="str">
        <f aca="false">IF(L110&gt;0,"прибыль",IF(L110&lt;0,"убыток","ноль"))</f>
        <v>прибыль</v>
      </c>
      <c r="O110" s="6" t="n">
        <f aca="false">IF(L110&lt;0,O109+1,0)</f>
        <v>0</v>
      </c>
      <c r="P110" s="6" t="n">
        <v>7</v>
      </c>
    </row>
    <row r="111" customFormat="false" ht="15" hidden="false" customHeight="false" outlineLevel="0" collapsed="false">
      <c r="A111" s="6" t="n">
        <v>106</v>
      </c>
      <c r="B111" s="5" t="s">
        <v>76</v>
      </c>
      <c r="C111" s="5" t="s">
        <v>25</v>
      </c>
      <c r="D111" s="11" t="n">
        <v>45454</v>
      </c>
      <c r="E111" s="11" t="n">
        <v>45476</v>
      </c>
      <c r="F111" s="5" t="s">
        <v>73</v>
      </c>
      <c r="G111" s="12" t="n">
        <v>715932.177801964</v>
      </c>
      <c r="H111" s="13" t="n">
        <v>81.42</v>
      </c>
      <c r="I111" s="13" t="n">
        <v>86.91</v>
      </c>
      <c r="J111" s="5" t="s">
        <v>74</v>
      </c>
      <c r="K111" s="8" t="n">
        <v>38.7336567194841</v>
      </c>
      <c r="L111" s="8" t="n">
        <v>58702.2229309982</v>
      </c>
      <c r="M111" s="8" t="n">
        <f aca="false">M110+L111</f>
        <v>1615914.90262847</v>
      </c>
      <c r="N111" s="5" t="str">
        <f aca="false">IF(L111&gt;0,"прибыль",IF(L111&lt;0,"убыток","ноль"))</f>
        <v>прибыль</v>
      </c>
      <c r="O111" s="6" t="n">
        <f aca="false">IF(L111&lt;0,O110+1,0)</f>
        <v>0</v>
      </c>
      <c r="P111" s="6" t="n">
        <v>15</v>
      </c>
    </row>
    <row r="112" customFormat="false" ht="15" hidden="false" customHeight="false" outlineLevel="0" collapsed="false">
      <c r="A112" s="6" t="n">
        <v>107</v>
      </c>
      <c r="B112" s="5" t="s">
        <v>76</v>
      </c>
      <c r="C112" s="5" t="s">
        <v>25</v>
      </c>
      <c r="D112" s="11" t="n">
        <v>45539</v>
      </c>
      <c r="E112" s="11" t="n">
        <v>45568</v>
      </c>
      <c r="F112" s="5" t="s">
        <v>73</v>
      </c>
      <c r="G112" s="12" t="n">
        <v>572860.057267668</v>
      </c>
      <c r="H112" s="13" t="n">
        <v>73.92</v>
      </c>
      <c r="I112" s="13" t="n">
        <v>75.02</v>
      </c>
      <c r="J112" s="5" t="s">
        <v>74</v>
      </c>
      <c r="K112" s="8" t="n">
        <v>85.0121470895342</v>
      </c>
      <c r="L112" s="8" t="n">
        <v>-14394.9904423839</v>
      </c>
      <c r="M112" s="8" t="n">
        <f aca="false">M111+L112</f>
        <v>1601519.91218609</v>
      </c>
      <c r="N112" s="5" t="str">
        <f aca="false">IF(L112&gt;0,"прибыль",IF(L112&lt;0,"убыток","ноль"))</f>
        <v>убыток</v>
      </c>
      <c r="O112" s="6" t="n">
        <f aca="false">IF(L112&lt;0,O111+1,0)</f>
        <v>1</v>
      </c>
      <c r="P112" s="6" t="n">
        <v>21</v>
      </c>
    </row>
    <row r="113" customFormat="false" ht="15" hidden="false" customHeight="false" outlineLevel="0" collapsed="false">
      <c r="A113" s="6" t="n">
        <v>108</v>
      </c>
      <c r="B113" s="5" t="s">
        <v>76</v>
      </c>
      <c r="C113" s="5" t="s">
        <v>25</v>
      </c>
      <c r="D113" s="11" t="n">
        <v>45568</v>
      </c>
      <c r="E113" s="11" t="n">
        <v>45573</v>
      </c>
      <c r="F113" s="5" t="s">
        <v>75</v>
      </c>
      <c r="G113" s="12" t="n">
        <v>119809.21103845</v>
      </c>
      <c r="H113" s="13" t="n">
        <v>75.02</v>
      </c>
      <c r="I113" s="13" t="n">
        <v>79.89</v>
      </c>
      <c r="K113" s="8" t="n">
        <v>6.39453277191645</v>
      </c>
      <c r="L113" s="8" t="n">
        <v>-8087.83893265092</v>
      </c>
      <c r="M113" s="8" t="n">
        <f aca="false">M112+L113</f>
        <v>1593432.07325344</v>
      </c>
      <c r="N113" s="5" t="str">
        <f aca="false">IF(L113&gt;0,"прибыль",IF(L113&lt;0,"убыток","ноль"))</f>
        <v>убыток</v>
      </c>
      <c r="O113" s="6" t="n">
        <f aca="false">IF(L113&lt;0,O112+1,0)</f>
        <v>2</v>
      </c>
      <c r="P113" s="6" t="n">
        <v>3</v>
      </c>
    </row>
    <row r="114" customFormat="false" ht="15" hidden="false" customHeight="false" outlineLevel="0" collapsed="false">
      <c r="A114" s="6" t="n">
        <v>109</v>
      </c>
      <c r="B114" s="5" t="s">
        <v>76</v>
      </c>
      <c r="C114" s="5" t="s">
        <v>25</v>
      </c>
      <c r="D114" s="11" t="n">
        <v>45573</v>
      </c>
      <c r="E114" s="11" t="n">
        <v>45601</v>
      </c>
      <c r="F114" s="5" t="s">
        <v>75</v>
      </c>
      <c r="G114" s="12" t="n">
        <v>449023.594512191</v>
      </c>
      <c r="H114" s="13" t="n">
        <v>79.89</v>
      </c>
      <c r="I114" s="13" t="n">
        <v>75.15</v>
      </c>
      <c r="J114" s="5" t="s">
        <v>74</v>
      </c>
      <c r="K114" s="8" t="n">
        <v>22.4847052053229</v>
      </c>
      <c r="L114" s="8" t="n">
        <v>-692.994299471557</v>
      </c>
      <c r="M114" s="8" t="n">
        <f aca="false">M113+L114</f>
        <v>1592739.07895396</v>
      </c>
      <c r="N114" s="5" t="str">
        <f aca="false">IF(L114&gt;0,"прибыль",IF(L114&lt;0,"убыток","ноль"))</f>
        <v>убыток</v>
      </c>
      <c r="O114" s="6" t="n">
        <f aca="false">IF(L114&lt;0,O113+1,0)</f>
        <v>3</v>
      </c>
      <c r="P114" s="6" t="n">
        <v>20</v>
      </c>
    </row>
    <row r="115" customFormat="false" ht="15" hidden="false" customHeight="false" outlineLevel="0" collapsed="false">
      <c r="A115" s="6" t="n">
        <v>110</v>
      </c>
      <c r="B115" s="5" t="s">
        <v>76</v>
      </c>
      <c r="C115" s="5" t="s">
        <v>25</v>
      </c>
      <c r="D115" s="11" t="n">
        <v>45665</v>
      </c>
      <c r="E115" s="11" t="n">
        <v>45673</v>
      </c>
      <c r="F115" s="5" t="s">
        <v>75</v>
      </c>
      <c r="G115" s="12" t="n">
        <v>288028.712907971</v>
      </c>
      <c r="H115" s="13" t="n">
        <v>77.29</v>
      </c>
      <c r="I115" s="13" t="n">
        <v>82.17</v>
      </c>
      <c r="K115" s="8" t="n">
        <v>68.3796378085652</v>
      </c>
      <c r="L115" s="8" t="n">
        <v>-18747.9903580718</v>
      </c>
      <c r="M115" s="8" t="n">
        <f aca="false">M114+L115</f>
        <v>1573991.08859589</v>
      </c>
      <c r="N115" s="5" t="str">
        <f aca="false">IF(L115&gt;0,"прибыль",IF(L115&lt;0,"убыток","ноль"))</f>
        <v>убыток</v>
      </c>
      <c r="O115" s="6" t="n">
        <f aca="false">IF(L115&lt;0,O114+1,0)</f>
        <v>4</v>
      </c>
      <c r="P115" s="6" t="n">
        <v>6</v>
      </c>
    </row>
    <row r="116" customFormat="false" ht="15" hidden="false" customHeight="false" outlineLevel="0" collapsed="false">
      <c r="A116" s="6" t="n">
        <v>111</v>
      </c>
      <c r="B116" s="5" t="s">
        <v>76</v>
      </c>
      <c r="C116" s="5" t="s">
        <v>25</v>
      </c>
      <c r="D116" s="11" t="n">
        <v>45673</v>
      </c>
      <c r="E116" s="11" t="n">
        <v>45693</v>
      </c>
      <c r="F116" s="5" t="s">
        <v>75</v>
      </c>
      <c r="G116" s="12" t="n">
        <v>772855.719635097</v>
      </c>
      <c r="H116" s="13" t="n">
        <v>82.17</v>
      </c>
      <c r="I116" s="13" t="n">
        <v>76</v>
      </c>
      <c r="J116" s="5" t="s">
        <v>74</v>
      </c>
      <c r="K116" s="8" t="n">
        <v>73.5876980558229</v>
      </c>
      <c r="L116" s="8" t="n">
        <v>-3548.53875078922</v>
      </c>
      <c r="M116" s="8" t="n">
        <f aca="false">M115+L116</f>
        <v>1570442.5498451</v>
      </c>
      <c r="N116" s="5" t="str">
        <f aca="false">IF(L116&gt;0,"прибыль",IF(L116&lt;0,"убыток","ноль"))</f>
        <v>убыток</v>
      </c>
      <c r="O116" s="6" t="n">
        <f aca="false">IF(L116&lt;0,O115+1,0)</f>
        <v>5</v>
      </c>
      <c r="P116" s="6" t="n">
        <v>14</v>
      </c>
    </row>
    <row r="117" customFormat="false" ht="15" hidden="false" customHeight="false" outlineLevel="0" collapsed="false">
      <c r="A117" s="6" t="n">
        <v>112</v>
      </c>
      <c r="B117" s="5" t="s">
        <v>76</v>
      </c>
      <c r="C117" s="5" t="s">
        <v>25</v>
      </c>
      <c r="D117" s="11" t="n">
        <v>45693</v>
      </c>
      <c r="E117" s="11" t="n">
        <v>45694</v>
      </c>
      <c r="F117" s="5" t="s">
        <v>73</v>
      </c>
      <c r="G117" s="12" t="n">
        <v>1.08291203259654E-010</v>
      </c>
      <c r="H117" s="13" t="n">
        <v>76</v>
      </c>
      <c r="I117" s="13" t="n">
        <v>74.82</v>
      </c>
      <c r="K117" s="8" t="n">
        <v>5.31999106465283E-015</v>
      </c>
      <c r="L117" s="8" t="n">
        <v>-1.89670195766177E-012</v>
      </c>
      <c r="M117" s="8" t="n">
        <f aca="false">M116+L117</f>
        <v>1570442.5498451</v>
      </c>
      <c r="N117" s="5" t="str">
        <f aca="false">IF(L117&gt;0,"прибыль",IF(L117&lt;0,"убыток","ноль"))</f>
        <v>убыток</v>
      </c>
      <c r="O117" s="6" t="n">
        <f aca="false">IF(L117&lt;0,O116+1,0)</f>
        <v>6</v>
      </c>
      <c r="P117" s="6" t="n">
        <v>1</v>
      </c>
    </row>
    <row r="118" customFormat="false" ht="15" hidden="false" customHeight="false" outlineLevel="0" collapsed="false">
      <c r="A118" s="6" t="n">
        <v>113</v>
      </c>
      <c r="B118" s="5" t="s">
        <v>76</v>
      </c>
      <c r="C118" s="5" t="s">
        <v>25</v>
      </c>
      <c r="D118" s="11" t="n">
        <v>45694</v>
      </c>
      <c r="E118" s="11" t="n">
        <v>45750</v>
      </c>
      <c r="F118" s="5" t="s">
        <v>73</v>
      </c>
      <c r="G118" s="12" t="n">
        <v>845502.405370514</v>
      </c>
      <c r="H118" s="13" t="n">
        <v>74.82</v>
      </c>
      <c r="I118" s="13" t="n">
        <v>73.14</v>
      </c>
      <c r="J118" s="5" t="s">
        <v>74</v>
      </c>
      <c r="K118" s="8" t="n">
        <v>49.6508512863409</v>
      </c>
      <c r="L118" s="8" t="n">
        <v>-2614.14543687004</v>
      </c>
      <c r="M118" s="8" t="n">
        <f aca="false">M117+L118</f>
        <v>1567828.40440823</v>
      </c>
      <c r="N118" s="5" t="str">
        <f aca="false">IF(L118&gt;0,"прибыль",IF(L118&lt;0,"убыток","ноль"))</f>
        <v>убыток</v>
      </c>
      <c r="O118" s="6" t="n">
        <f aca="false">IF(L118&lt;0,O117+1,0)</f>
        <v>7</v>
      </c>
      <c r="P118" s="6" t="n">
        <v>40</v>
      </c>
    </row>
    <row r="119" customFormat="false" ht="15" hidden="false" customHeight="false" outlineLevel="0" collapsed="false">
      <c r="A119" s="6" t="n">
        <v>114</v>
      </c>
      <c r="B119" s="5" t="s">
        <v>76</v>
      </c>
      <c r="C119" s="5" t="s">
        <v>25</v>
      </c>
      <c r="D119" s="11" t="n">
        <v>45783</v>
      </c>
      <c r="E119" s="11" t="n">
        <v>45812</v>
      </c>
      <c r="F119" s="5" t="s">
        <v>73</v>
      </c>
      <c r="G119" s="12" t="n">
        <v>479758.119364199</v>
      </c>
      <c r="H119" s="13" t="n">
        <v>61.1</v>
      </c>
      <c r="I119" s="13" t="n">
        <v>65.31</v>
      </c>
      <c r="J119" s="5" t="s">
        <v>74</v>
      </c>
      <c r="K119" s="8" t="n">
        <v>77.7223012454393</v>
      </c>
      <c r="L119" s="8" t="n">
        <v>18955.4056914768</v>
      </c>
      <c r="M119" s="8" t="n">
        <f aca="false">M118+L119</f>
        <v>1586783.81009971</v>
      </c>
      <c r="N119" s="5" t="str">
        <f aca="false">IF(L119&gt;0,"прибыль",IF(L119&lt;0,"убыток","ноль"))</f>
        <v>прибыль</v>
      </c>
      <c r="O119" s="6" t="n">
        <f aca="false">IF(L119&lt;0,O118+1,0)</f>
        <v>0</v>
      </c>
      <c r="P119" s="6" t="n">
        <v>20</v>
      </c>
    </row>
    <row r="120" customFormat="false" ht="15" hidden="false" customHeight="false" outlineLevel="0" collapsed="false">
      <c r="A120" s="6" t="n">
        <v>115</v>
      </c>
      <c r="B120" s="5" t="s">
        <v>76</v>
      </c>
      <c r="C120" s="5" t="s">
        <v>25</v>
      </c>
      <c r="D120" s="11" t="n">
        <v>45812</v>
      </c>
      <c r="E120" s="11" t="n">
        <v>45821</v>
      </c>
      <c r="F120" s="5" t="s">
        <v>75</v>
      </c>
      <c r="G120" s="12" t="n">
        <v>181845.076525325</v>
      </c>
      <c r="H120" s="13" t="n">
        <v>65.31</v>
      </c>
      <c r="I120" s="13" t="n">
        <v>73.76</v>
      </c>
      <c r="K120" s="8" t="n">
        <v>18.8755816155985</v>
      </c>
      <c r="L120" s="8" t="n">
        <v>-22773.2270959715</v>
      </c>
      <c r="M120" s="8" t="n">
        <f aca="false">M119+L120</f>
        <v>1564010.58300374</v>
      </c>
      <c r="N120" s="5" t="str">
        <f aca="false">IF(L120&gt;0,"прибыль",IF(L120&lt;0,"убыток","ноль"))</f>
        <v>убыток</v>
      </c>
      <c r="O120" s="6" t="n">
        <f aca="false">IF(L120&lt;0,O119+1,0)</f>
        <v>1</v>
      </c>
      <c r="P120" s="6" t="n">
        <v>6</v>
      </c>
    </row>
    <row r="121" customFormat="false" ht="15" hidden="false" customHeight="false" outlineLevel="0" collapsed="false">
      <c r="A121" s="6" t="n">
        <v>116</v>
      </c>
      <c r="B121" s="5" t="s">
        <v>76</v>
      </c>
      <c r="C121" s="5" t="s">
        <v>25</v>
      </c>
      <c r="D121" s="11" t="n">
        <v>45821</v>
      </c>
      <c r="E121" s="11" t="n">
        <v>45824</v>
      </c>
      <c r="F121" s="5" t="s">
        <v>75</v>
      </c>
      <c r="G121" s="12" t="n">
        <v>179298.196854877</v>
      </c>
      <c r="H121" s="13" t="n">
        <v>73.76</v>
      </c>
      <c r="I121" s="13" t="n">
        <v>74.63</v>
      </c>
      <c r="K121" s="8" t="n">
        <v>10.2085441025969</v>
      </c>
      <c r="L121" s="8" t="n">
        <v>-24882.8937411629</v>
      </c>
      <c r="M121" s="8" t="n">
        <f aca="false">M120+L121</f>
        <v>1539127.68926258</v>
      </c>
      <c r="N121" s="5" t="str">
        <f aca="false">IF(L121&gt;0,"прибыль",IF(L121&lt;0,"убыток","ноль"))</f>
        <v>убыток</v>
      </c>
      <c r="O121" s="6" t="n">
        <f aca="false">IF(L121&lt;0,O120+1,0)</f>
        <v>2</v>
      </c>
      <c r="P121" s="6" t="n">
        <v>1</v>
      </c>
    </row>
    <row r="122" customFormat="false" ht="15" hidden="false" customHeight="false" outlineLevel="0" collapsed="false">
      <c r="A122" s="6" t="n">
        <v>117</v>
      </c>
      <c r="B122" s="5" t="s">
        <v>76</v>
      </c>
      <c r="C122" s="5" t="s">
        <v>25</v>
      </c>
      <c r="D122" s="11" t="n">
        <v>45824</v>
      </c>
      <c r="E122" s="11" t="n">
        <v>45832</v>
      </c>
      <c r="F122" s="5" t="s">
        <v>75</v>
      </c>
      <c r="G122" s="12" t="n">
        <v>120741.717388578</v>
      </c>
      <c r="H122" s="13" t="n">
        <v>74.63</v>
      </c>
      <c r="I122" s="13" t="n">
        <v>68.78</v>
      </c>
      <c r="K122" s="8" t="n">
        <v>6.33933862933531</v>
      </c>
      <c r="L122" s="8" t="n">
        <v>-6051.39453675738</v>
      </c>
      <c r="M122" s="8" t="n">
        <f aca="false">M121+L122</f>
        <v>1533076.29472582</v>
      </c>
      <c r="N122" s="5" t="str">
        <f aca="false">IF(L122&gt;0,"прибыль",IF(L122&lt;0,"убыток","ноль"))</f>
        <v>убыток</v>
      </c>
      <c r="O122" s="6" t="n">
        <f aca="false">IF(L122&lt;0,O121+1,0)</f>
        <v>3</v>
      </c>
      <c r="P122" s="6" t="n">
        <v>6</v>
      </c>
    </row>
    <row r="123" customFormat="false" ht="15" hidden="false" customHeight="false" outlineLevel="0" collapsed="false">
      <c r="A123" s="6" t="n">
        <v>118</v>
      </c>
      <c r="B123" s="5" t="s">
        <v>76</v>
      </c>
      <c r="C123" s="5" t="s">
        <v>25</v>
      </c>
      <c r="D123" s="11" t="n">
        <v>45832</v>
      </c>
      <c r="E123" s="11" t="n">
        <v>45841</v>
      </c>
      <c r="F123" s="5" t="s">
        <v>75</v>
      </c>
      <c r="G123" s="12" t="n">
        <v>266923.871691173</v>
      </c>
      <c r="H123" s="13" t="n">
        <v>68.78</v>
      </c>
      <c r="I123" s="13" t="n">
        <v>68.55</v>
      </c>
      <c r="J123" s="5" t="s">
        <v>74</v>
      </c>
      <c r="K123" s="8" t="n">
        <v>14.0471037067052</v>
      </c>
      <c r="L123" s="8" t="n">
        <v>-14032.2495466378</v>
      </c>
      <c r="M123" s="8" t="n">
        <f aca="false">M122+L123</f>
        <v>1519044.04517918</v>
      </c>
      <c r="N123" s="5" t="str">
        <f aca="false">IF(L123&gt;0,"прибыль",IF(L123&lt;0,"убыток","ноль"))</f>
        <v>убыток</v>
      </c>
      <c r="O123" s="6" t="n">
        <f aca="false">IF(L123&lt;0,O122+1,0)</f>
        <v>4</v>
      </c>
      <c r="P123" s="6" t="n">
        <v>7</v>
      </c>
    </row>
    <row r="124" customFormat="false" ht="15" hidden="false" customHeight="false" outlineLevel="0" collapsed="false">
      <c r="A124" s="6" t="n">
        <v>119</v>
      </c>
      <c r="B124" s="5" t="s">
        <v>76</v>
      </c>
      <c r="C124" s="5" t="s">
        <v>25</v>
      </c>
      <c r="D124" s="11" t="n">
        <v>45874</v>
      </c>
      <c r="E124" s="11" t="n">
        <v>45903</v>
      </c>
      <c r="F124" s="5" t="s">
        <v>73</v>
      </c>
      <c r="G124" s="12" t="n">
        <v>996200.217563672</v>
      </c>
      <c r="H124" s="13" t="n">
        <v>68.69</v>
      </c>
      <c r="I124" s="13" t="n">
        <v>68.8</v>
      </c>
      <c r="J124" s="5" t="s">
        <v>74</v>
      </c>
      <c r="K124" s="8" t="n">
        <v>99.7664492600063</v>
      </c>
      <c r="L124" s="8" t="n">
        <v>2828.78362352148</v>
      </c>
      <c r="M124" s="8" t="n">
        <f aca="false">M123+L124</f>
        <v>1521872.8288027</v>
      </c>
      <c r="N124" s="5" t="str">
        <f aca="false">IF(L124&gt;0,"прибыль",IF(L124&lt;0,"убыток","ноль"))</f>
        <v>прибыль</v>
      </c>
      <c r="O124" s="6" t="n">
        <f aca="false">IF(L124&lt;0,O123+1,0)</f>
        <v>0</v>
      </c>
      <c r="P124" s="6" t="n">
        <v>27</v>
      </c>
    </row>
    <row r="125" customFormat="false" ht="15" hidden="false" customHeight="false" outlineLevel="0" collapsed="false">
      <c r="A125" s="6" t="n">
        <v>120</v>
      </c>
      <c r="B125" s="5" t="s">
        <v>76</v>
      </c>
      <c r="C125" s="5" t="s">
        <v>25</v>
      </c>
      <c r="D125" s="11" t="n">
        <v>45933</v>
      </c>
      <c r="E125" s="11" t="n">
        <v>45954</v>
      </c>
      <c r="F125" s="5" t="s">
        <v>73</v>
      </c>
      <c r="G125" s="12" t="n">
        <v>165558.744320961</v>
      </c>
      <c r="H125" s="13" t="n">
        <v>64.66</v>
      </c>
      <c r="I125" s="13" t="n">
        <v>65.77</v>
      </c>
      <c r="K125" s="8" t="n">
        <v>43.3314195958345</v>
      </c>
      <c r="L125" s="8" t="n">
        <v>2440.42471861557</v>
      </c>
      <c r="M125" s="8" t="n">
        <f aca="false">M124+L125</f>
        <v>1524313.25352132</v>
      </c>
      <c r="N125" s="5" t="str">
        <f aca="false">IF(L125&gt;0,"прибыль",IF(L125&lt;0,"убыток","ноль"))</f>
        <v>прибыль</v>
      </c>
      <c r="O125" s="6" t="n">
        <f aca="false">IF(L125&lt;0,O124+1,0)</f>
        <v>0</v>
      </c>
      <c r="P125" s="6" t="n">
        <v>21</v>
      </c>
    </row>
    <row r="126" customFormat="false" ht="15" hidden="false" customHeight="false" outlineLevel="0" collapsed="false">
      <c r="A126" s="6" t="n">
        <v>121</v>
      </c>
      <c r="B126" s="5" t="s">
        <v>76</v>
      </c>
      <c r="C126" s="5" t="s">
        <v>25</v>
      </c>
      <c r="D126" s="11" t="n">
        <v>45954</v>
      </c>
      <c r="E126" s="11" t="n">
        <v>45967</v>
      </c>
      <c r="F126" s="5" t="s">
        <v>73</v>
      </c>
      <c r="G126" s="12" t="n">
        <v>533027.147136557</v>
      </c>
      <c r="H126" s="13" t="n">
        <v>65.77</v>
      </c>
      <c r="I126" s="13" t="n">
        <v>63.75</v>
      </c>
      <c r="J126" s="5" t="s">
        <v>74</v>
      </c>
      <c r="K126" s="8" t="n">
        <v>26.3891114596176</v>
      </c>
      <c r="L126" s="8" t="n">
        <v>-5271.30705566504</v>
      </c>
      <c r="M126" s="8" t="n">
        <f aca="false">M125+L126</f>
        <v>1519041.94646565</v>
      </c>
      <c r="N126" s="5" t="str">
        <f aca="false">IF(L126&gt;0,"прибыль",IF(L126&lt;0,"убыток","ноль"))</f>
        <v>убыток</v>
      </c>
      <c r="O126" s="6" t="n">
        <f aca="false">IF(L126&lt;0,O125+1,0)</f>
        <v>1</v>
      </c>
      <c r="P126" s="6" t="n">
        <v>9</v>
      </c>
    </row>
    <row r="127" customFormat="false" ht="15" hidden="false" customHeight="false" outlineLevel="0" collapsed="false">
      <c r="A127" s="6" t="n">
        <v>122</v>
      </c>
      <c r="B127" s="5" t="s">
        <v>76</v>
      </c>
      <c r="C127" s="5" t="s">
        <v>25</v>
      </c>
      <c r="D127" s="11" t="n">
        <v>46057</v>
      </c>
      <c r="E127" s="11" t="n">
        <v>46072</v>
      </c>
      <c r="F127" s="5" t="s">
        <v>73</v>
      </c>
      <c r="G127" s="12" t="n">
        <v>129519.33263897</v>
      </c>
      <c r="H127" s="13" t="n">
        <v>67.98</v>
      </c>
      <c r="I127" s="13" t="n">
        <v>70.54</v>
      </c>
      <c r="K127" s="8" t="n">
        <v>37.907584867517</v>
      </c>
      <c r="L127" s="8" t="n">
        <v>4536.80058731578</v>
      </c>
      <c r="M127" s="8" t="n">
        <f aca="false">M126+L127</f>
        <v>1523578.74705297</v>
      </c>
      <c r="N127" s="5" t="str">
        <f aca="false">IF(L127&gt;0,"прибыль",IF(L127&lt;0,"убыток","ноль"))</f>
        <v>прибыль</v>
      </c>
      <c r="O127" s="6" t="n">
        <f aca="false">IF(L127&lt;0,O126+1,0)</f>
        <v>0</v>
      </c>
      <c r="P127" s="6" t="n">
        <v>13</v>
      </c>
    </row>
    <row r="128" customFormat="false" ht="15" hidden="false" customHeight="false" outlineLevel="0" collapsed="false">
      <c r="A128" s="6" t="n">
        <v>123</v>
      </c>
      <c r="B128" s="5" t="s">
        <v>76</v>
      </c>
      <c r="C128" s="5" t="s">
        <v>25</v>
      </c>
      <c r="D128" s="11" t="n">
        <v>46072</v>
      </c>
      <c r="E128" s="11" t="n">
        <v>46085</v>
      </c>
      <c r="F128" s="5" t="s">
        <v>73</v>
      </c>
      <c r="G128" s="12" t="n">
        <v>494538.323900216</v>
      </c>
      <c r="H128" s="13" t="n">
        <v>70.54</v>
      </c>
      <c r="I128" s="13" t="n">
        <v>83.61</v>
      </c>
      <c r="J128" s="5" t="s">
        <v>74</v>
      </c>
      <c r="K128" s="8" t="n">
        <v>56.8636035846476</v>
      </c>
      <c r="L128" s="8" t="n">
        <v>53359.3141884671</v>
      </c>
      <c r="M128" s="8" t="n">
        <f aca="false">M127+L128</f>
        <v>1576938.06124144</v>
      </c>
      <c r="N128" s="5" t="str">
        <f aca="false">IF(L128&gt;0,"прибыль",IF(L128&lt;0,"убыток","ноль"))</f>
        <v>прибыль</v>
      </c>
      <c r="O128" s="6" t="n">
        <f aca="false">IF(L128&lt;0,O127+1,0)</f>
        <v>0</v>
      </c>
      <c r="P128" s="6" t="n">
        <v>13</v>
      </c>
    </row>
    <row r="129" customFormat="false" ht="15" hidden="false" customHeight="false" outlineLevel="0" collapsed="false">
      <c r="A129" s="6" t="n">
        <v>124</v>
      </c>
      <c r="B129" s="5" t="s">
        <v>76</v>
      </c>
      <c r="C129" s="5" t="s">
        <v>25</v>
      </c>
      <c r="D129" s="11" t="n">
        <v>46085</v>
      </c>
      <c r="E129" s="11" t="n">
        <v>46090</v>
      </c>
      <c r="F129" s="5" t="s">
        <v>75</v>
      </c>
      <c r="G129" s="12" t="n">
        <v>225703.820490505</v>
      </c>
      <c r="H129" s="13" t="n">
        <v>83.61</v>
      </c>
      <c r="I129" s="13" t="n">
        <v>105.61</v>
      </c>
      <c r="K129" s="8" t="n">
        <v>14.2911749765713</v>
      </c>
      <c r="L129" s="8" t="n">
        <v>-60133.9702158982</v>
      </c>
      <c r="M129" s="8" t="n">
        <f aca="false">M128+L129</f>
        <v>1516804.09102554</v>
      </c>
      <c r="N129" s="5" t="str">
        <f aca="false">IF(L129&gt;0,"прибыль",IF(L129&lt;0,"убыток","ноль"))</f>
        <v>убыток</v>
      </c>
      <c r="O129" s="6" t="n">
        <f aca="false">IF(L129&lt;0,O128+1,0)</f>
        <v>1</v>
      </c>
      <c r="P129" s="6" t="n">
        <v>3</v>
      </c>
    </row>
    <row r="130" customFormat="false" ht="15" hidden="false" customHeight="false" outlineLevel="0" collapsed="false">
      <c r="A130" s="6" t="n">
        <v>125</v>
      </c>
      <c r="B130" s="5" t="s">
        <v>76</v>
      </c>
      <c r="C130" s="5" t="s">
        <v>25</v>
      </c>
      <c r="D130" s="11" t="n">
        <v>46090</v>
      </c>
      <c r="E130" s="11" t="n">
        <v>46094</v>
      </c>
      <c r="F130" s="5" t="s">
        <v>75</v>
      </c>
      <c r="G130" s="12" t="n">
        <v>120741.302123567</v>
      </c>
      <c r="H130" s="13" t="n">
        <v>105.61</v>
      </c>
      <c r="I130" s="13" t="n">
        <v>101.16</v>
      </c>
      <c r="K130" s="8" t="n">
        <v>7.32598933451533</v>
      </c>
      <c r="L130" s="8" t="n">
        <v>-25785.8105560743</v>
      </c>
      <c r="M130" s="8" t="n">
        <f aca="false">M129+L130</f>
        <v>1491018.28046946</v>
      </c>
      <c r="N130" s="5" t="str">
        <f aca="false">IF(L130&gt;0,"прибыль",IF(L130&lt;0,"убыток","ноль"))</f>
        <v>убыток</v>
      </c>
      <c r="O130" s="6" t="n">
        <f aca="false">IF(L130&lt;0,O129+1,0)</f>
        <v>2</v>
      </c>
      <c r="P130" s="6" t="n">
        <v>4</v>
      </c>
    </row>
    <row r="131" customFormat="false" ht="15" hidden="false" customHeight="false" outlineLevel="0" collapsed="false">
      <c r="A131" s="6" t="n">
        <v>126</v>
      </c>
      <c r="B131" s="5" t="s">
        <v>76</v>
      </c>
      <c r="C131" s="5" t="s">
        <v>25</v>
      </c>
      <c r="D131" s="11" t="n">
        <v>46094</v>
      </c>
      <c r="E131" s="11" t="n">
        <v>46105</v>
      </c>
      <c r="F131" s="5" t="s">
        <v>75</v>
      </c>
      <c r="G131" s="12" t="n">
        <v>58342.1133414388</v>
      </c>
      <c r="H131" s="13" t="n">
        <v>101.16</v>
      </c>
      <c r="I131" s="13" t="n">
        <v>103.95</v>
      </c>
      <c r="K131" s="8" t="n">
        <v>3.63944490108973</v>
      </c>
      <c r="L131" s="8" t="n">
        <v>-14450.424125257</v>
      </c>
      <c r="M131" s="8" t="n">
        <f aca="false">M130+L131</f>
        <v>1476567.85634421</v>
      </c>
      <c r="N131" s="5" t="str">
        <f aca="false">IF(L131&gt;0,"прибыль",IF(L131&lt;0,"убыток","ноль"))</f>
        <v>убыток</v>
      </c>
      <c r="O131" s="6" t="n">
        <f aca="false">IF(L131&lt;0,O130+1,0)</f>
        <v>3</v>
      </c>
      <c r="P131" s="6" t="n">
        <v>9</v>
      </c>
    </row>
    <row r="132" customFormat="false" ht="15" hidden="false" customHeight="false" outlineLevel="0" collapsed="false">
      <c r="A132" s="6" t="n">
        <v>127</v>
      </c>
      <c r="B132" s="5" t="s">
        <v>76</v>
      </c>
      <c r="C132" s="5" t="s">
        <v>25</v>
      </c>
      <c r="D132" s="11" t="n">
        <v>46105</v>
      </c>
      <c r="E132" s="11" t="n">
        <v>46115</v>
      </c>
      <c r="F132" s="5" t="s">
        <v>75</v>
      </c>
      <c r="G132" s="12" t="n">
        <v>184530.334045173</v>
      </c>
      <c r="H132" s="13" t="n">
        <v>103.95</v>
      </c>
      <c r="I132" s="13" t="n">
        <v>109.23</v>
      </c>
      <c r="J132" s="5" t="s">
        <v>74</v>
      </c>
      <c r="K132" s="8" t="n">
        <v>25.5765299027379</v>
      </c>
      <c r="L132" s="8" t="n">
        <v>-80045.0202351749</v>
      </c>
      <c r="M132" s="8" t="n">
        <f aca="false">M131+L132</f>
        <v>1396522.83610903</v>
      </c>
      <c r="N132" s="5" t="str">
        <f aca="false">IF(L132&gt;0,"прибыль",IF(L132&lt;0,"убыток","ноль"))</f>
        <v>убыток</v>
      </c>
      <c r="O132" s="6" t="n">
        <f aca="false">IF(L132&lt;0,O131+1,0)</f>
        <v>4</v>
      </c>
      <c r="P132" s="6" t="n">
        <v>10</v>
      </c>
    </row>
    <row r="133" customFormat="false" ht="15" hidden="false" customHeight="false" outlineLevel="0" collapsed="false">
      <c r="A133" s="6" t="n">
        <v>128</v>
      </c>
      <c r="B133" s="5" t="s">
        <v>76</v>
      </c>
      <c r="C133" s="5" t="s">
        <v>25</v>
      </c>
      <c r="D133" s="11" t="n">
        <v>46115</v>
      </c>
      <c r="E133" s="11" t="n">
        <v>46148</v>
      </c>
      <c r="F133" s="5" t="s">
        <v>73</v>
      </c>
      <c r="G133" s="12" t="n">
        <v>290608.417736259</v>
      </c>
      <c r="H133" s="13" t="n">
        <v>109.23</v>
      </c>
      <c r="I133" s="13" t="n">
        <v>108.57</v>
      </c>
      <c r="J133" s="5" t="s">
        <v>74</v>
      </c>
      <c r="K133" s="8" t="n">
        <v>16.9318190826537</v>
      </c>
      <c r="L133" s="8" t="n">
        <v>4383.43466578603</v>
      </c>
      <c r="M133" s="8" t="n">
        <f aca="false">M132+L133</f>
        <v>1400906.27077482</v>
      </c>
      <c r="N133" s="5" t="str">
        <f aca="false">IF(L133&gt;0,"прибыль",IF(L133&lt;0,"убыток","ноль"))</f>
        <v>прибыль</v>
      </c>
      <c r="O133" s="6" t="n">
        <f aca="false">IF(L133&lt;0,O132+1,0)</f>
        <v>0</v>
      </c>
      <c r="P133" s="6" t="n">
        <v>33</v>
      </c>
    </row>
    <row r="134" customFormat="false" ht="15" hidden="false" customHeight="false" outlineLevel="0" collapsed="false">
      <c r="A134" s="6" t="n">
        <v>129</v>
      </c>
      <c r="B134" s="5" t="s">
        <v>76</v>
      </c>
      <c r="C134" s="5" t="s">
        <v>25</v>
      </c>
      <c r="D134" s="11" t="n">
        <v>46176</v>
      </c>
      <c r="E134" s="11" t="n">
        <v>46206</v>
      </c>
      <c r="F134" s="5" t="s">
        <v>75</v>
      </c>
      <c r="G134" s="12" t="n">
        <v>475163.839420291</v>
      </c>
      <c r="H134" s="13" t="n">
        <v>98.12</v>
      </c>
      <c r="I134" s="13" t="n">
        <v>72.72</v>
      </c>
      <c r="J134" s="5" t="s">
        <v>74</v>
      </c>
      <c r="K134" s="8" t="n">
        <v>62.1802681841496</v>
      </c>
      <c r="L134" s="8" t="n">
        <v>102919.441777701</v>
      </c>
      <c r="M134" s="8" t="n">
        <f aca="false">M133+L134</f>
        <v>1503825.71255252</v>
      </c>
      <c r="N134" s="5" t="str">
        <f aca="false">IF(L134&gt;0,"прибыль",IF(L134&lt;0,"убыток","ноль"))</f>
        <v>прибыль</v>
      </c>
      <c r="O134" s="6" t="n">
        <f aca="false">IF(L134&lt;0,O133+1,0)</f>
        <v>0</v>
      </c>
      <c r="P134" s="6" t="n">
        <v>28</v>
      </c>
    </row>
    <row r="135" customFormat="false" ht="15" hidden="false" customHeight="false" outlineLevel="0" collapsed="false">
      <c r="A135" s="6" t="n">
        <v>130</v>
      </c>
      <c r="B135" s="5" t="s">
        <v>76</v>
      </c>
      <c r="C135" s="5" t="s">
        <v>25</v>
      </c>
      <c r="D135" s="11" t="n">
        <v>46206</v>
      </c>
      <c r="E135" s="11" t="n">
        <v>46217</v>
      </c>
      <c r="F135" s="5" t="s">
        <v>73</v>
      </c>
      <c r="G135" s="12" t="n">
        <v>105642.296474206</v>
      </c>
      <c r="H135" s="13" t="n">
        <v>72.72</v>
      </c>
      <c r="I135" s="13" t="n">
        <v>84.72</v>
      </c>
      <c r="K135" s="8" t="n">
        <v>6.13415812858989</v>
      </c>
      <c r="L135" s="8" t="n">
        <v>17034.7319394633</v>
      </c>
      <c r="M135" s="8" t="n">
        <f aca="false">M134+L135</f>
        <v>1520860.44449198</v>
      </c>
      <c r="N135" s="5" t="str">
        <f aca="false">IF(L135&gt;0,"прибыль",IF(L135&lt;0,"убыток","ноль"))</f>
        <v>прибыль</v>
      </c>
      <c r="O135" s="6" t="n">
        <f aca="false">IF(L135&lt;0,O134+1,0)</f>
        <v>0</v>
      </c>
      <c r="P135" s="6" t="n">
        <v>11</v>
      </c>
    </row>
    <row r="136" customFormat="false" ht="15" hidden="false" customHeight="false" outlineLevel="0" collapsed="false">
      <c r="A136" s="6" t="n">
        <v>131</v>
      </c>
      <c r="B136" s="5" t="s">
        <v>76</v>
      </c>
      <c r="C136" s="5" t="s">
        <v>25</v>
      </c>
      <c r="D136" s="11" t="n">
        <v>46217</v>
      </c>
      <c r="E136" s="11" t="n">
        <v>46230</v>
      </c>
      <c r="F136" s="5" t="s">
        <v>73</v>
      </c>
      <c r="G136" s="12" t="n">
        <v>60729.8851748286</v>
      </c>
      <c r="H136" s="13" t="n">
        <v>84.72</v>
      </c>
      <c r="I136" s="13" t="n">
        <v>92.48</v>
      </c>
      <c r="K136" s="8" t="n">
        <v>3.84850716851958</v>
      </c>
      <c r="L136" s="8" t="n">
        <v>16236.4096883944</v>
      </c>
      <c r="M136" s="8" t="n">
        <f aca="false">M135+L136</f>
        <v>1537096.85418038</v>
      </c>
      <c r="N136" s="5" t="str">
        <f aca="false">IF(L136&gt;0,"прибыль",IF(L136&lt;0,"убыток","ноль"))</f>
        <v>прибыль</v>
      </c>
      <c r="O136" s="6" t="n">
        <f aca="false">IF(L136&lt;0,O135+1,0)</f>
        <v>0</v>
      </c>
      <c r="P136" s="6" t="n">
        <v>13</v>
      </c>
    </row>
    <row r="137" customFormat="false" ht="15" hidden="false" customHeight="false" outlineLevel="0" collapsed="false">
      <c r="A137" s="6" t="n">
        <v>132</v>
      </c>
      <c r="B137" s="5" t="s">
        <v>76</v>
      </c>
      <c r="C137" s="5" t="s">
        <v>25</v>
      </c>
      <c r="D137" s="11" t="n">
        <v>46230</v>
      </c>
      <c r="E137" s="11" t="n">
        <v>46245</v>
      </c>
      <c r="F137" s="5" t="s">
        <v>73</v>
      </c>
      <c r="G137" s="12" t="n">
        <v>51208.2809315922</v>
      </c>
      <c r="H137" s="13" t="n">
        <v>92.48</v>
      </c>
      <c r="I137" s="13" t="n">
        <v>87.88</v>
      </c>
      <c r="J137" s="5" t="s">
        <v>74</v>
      </c>
      <c r="K137" s="8" t="n">
        <v>3.2515650378423</v>
      </c>
      <c r="L137" s="8" t="n">
        <v>13819.768260216</v>
      </c>
      <c r="M137" s="8" t="n">
        <f aca="false">M136+L137</f>
        <v>1550916.62244059</v>
      </c>
      <c r="N137" s="5" t="str">
        <f aca="false">IF(L137&gt;0,"прибыль",IF(L137&lt;0,"убыток","ноль"))</f>
        <v>прибыль</v>
      </c>
      <c r="O137" s="6" t="n">
        <f aca="false">IF(L137&lt;0,O136+1,0)</f>
        <v>0</v>
      </c>
      <c r="P137" s="6" t="n">
        <v>13</v>
      </c>
    </row>
    <row r="138" customFormat="false" ht="15" hidden="false" customHeight="false" outlineLevel="0" collapsed="false">
      <c r="A138" s="6" t="n">
        <v>133</v>
      </c>
      <c r="B138" s="5" t="s">
        <v>76</v>
      </c>
      <c r="C138" s="5" t="s">
        <v>25</v>
      </c>
      <c r="D138" s="11" t="n">
        <v>46245</v>
      </c>
      <c r="E138" s="11" t="n">
        <v>46267</v>
      </c>
      <c r="F138" s="5" t="s">
        <v>73</v>
      </c>
      <c r="G138" s="12" t="n">
        <v>336112.479675014</v>
      </c>
      <c r="H138" s="13" t="n">
        <v>87.88</v>
      </c>
      <c r="I138" s="13" t="n">
        <v>95.54</v>
      </c>
      <c r="J138" s="5" t="s">
        <v>74</v>
      </c>
      <c r="K138" s="8" t="n">
        <v>51.1909267554609</v>
      </c>
      <c r="L138" s="8" t="n">
        <v>68852.4097452985</v>
      </c>
      <c r="M138" s="8" t="n">
        <f aca="false">M137+L138</f>
        <v>1619769.03218589</v>
      </c>
      <c r="N138" s="5" t="str">
        <f aca="false">IF(L138&gt;0,"прибыль",IF(L138&lt;0,"убыток","ноль"))</f>
        <v>прибыль</v>
      </c>
      <c r="O138" s="6" t="n">
        <f aca="false">IF(L138&lt;0,O137+1,0)</f>
        <v>0</v>
      </c>
      <c r="P138" s="6" t="n">
        <v>20</v>
      </c>
    </row>
    <row r="139" customFormat="false" ht="15" hidden="false" customHeight="false" outlineLevel="0" collapsed="false">
      <c r="A139" s="6" t="n">
        <v>134</v>
      </c>
      <c r="B139" s="5" t="s">
        <v>76</v>
      </c>
      <c r="C139" s="5" t="s">
        <v>25</v>
      </c>
      <c r="D139" s="11" t="n">
        <v>46267</v>
      </c>
      <c r="E139" s="11" t="n">
        <v>46276</v>
      </c>
      <c r="F139" s="5" t="s">
        <v>75</v>
      </c>
      <c r="G139" s="12" t="n">
        <v>125162.992368959</v>
      </c>
      <c r="H139" s="13" t="n">
        <v>95.54</v>
      </c>
      <c r="I139" s="13" t="n">
        <v>108.66</v>
      </c>
      <c r="K139" s="8" t="n">
        <v>7.13769781338103</v>
      </c>
      <c r="L139" s="8" t="n">
        <v>-17598.101596475</v>
      </c>
      <c r="M139" s="8" t="n">
        <f aca="false">M138+L139</f>
        <v>1602170.93058942</v>
      </c>
      <c r="N139" s="5" t="str">
        <f aca="false">IF(L139&gt;0,"прибыль",IF(L139&lt;0,"убыток","ноль"))</f>
        <v>убыток</v>
      </c>
      <c r="O139" s="6" t="n">
        <f aca="false">IF(L139&lt;0,O138+1,0)</f>
        <v>1</v>
      </c>
      <c r="P139" s="6" t="n">
        <v>9</v>
      </c>
    </row>
    <row r="140" customFormat="false" ht="15" hidden="false" customHeight="false" outlineLevel="0" collapsed="false">
      <c r="A140" s="6" t="n">
        <v>135</v>
      </c>
      <c r="B140" s="5" t="s">
        <v>76</v>
      </c>
      <c r="C140" s="5" t="s">
        <v>25</v>
      </c>
      <c r="D140" s="11" t="n">
        <v>46276</v>
      </c>
      <c r="E140" s="11" t="n">
        <v>46298</v>
      </c>
      <c r="F140" s="5" t="s">
        <v>75</v>
      </c>
      <c r="G140" s="12" t="n">
        <v>336205.827025848</v>
      </c>
      <c r="H140" s="13" t="n">
        <v>108.66</v>
      </c>
      <c r="I140" s="13" t="n">
        <v>102.45</v>
      </c>
      <c r="J140" s="5" t="s">
        <v>74</v>
      </c>
      <c r="K140" s="8" t="n">
        <v>18.2955351761522</v>
      </c>
      <c r="L140" s="8" t="n">
        <v>-29723.1720323734</v>
      </c>
      <c r="M140" s="8" t="n">
        <f aca="false">M139+L140</f>
        <v>1572447.75855704</v>
      </c>
      <c r="N140" s="5" t="str">
        <f aca="false">IF(L140&gt;0,"прибыль",IF(L140&lt;0,"убыток","ноль"))</f>
        <v>убыток</v>
      </c>
      <c r="O140" s="6" t="n">
        <f aca="false">IF(L140&lt;0,O139+1,0)</f>
        <v>2</v>
      </c>
      <c r="P140" s="6" t="n">
        <v>20</v>
      </c>
    </row>
  </sheetData>
  <autoFilter ref="A5:Q1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5" min="4" style="0" width="17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9" min="8" style="0" width="12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7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60"/>
  </cols>
  <sheetData>
    <row r="1" customFormat="false" ht="15" hidden="false" customHeight="false" outlineLevel="0" collapsed="false">
      <c r="A1" s="10" t="s">
        <v>46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A3" s="2" t="s">
        <v>54</v>
      </c>
    </row>
    <row r="5" customFormat="false" ht="30" hidden="false" customHeight="true" outlineLevel="0" collapsed="false">
      <c r="A5" s="3" t="s">
        <v>55</v>
      </c>
      <c r="B5" s="3" t="s">
        <v>56</v>
      </c>
      <c r="C5" s="3" t="s">
        <v>57</v>
      </c>
      <c r="D5" s="3" t="s">
        <v>58</v>
      </c>
      <c r="E5" s="3" t="s">
        <v>59</v>
      </c>
      <c r="F5" s="3" t="s">
        <v>60</v>
      </c>
      <c r="G5" s="3" t="s">
        <v>61</v>
      </c>
      <c r="H5" s="3" t="s">
        <v>62</v>
      </c>
      <c r="I5" s="3" t="s">
        <v>63</v>
      </c>
      <c r="J5" s="3" t="s">
        <v>64</v>
      </c>
      <c r="K5" s="3" t="s">
        <v>65</v>
      </c>
      <c r="L5" s="3" t="s">
        <v>66</v>
      </c>
      <c r="M5" s="3" t="s">
        <v>67</v>
      </c>
      <c r="N5" s="3" t="s">
        <v>68</v>
      </c>
      <c r="O5" s="3" t="s">
        <v>69</v>
      </c>
      <c r="P5" s="3" t="s">
        <v>70</v>
      </c>
      <c r="Q5" s="3" t="s">
        <v>71</v>
      </c>
    </row>
    <row r="6" customFormat="false" ht="15" hidden="false" customHeight="false" outlineLevel="0" collapsed="false">
      <c r="A6" s="6" t="n">
        <v>1</v>
      </c>
      <c r="B6" s="5" t="s">
        <v>72</v>
      </c>
      <c r="C6" s="5" t="s">
        <v>30</v>
      </c>
      <c r="D6" s="11" t="n">
        <v>43894</v>
      </c>
      <c r="E6" s="11" t="n">
        <v>43901</v>
      </c>
      <c r="F6" s="5" t="s">
        <v>73</v>
      </c>
      <c r="G6" s="12" t="n">
        <v>149657.177019969</v>
      </c>
      <c r="H6" s="13" t="n">
        <v>1.803</v>
      </c>
      <c r="I6" s="13" t="n">
        <v>1.924</v>
      </c>
      <c r="K6" s="8" t="n">
        <v>26.7831288860349</v>
      </c>
      <c r="L6" s="8" t="n">
        <v>9425.27960513522</v>
      </c>
      <c r="M6" s="8" t="n">
        <f aca="false">L6</f>
        <v>9425.27960513522</v>
      </c>
      <c r="N6" s="5" t="str">
        <f aca="false">IF(L6&gt;0,"прибыль",IF(L6&lt;0,"убыток","ноль"))</f>
        <v>прибыль</v>
      </c>
      <c r="O6" s="6" t="n">
        <f aca="false">IF(L6&lt;0,1,0)</f>
        <v>0</v>
      </c>
      <c r="P6" s="6" t="n">
        <v>4</v>
      </c>
    </row>
    <row r="7" customFormat="false" ht="15" hidden="false" customHeight="false" outlineLevel="0" collapsed="false">
      <c r="A7" s="6" t="n">
        <v>2</v>
      </c>
      <c r="B7" s="5" t="s">
        <v>72</v>
      </c>
      <c r="C7" s="5" t="s">
        <v>30</v>
      </c>
      <c r="D7" s="11" t="n">
        <v>43901</v>
      </c>
      <c r="E7" s="11" t="n">
        <v>43922</v>
      </c>
      <c r="F7" s="5" t="s">
        <v>73</v>
      </c>
      <c r="G7" s="12" t="n">
        <v>226896.160946738</v>
      </c>
      <c r="H7" s="13" t="n">
        <v>1.924</v>
      </c>
      <c r="I7" s="13" t="n">
        <v>1.645</v>
      </c>
      <c r="J7" s="5" t="s">
        <v>74</v>
      </c>
      <c r="K7" s="8" t="n">
        <v>20.4438854748655</v>
      </c>
      <c r="L7" s="8" t="n">
        <v>-30120.0755284113</v>
      </c>
      <c r="M7" s="8" t="n">
        <f aca="false">M6+L7</f>
        <v>-20694.7959232761</v>
      </c>
      <c r="N7" s="5" t="str">
        <f aca="false">IF(L7&gt;0,"прибыль",IF(L7&lt;0,"убыток","ноль"))</f>
        <v>убыток</v>
      </c>
      <c r="O7" s="6" t="n">
        <f aca="false">IF(L7&lt;0,O6+1,0)</f>
        <v>1</v>
      </c>
      <c r="P7" s="6" t="n">
        <v>15</v>
      </c>
    </row>
    <row r="8" customFormat="false" ht="15" hidden="false" customHeight="false" outlineLevel="0" collapsed="false">
      <c r="A8" s="6" t="n">
        <v>3</v>
      </c>
      <c r="B8" s="5" t="s">
        <v>72</v>
      </c>
      <c r="C8" s="5" t="s">
        <v>30</v>
      </c>
      <c r="D8" s="11" t="n">
        <v>43922</v>
      </c>
      <c r="E8" s="11" t="n">
        <v>43942</v>
      </c>
      <c r="F8" s="5" t="s">
        <v>75</v>
      </c>
      <c r="G8" s="12" t="n">
        <v>51322.951841746</v>
      </c>
      <c r="H8" s="13" t="n">
        <v>1.645</v>
      </c>
      <c r="I8" s="13" t="n">
        <v>1.918</v>
      </c>
      <c r="K8" s="8" t="n">
        <v>3.00753859948632</v>
      </c>
      <c r="L8" s="8" t="n">
        <v>-8830.82768657985</v>
      </c>
      <c r="M8" s="8" t="n">
        <f aca="false">M7+L8</f>
        <v>-29525.6236098559</v>
      </c>
      <c r="N8" s="5" t="str">
        <f aca="false">IF(L8&gt;0,"прибыль",IF(L8&lt;0,"убыток","ноль"))</f>
        <v>убыток</v>
      </c>
      <c r="O8" s="6" t="n">
        <f aca="false">IF(L8&lt;0,O7+1,0)</f>
        <v>2</v>
      </c>
      <c r="P8" s="6" t="n">
        <v>14</v>
      </c>
    </row>
    <row r="9" customFormat="false" ht="15" hidden="false" customHeight="false" outlineLevel="0" collapsed="false">
      <c r="A9" s="6" t="n">
        <v>4</v>
      </c>
      <c r="B9" s="5" t="s">
        <v>72</v>
      </c>
      <c r="C9" s="5" t="s">
        <v>30</v>
      </c>
      <c r="D9" s="11" t="n">
        <v>43942</v>
      </c>
      <c r="E9" s="11" t="n">
        <v>44012</v>
      </c>
      <c r="F9" s="5" t="s">
        <v>75</v>
      </c>
      <c r="G9" s="12" t="n">
        <v>94012.4032573724</v>
      </c>
      <c r="H9" s="13" t="n">
        <v>1.918</v>
      </c>
      <c r="I9" s="13" t="n">
        <v>1.708</v>
      </c>
      <c r="J9" s="5" t="s">
        <v>74</v>
      </c>
      <c r="K9" s="8" t="n">
        <v>14.364014599394</v>
      </c>
      <c r="L9" s="8" t="n">
        <v>5671.41227946773</v>
      </c>
      <c r="M9" s="8" t="n">
        <f aca="false">M8+L9</f>
        <v>-23854.2113303882</v>
      </c>
      <c r="N9" s="5" t="str">
        <f aca="false">IF(L9&gt;0,"прибыль",IF(L9&lt;0,"убыток","ноль"))</f>
        <v>прибыль</v>
      </c>
      <c r="O9" s="6" t="n">
        <f aca="false">IF(L9&lt;0,O8+1,0)</f>
        <v>0</v>
      </c>
      <c r="P9" s="6" t="n">
        <v>46</v>
      </c>
    </row>
    <row r="10" customFormat="false" ht="15" hidden="false" customHeight="false" outlineLevel="0" collapsed="false">
      <c r="A10" s="6" t="n">
        <v>5</v>
      </c>
      <c r="B10" s="5" t="s">
        <v>72</v>
      </c>
      <c r="C10" s="5" t="s">
        <v>30</v>
      </c>
      <c r="D10" s="11" t="n">
        <v>44012</v>
      </c>
      <c r="E10" s="11" t="n">
        <v>44047</v>
      </c>
      <c r="F10" s="5" t="s">
        <v>75</v>
      </c>
      <c r="G10" s="12" t="n">
        <v>81095.626522305</v>
      </c>
      <c r="H10" s="13" t="n">
        <v>1.708</v>
      </c>
      <c r="I10" s="13" t="n">
        <v>2.1</v>
      </c>
      <c r="J10" s="5" t="s">
        <v>74</v>
      </c>
      <c r="K10" s="8" t="n">
        <v>4.42981942478561</v>
      </c>
      <c r="L10" s="8" t="n">
        <v>-7505.19179283189</v>
      </c>
      <c r="M10" s="8" t="n">
        <f aca="false">M9+L10</f>
        <v>-31359.4031232201</v>
      </c>
      <c r="N10" s="5" t="str">
        <f aca="false">IF(L10&gt;0,"прибыль",IF(L10&lt;0,"убыток","ноль"))</f>
        <v>убыток</v>
      </c>
      <c r="O10" s="6" t="n">
        <f aca="false">IF(L10&lt;0,O9+1,0)</f>
        <v>1</v>
      </c>
      <c r="P10" s="6" t="n">
        <v>24</v>
      </c>
    </row>
    <row r="11" customFormat="false" ht="15" hidden="false" customHeight="false" outlineLevel="0" collapsed="false">
      <c r="A11" s="6" t="n">
        <v>6</v>
      </c>
      <c r="B11" s="5" t="s">
        <v>72</v>
      </c>
      <c r="C11" s="5" t="s">
        <v>30</v>
      </c>
      <c r="D11" s="11" t="n">
        <v>44047</v>
      </c>
      <c r="E11" s="11" t="n">
        <v>44098</v>
      </c>
      <c r="F11" s="5" t="s">
        <v>75</v>
      </c>
      <c r="G11" s="12" t="n">
        <v>119691.897069053</v>
      </c>
      <c r="H11" s="13" t="n">
        <v>2.1</v>
      </c>
      <c r="I11" s="13" t="n">
        <v>2.199</v>
      </c>
      <c r="J11" s="5" t="s">
        <v>74</v>
      </c>
      <c r="K11" s="8" t="n">
        <v>10.3060303501211</v>
      </c>
      <c r="L11" s="8" t="n">
        <v>3059.63148484007</v>
      </c>
      <c r="M11" s="8" t="n">
        <f aca="false">M10+L11</f>
        <v>-28299.77163838</v>
      </c>
      <c r="N11" s="5" t="str">
        <f aca="false">IF(L11&gt;0,"прибыль",IF(L11&lt;0,"убыток","ноль"))</f>
        <v>прибыль</v>
      </c>
      <c r="O11" s="6" t="n">
        <f aca="false">IF(L11&lt;0,O10+1,0)</f>
        <v>0</v>
      </c>
      <c r="P11" s="6" t="n">
        <v>37</v>
      </c>
    </row>
    <row r="12" customFormat="false" ht="15" hidden="false" customHeight="false" outlineLevel="0" collapsed="false">
      <c r="A12" s="6" t="n">
        <v>7</v>
      </c>
      <c r="B12" s="5" t="s">
        <v>72</v>
      </c>
      <c r="C12" s="5" t="s">
        <v>30</v>
      </c>
      <c r="D12" s="11" t="n">
        <v>44098</v>
      </c>
      <c r="E12" s="11" t="n">
        <v>44225</v>
      </c>
      <c r="F12" s="5" t="s">
        <v>75</v>
      </c>
      <c r="G12" s="12" t="n">
        <v>314518.353733759</v>
      </c>
      <c r="H12" s="13" t="n">
        <v>2.199</v>
      </c>
      <c r="I12" s="13" t="n">
        <v>2.689</v>
      </c>
      <c r="J12" s="5" t="s">
        <v>74</v>
      </c>
      <c r="K12" s="8" t="n">
        <v>19.7519789524474</v>
      </c>
      <c r="L12" s="8" t="n">
        <v>79566.7624634494</v>
      </c>
      <c r="M12" s="8" t="n">
        <f aca="false">M11+L12</f>
        <v>51266.9908250694</v>
      </c>
      <c r="N12" s="5" t="str">
        <f aca="false">IF(L12&gt;0,"прибыль",IF(L12&lt;0,"убыток","ноль"))</f>
        <v>прибыль</v>
      </c>
      <c r="O12" s="6" t="n">
        <f aca="false">IF(L12&lt;0,O11+1,0)</f>
        <v>0</v>
      </c>
      <c r="P12" s="6" t="n">
        <v>87</v>
      </c>
    </row>
    <row r="13" customFormat="false" ht="15" hidden="false" customHeight="false" outlineLevel="0" collapsed="false">
      <c r="A13" s="6" t="n">
        <v>8</v>
      </c>
      <c r="B13" s="5" t="s">
        <v>72</v>
      </c>
      <c r="C13" s="5" t="s">
        <v>30</v>
      </c>
      <c r="D13" s="11" t="n">
        <v>44253</v>
      </c>
      <c r="E13" s="11" t="n">
        <v>44286</v>
      </c>
      <c r="F13" s="5" t="s">
        <v>73</v>
      </c>
      <c r="G13" s="12" t="n">
        <v>462574.375264685</v>
      </c>
      <c r="H13" s="13" t="n">
        <v>2.755</v>
      </c>
      <c r="I13" s="13" t="n">
        <v>2.623</v>
      </c>
      <c r="J13" s="5" t="s">
        <v>74</v>
      </c>
      <c r="K13" s="8" t="n">
        <v>69.2594455845769</v>
      </c>
      <c r="L13" s="8" t="n">
        <v>-24126.2085643715</v>
      </c>
      <c r="M13" s="8" t="n">
        <f aca="false">M12+L13</f>
        <v>27140.7822606979</v>
      </c>
      <c r="N13" s="5" t="str">
        <f aca="false">IF(L13&gt;0,"прибыль",IF(L13&lt;0,"убыток","ноль"))</f>
        <v>убыток</v>
      </c>
      <c r="O13" s="6" t="n">
        <f aca="false">IF(L13&lt;0,O12+1,0)</f>
        <v>1</v>
      </c>
      <c r="P13" s="6" t="n">
        <v>22</v>
      </c>
    </row>
    <row r="14" customFormat="false" ht="15" hidden="false" customHeight="false" outlineLevel="0" collapsed="false">
      <c r="A14" s="6" t="n">
        <v>9</v>
      </c>
      <c r="B14" s="5" t="s">
        <v>72</v>
      </c>
      <c r="C14" s="5" t="s">
        <v>30</v>
      </c>
      <c r="D14" s="11" t="n">
        <v>44286</v>
      </c>
      <c r="E14" s="11" t="n">
        <v>44334</v>
      </c>
      <c r="F14" s="5" t="s">
        <v>75</v>
      </c>
      <c r="G14" s="12" t="n">
        <v>136978.824982622</v>
      </c>
      <c r="H14" s="13" t="n">
        <v>2.623</v>
      </c>
      <c r="I14" s="13" t="n">
        <v>3.12</v>
      </c>
      <c r="J14" s="5" t="s">
        <v>74</v>
      </c>
      <c r="K14" s="8" t="n">
        <v>13.9277160831668</v>
      </c>
      <c r="L14" s="8" t="n">
        <v>-19341.7892136865</v>
      </c>
      <c r="M14" s="8" t="n">
        <f aca="false">M13+L14</f>
        <v>7798.99304701142</v>
      </c>
      <c r="N14" s="5" t="str">
        <f aca="false">IF(L14&gt;0,"прибыль",IF(L14&lt;0,"убыток","ноль"))</f>
        <v>убыток</v>
      </c>
      <c r="O14" s="6" t="n">
        <f aca="false">IF(L14&lt;0,O13+1,0)</f>
        <v>2</v>
      </c>
      <c r="P14" s="6" t="n">
        <v>33</v>
      </c>
    </row>
    <row r="15" customFormat="false" ht="15" hidden="false" customHeight="false" outlineLevel="0" collapsed="false">
      <c r="A15" s="6" t="n">
        <v>10</v>
      </c>
      <c r="B15" s="5" t="s">
        <v>72</v>
      </c>
      <c r="C15" s="5" t="s">
        <v>30</v>
      </c>
      <c r="D15" s="11" t="n">
        <v>44334</v>
      </c>
      <c r="E15" s="11" t="n">
        <v>44384</v>
      </c>
      <c r="F15" s="5" t="s">
        <v>75</v>
      </c>
      <c r="G15" s="12" t="n">
        <v>108842.323348745</v>
      </c>
      <c r="H15" s="13" t="n">
        <v>3.12</v>
      </c>
      <c r="I15" s="13" t="n">
        <v>3.679</v>
      </c>
      <c r="J15" s="5" t="s">
        <v>74</v>
      </c>
      <c r="K15" s="8" t="n">
        <v>6.91081497857677</v>
      </c>
      <c r="L15" s="8" t="n">
        <v>-29380.8870377693</v>
      </c>
      <c r="M15" s="8" t="n">
        <f aca="false">M14+L15</f>
        <v>-21581.8939907578</v>
      </c>
      <c r="N15" s="5" t="str">
        <f aca="false">IF(L15&gt;0,"прибыль",IF(L15&lt;0,"убыток","ноль"))</f>
        <v>убыток</v>
      </c>
      <c r="O15" s="6" t="n">
        <f aca="false">IF(L15&lt;0,O14+1,0)</f>
        <v>3</v>
      </c>
      <c r="P15" s="6" t="n">
        <v>36</v>
      </c>
    </row>
    <row r="16" customFormat="false" ht="15" hidden="false" customHeight="false" outlineLevel="0" collapsed="false">
      <c r="A16" s="6" t="n">
        <v>11</v>
      </c>
      <c r="B16" s="5" t="s">
        <v>72</v>
      </c>
      <c r="C16" s="5" t="s">
        <v>30</v>
      </c>
      <c r="D16" s="11" t="n">
        <v>44384</v>
      </c>
      <c r="E16" s="11" t="n">
        <v>44407</v>
      </c>
      <c r="F16" s="5" t="s">
        <v>75</v>
      </c>
      <c r="G16" s="12" t="n">
        <v>360523.597132699</v>
      </c>
      <c r="H16" s="13" t="n">
        <v>3.679</v>
      </c>
      <c r="I16" s="13" t="n">
        <v>4.04</v>
      </c>
      <c r="J16" s="5" t="s">
        <v>74</v>
      </c>
      <c r="K16" s="8" t="n">
        <v>25.3486379919791</v>
      </c>
      <c r="L16" s="8" t="n">
        <v>-146474.511344875</v>
      </c>
      <c r="M16" s="8" t="n">
        <f aca="false">M15+L16</f>
        <v>-168056.405335633</v>
      </c>
      <c r="N16" s="5" t="str">
        <f aca="false">IF(L16&gt;0,"прибыль",IF(L16&lt;0,"убыток","ноль"))</f>
        <v>убыток</v>
      </c>
      <c r="O16" s="6" t="n">
        <f aca="false">IF(L16&lt;0,O15+1,0)</f>
        <v>4</v>
      </c>
      <c r="P16" s="6" t="n">
        <v>17</v>
      </c>
    </row>
    <row r="17" customFormat="false" ht="15" hidden="false" customHeight="false" outlineLevel="0" collapsed="false">
      <c r="A17" s="6" t="n">
        <v>12</v>
      </c>
      <c r="B17" s="5" t="s">
        <v>72</v>
      </c>
      <c r="C17" s="5" t="s">
        <v>30</v>
      </c>
      <c r="D17" s="11" t="n">
        <v>44439</v>
      </c>
      <c r="E17" s="11" t="n">
        <v>44448</v>
      </c>
      <c r="F17" s="5" t="s">
        <v>75</v>
      </c>
      <c r="G17" s="12" t="n">
        <v>109788.883304137</v>
      </c>
      <c r="H17" s="13" t="n">
        <v>4.307</v>
      </c>
      <c r="I17" s="13" t="n">
        <v>4.924</v>
      </c>
      <c r="K17" s="8" t="n">
        <v>25.5014532212085</v>
      </c>
      <c r="L17" s="8" t="n">
        <v>-16162.3451000979</v>
      </c>
      <c r="M17" s="8" t="n">
        <f aca="false">M16+L17</f>
        <v>-184218.75043573</v>
      </c>
      <c r="N17" s="5" t="str">
        <f aca="false">IF(L17&gt;0,"прибыль",IF(L17&lt;0,"убыток","ноль"))</f>
        <v>убыток</v>
      </c>
      <c r="O17" s="6" t="n">
        <f aca="false">IF(L17&lt;0,O16+1,0)</f>
        <v>5</v>
      </c>
      <c r="P17" s="6" t="n">
        <v>7</v>
      </c>
    </row>
    <row r="18" customFormat="false" ht="15" hidden="false" customHeight="false" outlineLevel="0" collapsed="false">
      <c r="A18" s="6" t="n">
        <v>13</v>
      </c>
      <c r="B18" s="5" t="s">
        <v>72</v>
      </c>
      <c r="C18" s="5" t="s">
        <v>30</v>
      </c>
      <c r="D18" s="11" t="n">
        <v>44448</v>
      </c>
      <c r="E18" s="11" t="n">
        <v>44467</v>
      </c>
      <c r="F18" s="5" t="s">
        <v>75</v>
      </c>
      <c r="G18" s="12" t="n">
        <v>85902.3774167993</v>
      </c>
      <c r="H18" s="13" t="n">
        <v>4.924</v>
      </c>
      <c r="I18" s="13" t="n">
        <v>5.707</v>
      </c>
      <c r="K18" s="8" t="n">
        <v>5.7119170433887</v>
      </c>
      <c r="L18" s="8" t="n">
        <v>-28341.675368018</v>
      </c>
      <c r="M18" s="8" t="n">
        <f aca="false">M17+L18</f>
        <v>-212560.425803748</v>
      </c>
      <c r="N18" s="5" t="str">
        <f aca="false">IF(L18&gt;0,"прибыль",IF(L18&lt;0,"убыток","ноль"))</f>
        <v>убыток</v>
      </c>
      <c r="O18" s="6" t="n">
        <f aca="false">IF(L18&lt;0,O17+1,0)</f>
        <v>6</v>
      </c>
      <c r="P18" s="6" t="n">
        <v>13</v>
      </c>
    </row>
    <row r="19" customFormat="false" ht="15" hidden="false" customHeight="false" outlineLevel="0" collapsed="false">
      <c r="A19" s="6" t="n">
        <v>14</v>
      </c>
      <c r="B19" s="5" t="s">
        <v>72</v>
      </c>
      <c r="C19" s="5" t="s">
        <v>30</v>
      </c>
      <c r="D19" s="11" t="n">
        <v>44467</v>
      </c>
      <c r="E19" s="11" t="n">
        <v>44474</v>
      </c>
      <c r="F19" s="5" t="s">
        <v>75</v>
      </c>
      <c r="G19" s="12" t="n">
        <v>41783.0088854493</v>
      </c>
      <c r="H19" s="13" t="n">
        <v>5.707</v>
      </c>
      <c r="I19" s="13" t="n">
        <v>5.82</v>
      </c>
      <c r="J19" s="5" t="s">
        <v>74</v>
      </c>
      <c r="K19" s="8" t="n">
        <v>2.78306052901803</v>
      </c>
      <c r="L19" s="8" t="n">
        <v>-13880.9847554403</v>
      </c>
      <c r="M19" s="8" t="n">
        <f aca="false">M18+L19</f>
        <v>-226441.410559189</v>
      </c>
      <c r="N19" s="5" t="str">
        <f aca="false">IF(L19&gt;0,"прибыль",IF(L19&lt;0,"убыток","ноль"))</f>
        <v>убыток</v>
      </c>
      <c r="O19" s="6" t="n">
        <f aca="false">IF(L19&lt;0,O18+1,0)</f>
        <v>7</v>
      </c>
      <c r="P19" s="6" t="n">
        <v>5</v>
      </c>
    </row>
    <row r="20" customFormat="false" ht="15" hidden="false" customHeight="false" outlineLevel="0" collapsed="false">
      <c r="A20" s="6" t="n">
        <v>15</v>
      </c>
      <c r="B20" s="5" t="s">
        <v>72</v>
      </c>
      <c r="C20" s="5" t="s">
        <v>30</v>
      </c>
      <c r="D20" s="11" t="n">
        <v>44474</v>
      </c>
      <c r="E20" s="11" t="n">
        <v>44495</v>
      </c>
      <c r="F20" s="5" t="s">
        <v>75</v>
      </c>
      <c r="G20" s="12" t="n">
        <v>29857.1406918898</v>
      </c>
      <c r="H20" s="13" t="n">
        <v>5.82</v>
      </c>
      <c r="I20" s="13" t="n">
        <v>6</v>
      </c>
      <c r="K20" s="8" t="n">
        <v>2.05128419273538</v>
      </c>
      <c r="L20" s="8" t="n">
        <v>-11170.5944470106</v>
      </c>
      <c r="M20" s="8" t="n">
        <f aca="false">M19+L20</f>
        <v>-237612.005006199</v>
      </c>
      <c r="N20" s="5" t="str">
        <f aca="false">IF(L20&gt;0,"прибыль",IF(L20&lt;0,"убыток","ноль"))</f>
        <v>убыток</v>
      </c>
      <c r="O20" s="6" t="n">
        <f aca="false">IF(L20&lt;0,O19+1,0)</f>
        <v>8</v>
      </c>
      <c r="P20" s="6" t="n">
        <v>15</v>
      </c>
    </row>
    <row r="21" customFormat="false" ht="15" hidden="false" customHeight="false" outlineLevel="0" collapsed="false">
      <c r="A21" s="6" t="n">
        <v>16</v>
      </c>
      <c r="B21" s="5" t="s">
        <v>72</v>
      </c>
      <c r="C21" s="5" t="s">
        <v>30</v>
      </c>
      <c r="D21" s="11" t="n">
        <v>44495</v>
      </c>
      <c r="E21" s="11" t="n">
        <v>44564</v>
      </c>
      <c r="F21" s="5" t="s">
        <v>75</v>
      </c>
      <c r="G21" s="12" t="n">
        <v>288170.982727649</v>
      </c>
      <c r="H21" s="13" t="n">
        <v>6</v>
      </c>
      <c r="I21" s="13" t="n">
        <v>3.591</v>
      </c>
      <c r="J21" s="5" t="s">
        <v>74</v>
      </c>
      <c r="K21" s="8" t="n">
        <v>32.1626117175491</v>
      </c>
      <c r="L21" s="8" t="n">
        <v>48936.3788728877</v>
      </c>
      <c r="M21" s="8" t="n">
        <f aca="false">M20+L21</f>
        <v>-188675.626133312</v>
      </c>
      <c r="N21" s="5" t="str">
        <f aca="false">IF(L21&gt;0,"прибыль",IF(L21&lt;0,"убыток","ноль"))</f>
        <v>прибыль</v>
      </c>
      <c r="O21" s="6" t="n">
        <f aca="false">IF(L21&lt;0,O20+1,0)</f>
        <v>0</v>
      </c>
      <c r="P21" s="6" t="n">
        <v>47</v>
      </c>
    </row>
    <row r="22" customFormat="false" ht="15" hidden="false" customHeight="false" outlineLevel="0" collapsed="false">
      <c r="A22" s="6" t="n">
        <v>17</v>
      </c>
      <c r="B22" s="5" t="s">
        <v>72</v>
      </c>
      <c r="C22" s="5" t="s">
        <v>30</v>
      </c>
      <c r="D22" s="11" t="n">
        <v>44564</v>
      </c>
      <c r="E22" s="11" t="n">
        <v>44574</v>
      </c>
      <c r="F22" s="5" t="s">
        <v>73</v>
      </c>
      <c r="G22" s="12" t="n">
        <v>88436.9905081138</v>
      </c>
      <c r="H22" s="13" t="n">
        <v>3.591</v>
      </c>
      <c r="I22" s="13" t="n">
        <v>4.817</v>
      </c>
      <c r="K22" s="8" t="n">
        <v>5.90215480647759</v>
      </c>
      <c r="L22" s="8" t="n">
        <v>29600.2034666315</v>
      </c>
      <c r="M22" s="8" t="n">
        <f aca="false">M21+L22</f>
        <v>-159075.42266668</v>
      </c>
      <c r="N22" s="5" t="str">
        <f aca="false">IF(L22&gt;0,"прибыль",IF(L22&lt;0,"убыток","ноль"))</f>
        <v>прибыль</v>
      </c>
      <c r="O22" s="6" t="n">
        <f aca="false">IF(L22&lt;0,O21+1,0)</f>
        <v>0</v>
      </c>
      <c r="P22" s="6" t="n">
        <v>8</v>
      </c>
    </row>
    <row r="23" customFormat="false" ht="15" hidden="false" customHeight="false" outlineLevel="0" collapsed="false">
      <c r="A23" s="6" t="n">
        <v>18</v>
      </c>
      <c r="B23" s="5" t="s">
        <v>72</v>
      </c>
      <c r="C23" s="5" t="s">
        <v>30</v>
      </c>
      <c r="D23" s="11" t="n">
        <v>44574</v>
      </c>
      <c r="E23" s="11" t="n">
        <v>44592</v>
      </c>
      <c r="F23" s="5" t="s">
        <v>73</v>
      </c>
      <c r="G23" s="12" t="n">
        <v>144213.747047057</v>
      </c>
      <c r="H23" s="13" t="n">
        <v>4.817</v>
      </c>
      <c r="I23" s="13" t="n">
        <v>4.674</v>
      </c>
      <c r="J23" s="5" t="s">
        <v>74</v>
      </c>
      <c r="K23" s="8" t="n">
        <v>17.8302958728252</v>
      </c>
      <c r="L23" s="8" t="n">
        <v>39023.2763557173</v>
      </c>
      <c r="M23" s="8" t="n">
        <f aca="false">M22+L23</f>
        <v>-120052.146310963</v>
      </c>
      <c r="N23" s="5" t="str">
        <f aca="false">IF(L23&gt;0,"прибыль",IF(L23&lt;0,"убыток","ноль"))</f>
        <v>прибыль</v>
      </c>
      <c r="O23" s="6" t="n">
        <f aca="false">IF(L23&lt;0,O22+1,0)</f>
        <v>0</v>
      </c>
      <c r="P23" s="6" t="n">
        <v>12</v>
      </c>
    </row>
    <row r="24" customFormat="false" ht="15" hidden="false" customHeight="false" outlineLevel="0" collapsed="false">
      <c r="A24" s="6" t="n">
        <v>19</v>
      </c>
      <c r="B24" s="5" t="s">
        <v>72</v>
      </c>
      <c r="C24" s="5" t="s">
        <v>30</v>
      </c>
      <c r="D24" s="11" t="n">
        <v>44592</v>
      </c>
      <c r="E24" s="11" t="n">
        <v>44651</v>
      </c>
      <c r="F24" s="5" t="s">
        <v>75</v>
      </c>
      <c r="G24" s="12" t="n">
        <v>270641.458744517</v>
      </c>
      <c r="H24" s="13" t="n">
        <v>4.674</v>
      </c>
      <c r="I24" s="13" t="n">
        <v>5.399</v>
      </c>
      <c r="J24" s="5" t="s">
        <v>74</v>
      </c>
      <c r="K24" s="8" t="n">
        <v>35.9254332838281</v>
      </c>
      <c r="L24" s="8" t="n">
        <v>-47860.4303566576</v>
      </c>
      <c r="M24" s="8" t="n">
        <f aca="false">M23+L24</f>
        <v>-167912.57666762</v>
      </c>
      <c r="N24" s="5" t="str">
        <f aca="false">IF(L24&gt;0,"прибыль",IF(L24&lt;0,"убыток","ноль"))</f>
        <v>убыток</v>
      </c>
      <c r="O24" s="6" t="n">
        <f aca="false">IF(L24&lt;0,O23+1,0)</f>
        <v>1</v>
      </c>
      <c r="P24" s="6" t="n">
        <v>39</v>
      </c>
    </row>
    <row r="25" customFormat="false" ht="15" hidden="false" customHeight="false" outlineLevel="0" collapsed="false">
      <c r="A25" s="6" t="n">
        <v>20</v>
      </c>
      <c r="B25" s="5" t="s">
        <v>72</v>
      </c>
      <c r="C25" s="5" t="s">
        <v>30</v>
      </c>
      <c r="D25" s="11" t="n">
        <v>44651</v>
      </c>
      <c r="E25" s="11" t="n">
        <v>44670</v>
      </c>
      <c r="F25" s="5" t="s">
        <v>73</v>
      </c>
      <c r="G25" s="12" t="n">
        <v>92265.3415606845</v>
      </c>
      <c r="H25" s="13" t="n">
        <v>5.399</v>
      </c>
      <c r="I25" s="13" t="n">
        <v>7.2</v>
      </c>
      <c r="K25" s="8" t="n">
        <v>10.4373275848488</v>
      </c>
      <c r="L25" s="8" t="n">
        <v>28778.3417603864</v>
      </c>
      <c r="M25" s="8" t="n">
        <f aca="false">M24+L25</f>
        <v>-139134.234907234</v>
      </c>
      <c r="N25" s="5" t="str">
        <f aca="false">IF(L25&gt;0,"прибыль",IF(L25&lt;0,"убыток","ноль"))</f>
        <v>прибыль</v>
      </c>
      <c r="O25" s="6" t="n">
        <f aca="false">IF(L25&lt;0,O24+1,0)</f>
        <v>0</v>
      </c>
      <c r="P25" s="6" t="n">
        <v>13</v>
      </c>
    </row>
    <row r="26" customFormat="false" ht="15" hidden="false" customHeight="false" outlineLevel="0" collapsed="false">
      <c r="A26" s="6" t="n">
        <v>21</v>
      </c>
      <c r="B26" s="5" t="s">
        <v>72</v>
      </c>
      <c r="C26" s="5" t="s">
        <v>30</v>
      </c>
      <c r="D26" s="11" t="n">
        <v>44670</v>
      </c>
      <c r="E26" s="11" t="n">
        <v>44678</v>
      </c>
      <c r="F26" s="5" t="s">
        <v>73</v>
      </c>
      <c r="G26" s="12" t="n">
        <v>79371.3734014398</v>
      </c>
      <c r="H26" s="13" t="n">
        <v>7.2</v>
      </c>
      <c r="I26" s="13" t="n">
        <v>6.849</v>
      </c>
      <c r="K26" s="8" t="n">
        <v>4.95056523731711</v>
      </c>
      <c r="L26" s="8" t="n">
        <v>19634.980779665</v>
      </c>
      <c r="M26" s="8" t="n">
        <f aca="false">M25+L26</f>
        <v>-119499.254127569</v>
      </c>
      <c r="N26" s="5" t="str">
        <f aca="false">IF(L26&gt;0,"прибыль",IF(L26&lt;0,"убыток","ноль"))</f>
        <v>прибыль</v>
      </c>
      <c r="O26" s="6" t="n">
        <f aca="false">IF(L26&lt;0,O25+1,0)</f>
        <v>0</v>
      </c>
      <c r="P26" s="6" t="n">
        <v>6</v>
      </c>
    </row>
    <row r="27" customFormat="false" ht="15" hidden="false" customHeight="false" outlineLevel="0" collapsed="false">
      <c r="A27" s="6" t="n">
        <v>22</v>
      </c>
      <c r="B27" s="5" t="s">
        <v>72</v>
      </c>
      <c r="C27" s="5" t="s">
        <v>30</v>
      </c>
      <c r="D27" s="11" t="n">
        <v>44678</v>
      </c>
      <c r="E27" s="11" t="n">
        <v>44680</v>
      </c>
      <c r="F27" s="5" t="s">
        <v>73</v>
      </c>
      <c r="G27" s="12" t="n">
        <v>218808.023108208</v>
      </c>
      <c r="H27" s="13" t="n">
        <v>6.849</v>
      </c>
      <c r="I27" s="13" t="n">
        <v>6.741</v>
      </c>
      <c r="J27" s="5" t="s">
        <v>74</v>
      </c>
      <c r="K27" s="8" t="n">
        <v>25.8126944580135</v>
      </c>
      <c r="L27" s="8" t="n">
        <v>40324.8547198876</v>
      </c>
      <c r="M27" s="8" t="n">
        <f aca="false">M26+L27</f>
        <v>-79174.3994076815</v>
      </c>
      <c r="N27" s="5" t="str">
        <f aca="false">IF(L27&gt;0,"прибыль",IF(L27&lt;0,"убыток","ноль"))</f>
        <v>прибыль</v>
      </c>
      <c r="O27" s="6" t="n">
        <f aca="false">IF(L27&lt;0,O26+1,0)</f>
        <v>0</v>
      </c>
      <c r="P27" s="6" t="n">
        <v>2</v>
      </c>
    </row>
    <row r="28" customFormat="false" ht="15" hidden="false" customHeight="false" outlineLevel="0" collapsed="false">
      <c r="A28" s="6" t="n">
        <v>23</v>
      </c>
      <c r="B28" s="5" t="s">
        <v>72</v>
      </c>
      <c r="C28" s="5" t="s">
        <v>30</v>
      </c>
      <c r="D28" s="11" t="n">
        <v>44680</v>
      </c>
      <c r="E28" s="11" t="n">
        <v>44686</v>
      </c>
      <c r="F28" s="5" t="s">
        <v>75</v>
      </c>
      <c r="G28" s="12" t="n">
        <v>66516.8316579453</v>
      </c>
      <c r="H28" s="13" t="n">
        <v>6.741</v>
      </c>
      <c r="I28" s="13" t="n">
        <v>7.65</v>
      </c>
      <c r="K28" s="8" t="n">
        <v>3.7913524673057</v>
      </c>
      <c r="L28" s="8" t="n">
        <v>-9314.00904063589</v>
      </c>
      <c r="M28" s="8" t="n">
        <f aca="false">M27+L28</f>
        <v>-88488.4084483174</v>
      </c>
      <c r="N28" s="5" t="str">
        <f aca="false">IF(L28&gt;0,"прибыль",IF(L28&lt;0,"убыток","ноль"))</f>
        <v>убыток</v>
      </c>
      <c r="O28" s="6" t="n">
        <f aca="false">IF(L28&lt;0,O27+1,0)</f>
        <v>1</v>
      </c>
      <c r="P28" s="6" t="n">
        <v>2</v>
      </c>
    </row>
    <row r="29" customFormat="false" ht="15" hidden="false" customHeight="false" outlineLevel="0" collapsed="false">
      <c r="A29" s="6" t="n">
        <v>24</v>
      </c>
      <c r="B29" s="5" t="s">
        <v>72</v>
      </c>
      <c r="C29" s="5" t="s">
        <v>30</v>
      </c>
      <c r="D29" s="11" t="n">
        <v>44686</v>
      </c>
      <c r="E29" s="11" t="n">
        <v>44711</v>
      </c>
      <c r="F29" s="5" t="s">
        <v>75</v>
      </c>
      <c r="G29" s="12" t="n">
        <v>190578.366979771</v>
      </c>
      <c r="H29" s="13" t="n">
        <v>7.65</v>
      </c>
      <c r="I29" s="13" t="n">
        <v>8.677</v>
      </c>
      <c r="J29" s="5" t="s">
        <v>74</v>
      </c>
      <c r="K29" s="8" t="n">
        <v>23.891103755905</v>
      </c>
      <c r="L29" s="8" t="n">
        <v>-59348.9936184518</v>
      </c>
      <c r="M29" s="8" t="n">
        <f aca="false">M28+L29</f>
        <v>-147837.402066769</v>
      </c>
      <c r="N29" s="5" t="str">
        <f aca="false">IF(L29&gt;0,"прибыль",IF(L29&lt;0,"убыток","ноль"))</f>
        <v>убыток</v>
      </c>
      <c r="O29" s="6" t="n">
        <f aca="false">IF(L29&lt;0,O28+1,0)</f>
        <v>2</v>
      </c>
      <c r="P29" s="6" t="n">
        <v>15</v>
      </c>
    </row>
    <row r="30" customFormat="false" ht="15" hidden="false" customHeight="false" outlineLevel="0" collapsed="false">
      <c r="A30" s="6" t="n">
        <v>25</v>
      </c>
      <c r="B30" s="5" t="s">
        <v>72</v>
      </c>
      <c r="C30" s="5" t="s">
        <v>30</v>
      </c>
      <c r="D30" s="11" t="n">
        <v>44711</v>
      </c>
      <c r="E30" s="11" t="n">
        <v>44712</v>
      </c>
      <c r="F30" s="5" t="s">
        <v>73</v>
      </c>
      <c r="G30" s="12" t="n">
        <v>5.12191013951928E-011</v>
      </c>
      <c r="H30" s="13" t="n">
        <v>8.677</v>
      </c>
      <c r="I30" s="13" t="n">
        <v>8.689</v>
      </c>
      <c r="K30" s="8" t="n">
        <v>2.55276474302731E-015</v>
      </c>
      <c r="L30" s="8" t="n">
        <v>-1.66359299389577E-013</v>
      </c>
      <c r="M30" s="8" t="n">
        <f aca="false">M29+L30</f>
        <v>-147837.402066769</v>
      </c>
      <c r="N30" s="5" t="str">
        <f aca="false">IF(L30&gt;0,"прибыль",IF(L30&lt;0,"убыток","ноль"))</f>
        <v>убыток</v>
      </c>
      <c r="O30" s="6" t="n">
        <f aca="false">IF(L30&lt;0,O29+1,0)</f>
        <v>3</v>
      </c>
      <c r="P30" s="6" t="n">
        <v>1</v>
      </c>
    </row>
    <row r="31" customFormat="false" ht="15" hidden="false" customHeight="false" outlineLevel="0" collapsed="false">
      <c r="A31" s="6" t="n">
        <v>26</v>
      </c>
      <c r="B31" s="5" t="s">
        <v>72</v>
      </c>
      <c r="C31" s="5" t="s">
        <v>30</v>
      </c>
      <c r="D31" s="11" t="n">
        <v>44712</v>
      </c>
      <c r="E31" s="11" t="n">
        <v>44727</v>
      </c>
      <c r="F31" s="5" t="s">
        <v>73</v>
      </c>
      <c r="G31" s="12" t="n">
        <v>70765.5883866443</v>
      </c>
      <c r="H31" s="13" t="n">
        <v>8.689</v>
      </c>
      <c r="I31" s="13" t="n">
        <v>7.513</v>
      </c>
      <c r="K31" s="8" t="n">
        <v>8.39117754081658</v>
      </c>
      <c r="L31" s="8" t="n">
        <v>-9887.30974968206</v>
      </c>
      <c r="M31" s="8" t="n">
        <f aca="false">M30+L31</f>
        <v>-157724.711816451</v>
      </c>
      <c r="N31" s="5" t="str">
        <f aca="false">IF(L31&gt;0,"прибыль",IF(L31&lt;0,"убыток","ноль"))</f>
        <v>убыток</v>
      </c>
      <c r="O31" s="6" t="n">
        <f aca="false">IF(L31&lt;0,O30+1,0)</f>
        <v>4</v>
      </c>
      <c r="P31" s="6" t="n">
        <v>10</v>
      </c>
    </row>
    <row r="32" customFormat="false" ht="15" hidden="false" customHeight="false" outlineLevel="0" collapsed="false">
      <c r="A32" s="6" t="n">
        <v>27</v>
      </c>
      <c r="B32" s="5" t="s">
        <v>72</v>
      </c>
      <c r="C32" s="5" t="s">
        <v>30</v>
      </c>
      <c r="D32" s="11" t="n">
        <v>44727</v>
      </c>
      <c r="E32" s="11" t="n">
        <v>44742</v>
      </c>
      <c r="F32" s="5" t="s">
        <v>73</v>
      </c>
      <c r="G32" s="12" t="n">
        <v>307136.100840193</v>
      </c>
      <c r="H32" s="13" t="n">
        <v>7.513</v>
      </c>
      <c r="I32" s="13" t="n">
        <v>6.551</v>
      </c>
      <c r="J32" s="5" t="s">
        <v>74</v>
      </c>
      <c r="K32" s="8" t="n">
        <v>24.7298303194867</v>
      </c>
      <c r="L32" s="8" t="n">
        <v>-75615.2214406282</v>
      </c>
      <c r="M32" s="8" t="n">
        <f aca="false">M31+L32</f>
        <v>-233339.93325708</v>
      </c>
      <c r="N32" s="5" t="str">
        <f aca="false">IF(L32&gt;0,"прибыль",IF(L32&lt;0,"убыток","ноль"))</f>
        <v>убыток</v>
      </c>
      <c r="O32" s="6" t="n">
        <f aca="false">IF(L32&lt;0,O31+1,0)</f>
        <v>5</v>
      </c>
      <c r="P32" s="6" t="n">
        <v>11</v>
      </c>
    </row>
    <row r="33" customFormat="false" ht="15" hidden="false" customHeight="false" outlineLevel="0" collapsed="false">
      <c r="A33" s="6" t="n">
        <v>28</v>
      </c>
      <c r="B33" s="5" t="s">
        <v>72</v>
      </c>
      <c r="C33" s="5" t="s">
        <v>30</v>
      </c>
      <c r="D33" s="11" t="n">
        <v>44742</v>
      </c>
      <c r="E33" s="11" t="n">
        <v>44743</v>
      </c>
      <c r="F33" s="5" t="s">
        <v>75</v>
      </c>
      <c r="G33" s="12" t="n">
        <v>3.65216761209721E-011</v>
      </c>
      <c r="H33" s="13" t="n">
        <v>6.551</v>
      </c>
      <c r="I33" s="13" t="n">
        <v>6.013</v>
      </c>
      <c r="K33" s="8" t="n">
        <v>1.68426652465497E-015</v>
      </c>
      <c r="L33" s="8" t="n">
        <v>2.83466136134808E-012</v>
      </c>
      <c r="M33" s="8" t="n">
        <f aca="false">M32+L33</f>
        <v>-233339.93325708</v>
      </c>
      <c r="N33" s="5" t="str">
        <f aca="false">IF(L33&gt;0,"прибыль",IF(L33&lt;0,"убыток","ноль"))</f>
        <v>прибыль</v>
      </c>
      <c r="O33" s="6" t="n">
        <f aca="false">IF(L33&lt;0,O32+1,0)</f>
        <v>0</v>
      </c>
      <c r="P33" s="6" t="n">
        <v>1</v>
      </c>
    </row>
    <row r="34" customFormat="false" ht="15" hidden="false" customHeight="false" outlineLevel="0" collapsed="false">
      <c r="A34" s="6" t="n">
        <v>29</v>
      </c>
      <c r="B34" s="5" t="s">
        <v>72</v>
      </c>
      <c r="C34" s="5" t="s">
        <v>30</v>
      </c>
      <c r="D34" s="11" t="n">
        <v>44743</v>
      </c>
      <c r="E34" s="11" t="n">
        <v>44761</v>
      </c>
      <c r="F34" s="5" t="s">
        <v>75</v>
      </c>
      <c r="G34" s="12" t="n">
        <v>46130.8723755469</v>
      </c>
      <c r="H34" s="13" t="n">
        <v>6.013</v>
      </c>
      <c r="I34" s="13" t="n">
        <v>7.384</v>
      </c>
      <c r="K34" s="8" t="n">
        <v>2.61287786354288</v>
      </c>
      <c r="L34" s="8" t="n">
        <v>-6129.29777317418</v>
      </c>
      <c r="M34" s="8" t="n">
        <f aca="false">M33+L34</f>
        <v>-239469.231030254</v>
      </c>
      <c r="N34" s="5" t="str">
        <f aca="false">IF(L34&gt;0,"прибыль",IF(L34&lt;0,"убыток","ноль"))</f>
        <v>убыток</v>
      </c>
      <c r="O34" s="6" t="n">
        <f aca="false">IF(L34&lt;0,O33+1,0)</f>
        <v>1</v>
      </c>
      <c r="P34" s="6" t="n">
        <v>12</v>
      </c>
    </row>
    <row r="35" customFormat="false" ht="15" hidden="false" customHeight="false" outlineLevel="0" collapsed="false">
      <c r="A35" s="6" t="n">
        <v>30</v>
      </c>
      <c r="B35" s="5" t="s">
        <v>72</v>
      </c>
      <c r="C35" s="5" t="s">
        <v>30</v>
      </c>
      <c r="D35" s="11" t="n">
        <v>44761</v>
      </c>
      <c r="E35" s="11" t="n">
        <v>44771</v>
      </c>
      <c r="F35" s="5" t="s">
        <v>75</v>
      </c>
      <c r="G35" s="12" t="n">
        <v>173873.922182927</v>
      </c>
      <c r="H35" s="13" t="n">
        <v>7.384</v>
      </c>
      <c r="I35" s="13" t="n">
        <v>8.215</v>
      </c>
      <c r="J35" s="5" t="s">
        <v>74</v>
      </c>
      <c r="K35" s="8" t="n">
        <v>22.6185704357714</v>
      </c>
      <c r="L35" s="8" t="n">
        <v>-56491.3061482847</v>
      </c>
      <c r="M35" s="8" t="n">
        <f aca="false">M34+L35</f>
        <v>-295960.537178538</v>
      </c>
      <c r="N35" s="5" t="str">
        <f aca="false">IF(L35&gt;0,"прибыль",IF(L35&lt;0,"убыток","ноль"))</f>
        <v>убыток</v>
      </c>
      <c r="O35" s="6" t="n">
        <f aca="false">IF(L35&lt;0,O34+1,0)</f>
        <v>2</v>
      </c>
      <c r="P35" s="6" t="n">
        <v>8</v>
      </c>
    </row>
    <row r="36" customFormat="false" ht="15" hidden="false" customHeight="false" outlineLevel="0" collapsed="false">
      <c r="A36" s="6" t="n">
        <v>31</v>
      </c>
      <c r="B36" s="5" t="s">
        <v>72</v>
      </c>
      <c r="C36" s="5" t="s">
        <v>30</v>
      </c>
      <c r="D36" s="11" t="n">
        <v>44771</v>
      </c>
      <c r="E36" s="11" t="n">
        <v>44804</v>
      </c>
      <c r="F36" s="5" t="s">
        <v>73</v>
      </c>
      <c r="G36" s="12" t="n">
        <v>222028.798954652</v>
      </c>
      <c r="H36" s="13" t="n">
        <v>8.215</v>
      </c>
      <c r="I36" s="13" t="n">
        <v>9.098</v>
      </c>
      <c r="J36" s="5" t="s">
        <v>74</v>
      </c>
      <c r="K36" s="8" t="n">
        <v>12.3316073241922</v>
      </c>
      <c r="L36" s="8" t="n">
        <v>24591.015921867</v>
      </c>
      <c r="M36" s="8" t="n">
        <f aca="false">M35+L36</f>
        <v>-271369.521256671</v>
      </c>
      <c r="N36" s="5" t="str">
        <f aca="false">IF(L36&gt;0,"прибыль",IF(L36&lt;0,"убыток","ноль"))</f>
        <v>прибыль</v>
      </c>
      <c r="O36" s="6" t="n">
        <f aca="false">IF(L36&lt;0,O35+1,0)</f>
        <v>0</v>
      </c>
      <c r="P36" s="6" t="n">
        <v>23</v>
      </c>
    </row>
    <row r="37" customFormat="false" ht="15" hidden="false" customHeight="false" outlineLevel="0" collapsed="false">
      <c r="A37" s="6" t="n">
        <v>32</v>
      </c>
      <c r="B37" s="5" t="s">
        <v>72</v>
      </c>
      <c r="C37" s="5" t="s">
        <v>30</v>
      </c>
      <c r="D37" s="11" t="n">
        <v>44834</v>
      </c>
      <c r="E37" s="11" t="n">
        <v>44860</v>
      </c>
      <c r="F37" s="5" t="s">
        <v>75</v>
      </c>
      <c r="G37" s="12" t="n">
        <v>134727.930806392</v>
      </c>
      <c r="H37" s="13" t="n">
        <v>7.05</v>
      </c>
      <c r="I37" s="13" t="n">
        <v>5.709</v>
      </c>
      <c r="K37" s="8" t="n">
        <v>26.3236011635949</v>
      </c>
      <c r="L37" s="8" t="n">
        <v>18090.3188673958</v>
      </c>
      <c r="M37" s="8" t="n">
        <f aca="false">M36+L37</f>
        <v>-253279.202389276</v>
      </c>
      <c r="N37" s="5" t="str">
        <f aca="false">IF(L37&gt;0,"прибыль",IF(L37&lt;0,"убыток","ноль"))</f>
        <v>прибыль</v>
      </c>
      <c r="O37" s="6" t="n">
        <f aca="false">IF(L37&lt;0,O36+1,0)</f>
        <v>0</v>
      </c>
      <c r="P37" s="6" t="n">
        <v>18</v>
      </c>
    </row>
    <row r="38" customFormat="false" ht="15" hidden="false" customHeight="false" outlineLevel="0" collapsed="false">
      <c r="A38" s="6" t="n">
        <v>33</v>
      </c>
      <c r="B38" s="5" t="s">
        <v>72</v>
      </c>
      <c r="C38" s="5" t="s">
        <v>30</v>
      </c>
      <c r="D38" s="11" t="n">
        <v>44860</v>
      </c>
      <c r="E38" s="11" t="n">
        <v>44873</v>
      </c>
      <c r="F38" s="5" t="s">
        <v>75</v>
      </c>
      <c r="G38" s="12" t="n">
        <v>93205.2706928214</v>
      </c>
      <c r="H38" s="13" t="n">
        <v>5.709</v>
      </c>
      <c r="I38" s="13" t="n">
        <v>6.75</v>
      </c>
      <c r="J38" s="5" t="s">
        <v>74</v>
      </c>
      <c r="K38" s="8" t="n">
        <v>4.46869020404932</v>
      </c>
      <c r="L38" s="8" t="n">
        <v>3826.99792163084</v>
      </c>
      <c r="M38" s="8" t="n">
        <f aca="false">M37+L38</f>
        <v>-249452.204467645</v>
      </c>
      <c r="N38" s="5" t="str">
        <f aca="false">IF(L38&gt;0,"прибыль",IF(L38&lt;0,"убыток","ноль"))</f>
        <v>прибыль</v>
      </c>
      <c r="O38" s="6" t="n">
        <f aca="false">IF(L38&lt;0,O37+1,0)</f>
        <v>0</v>
      </c>
      <c r="P38" s="6" t="n">
        <v>8</v>
      </c>
    </row>
    <row r="39" customFormat="false" ht="15" hidden="false" customHeight="false" outlineLevel="0" collapsed="false">
      <c r="A39" s="6" t="n">
        <v>34</v>
      </c>
      <c r="B39" s="5" t="s">
        <v>72</v>
      </c>
      <c r="C39" s="5" t="s">
        <v>30</v>
      </c>
      <c r="D39" s="11" t="n">
        <v>44873</v>
      </c>
      <c r="E39" s="11" t="n">
        <v>44911</v>
      </c>
      <c r="F39" s="5" t="s">
        <v>75</v>
      </c>
      <c r="G39" s="12" t="n">
        <v>66579.4388457486</v>
      </c>
      <c r="H39" s="13" t="n">
        <v>6.75</v>
      </c>
      <c r="I39" s="13" t="n">
        <v>6.855</v>
      </c>
      <c r="J39" s="5" t="s">
        <v>74</v>
      </c>
      <c r="K39" s="8" t="n">
        <v>8.19937227986535</v>
      </c>
      <c r="L39" s="8" t="n">
        <v>1271.99861243334</v>
      </c>
      <c r="M39" s="8" t="n">
        <f aca="false">M38+L39</f>
        <v>-248180.205855211</v>
      </c>
      <c r="N39" s="5" t="str">
        <f aca="false">IF(L39&gt;0,"прибыль",IF(L39&lt;0,"убыток","ноль"))</f>
        <v>прибыль</v>
      </c>
      <c r="O39" s="6" t="n">
        <f aca="false">IF(L39&lt;0,O38+1,0)</f>
        <v>0</v>
      </c>
      <c r="P39" s="6" t="n">
        <v>28</v>
      </c>
    </row>
    <row r="40" customFormat="false" ht="15" hidden="false" customHeight="false" outlineLevel="0" collapsed="false">
      <c r="A40" s="6" t="n">
        <v>35</v>
      </c>
      <c r="B40" s="5" t="s">
        <v>72</v>
      </c>
      <c r="C40" s="5" t="s">
        <v>30</v>
      </c>
      <c r="D40" s="11" t="n">
        <v>44911</v>
      </c>
      <c r="E40" s="11" t="n">
        <v>44925</v>
      </c>
      <c r="F40" s="5" t="s">
        <v>75</v>
      </c>
      <c r="G40" s="12" t="n">
        <v>214036.299325376</v>
      </c>
      <c r="H40" s="13" t="n">
        <v>6.855</v>
      </c>
      <c r="I40" s="13" t="n">
        <v>4.947</v>
      </c>
      <c r="J40" s="5" t="s">
        <v>74</v>
      </c>
      <c r="K40" s="8" t="n">
        <v>17.2023318160638</v>
      </c>
      <c r="L40" s="8" t="n">
        <v>56053.8430229726</v>
      </c>
      <c r="M40" s="8" t="n">
        <f aca="false">M39+L40</f>
        <v>-192126.362832239</v>
      </c>
      <c r="N40" s="5" t="str">
        <f aca="false">IF(L40&gt;0,"прибыль",IF(L40&lt;0,"убыток","ноль"))</f>
        <v>прибыль</v>
      </c>
      <c r="O40" s="6" t="n">
        <f aca="false">IF(L40&lt;0,O39+1,0)</f>
        <v>0</v>
      </c>
      <c r="P40" s="6" t="n">
        <v>10</v>
      </c>
    </row>
    <row r="41" customFormat="false" ht="15" hidden="false" customHeight="false" outlineLevel="0" collapsed="false">
      <c r="A41" s="6" t="n">
        <v>36</v>
      </c>
      <c r="B41" s="5" t="s">
        <v>72</v>
      </c>
      <c r="C41" s="5" t="s">
        <v>30</v>
      </c>
      <c r="D41" s="11" t="n">
        <v>44925</v>
      </c>
      <c r="E41" s="11" t="n">
        <v>44950</v>
      </c>
      <c r="F41" s="5" t="s">
        <v>73</v>
      </c>
      <c r="G41" s="12" t="n">
        <v>69557.5216064762</v>
      </c>
      <c r="H41" s="13" t="n">
        <v>4.947</v>
      </c>
      <c r="I41" s="13" t="n">
        <v>3.51</v>
      </c>
      <c r="K41" s="8" t="n">
        <v>8.9925447533233</v>
      </c>
      <c r="L41" s="8" t="n">
        <v>-13126.1805499206</v>
      </c>
      <c r="M41" s="8" t="n">
        <f aca="false">M40+L41</f>
        <v>-205252.543382159</v>
      </c>
      <c r="N41" s="5" t="str">
        <f aca="false">IF(L41&gt;0,"прибыль",IF(L41&lt;0,"убыток","ноль"))</f>
        <v>убыток</v>
      </c>
      <c r="O41" s="6" t="n">
        <f aca="false">IF(L41&lt;0,O40+1,0)</f>
        <v>1</v>
      </c>
      <c r="P41" s="6" t="n">
        <v>16</v>
      </c>
    </row>
    <row r="42" customFormat="false" ht="15" hidden="false" customHeight="false" outlineLevel="0" collapsed="false">
      <c r="A42" s="6" t="n">
        <v>37</v>
      </c>
      <c r="B42" s="5" t="s">
        <v>72</v>
      </c>
      <c r="C42" s="5" t="s">
        <v>30</v>
      </c>
      <c r="D42" s="11" t="n">
        <v>44950</v>
      </c>
      <c r="E42" s="11" t="n">
        <v>44957</v>
      </c>
      <c r="F42" s="5" t="s">
        <v>73</v>
      </c>
      <c r="G42" s="12" t="n">
        <v>239934.42220937</v>
      </c>
      <c r="H42" s="13" t="n">
        <v>3.51</v>
      </c>
      <c r="I42" s="13" t="n">
        <v>2.888</v>
      </c>
      <c r="J42" s="5" t="s">
        <v>74</v>
      </c>
      <c r="K42" s="8" t="n">
        <v>16.7849259368946</v>
      </c>
      <c r="L42" s="8" t="n">
        <v>-88192.4607040909</v>
      </c>
      <c r="M42" s="8" t="n">
        <f aca="false">M41+L42</f>
        <v>-293445.00408625</v>
      </c>
      <c r="N42" s="5" t="str">
        <f aca="false">IF(L42&gt;0,"прибыль",IF(L42&lt;0,"убыток","ноль"))</f>
        <v>убыток</v>
      </c>
      <c r="O42" s="6" t="n">
        <f aca="false">IF(L42&lt;0,O41+1,0)</f>
        <v>2</v>
      </c>
      <c r="P42" s="6" t="n">
        <v>5</v>
      </c>
    </row>
    <row r="43" customFormat="false" ht="15" hidden="false" customHeight="false" outlineLevel="0" collapsed="false">
      <c r="A43" s="6" t="n">
        <v>38</v>
      </c>
      <c r="B43" s="5" t="s">
        <v>72</v>
      </c>
      <c r="C43" s="5" t="s">
        <v>30</v>
      </c>
      <c r="D43" s="11" t="n">
        <v>44957</v>
      </c>
      <c r="E43" s="11" t="n">
        <v>44985</v>
      </c>
      <c r="F43" s="5" t="s">
        <v>75</v>
      </c>
      <c r="G43" s="12" t="n">
        <v>60873.2705362502</v>
      </c>
      <c r="H43" s="13" t="n">
        <v>2.888</v>
      </c>
      <c r="I43" s="13" t="n">
        <v>2.797</v>
      </c>
      <c r="J43" s="5" t="s">
        <v>74</v>
      </c>
      <c r="K43" s="8" t="n">
        <v>6.95980690260137</v>
      </c>
      <c r="L43" s="8" t="n">
        <v>6363.25664113109</v>
      </c>
      <c r="M43" s="8" t="n">
        <f aca="false">M42+L43</f>
        <v>-287081.747445119</v>
      </c>
      <c r="N43" s="5" t="str">
        <f aca="false">IF(L43&gt;0,"прибыль",IF(L43&lt;0,"убыток","ноль"))</f>
        <v>прибыль</v>
      </c>
      <c r="O43" s="6" t="n">
        <f aca="false">IF(L43&lt;0,O42+1,0)</f>
        <v>0</v>
      </c>
      <c r="P43" s="6" t="n">
        <v>19</v>
      </c>
    </row>
    <row r="44" customFormat="false" ht="15" hidden="false" customHeight="false" outlineLevel="0" collapsed="false">
      <c r="A44" s="6" t="n">
        <v>39</v>
      </c>
      <c r="B44" s="5" t="s">
        <v>72</v>
      </c>
      <c r="C44" s="5" t="s">
        <v>30</v>
      </c>
      <c r="D44" s="11" t="n">
        <v>44985</v>
      </c>
      <c r="E44" s="11" t="n">
        <v>45034</v>
      </c>
      <c r="F44" s="5" t="s">
        <v>75</v>
      </c>
      <c r="G44" s="12" t="n">
        <v>87116.0498359369</v>
      </c>
      <c r="H44" s="13" t="n">
        <v>2.797</v>
      </c>
      <c r="I44" s="13" t="n">
        <v>2.327</v>
      </c>
      <c r="J44" s="5" t="s">
        <v>74</v>
      </c>
      <c r="K44" s="8" t="n">
        <v>13.5699816615189</v>
      </c>
      <c r="L44" s="8" t="n">
        <v>13911.8216153956</v>
      </c>
      <c r="M44" s="8" t="n">
        <f aca="false">M43+L44</f>
        <v>-273169.925829724</v>
      </c>
      <c r="N44" s="5" t="str">
        <f aca="false">IF(L44&gt;0,"прибыль",IF(L44&lt;0,"убыток","ноль"))</f>
        <v>прибыль</v>
      </c>
      <c r="O44" s="6" t="n">
        <f aca="false">IF(L44&lt;0,O43+1,0)</f>
        <v>0</v>
      </c>
      <c r="P44" s="6" t="n">
        <v>34</v>
      </c>
    </row>
    <row r="45" customFormat="false" ht="15" hidden="false" customHeight="false" outlineLevel="0" collapsed="false">
      <c r="A45" s="6" t="n">
        <v>40</v>
      </c>
      <c r="B45" s="5" t="s">
        <v>72</v>
      </c>
      <c r="C45" s="5" t="s">
        <v>30</v>
      </c>
      <c r="D45" s="11" t="n">
        <v>45034</v>
      </c>
      <c r="E45" s="11" t="n">
        <v>45107</v>
      </c>
      <c r="F45" s="5" t="s">
        <v>75</v>
      </c>
      <c r="G45" s="12" t="n">
        <v>318852.510889799</v>
      </c>
      <c r="H45" s="13" t="n">
        <v>2.327</v>
      </c>
      <c r="I45" s="13" t="n">
        <v>2.713</v>
      </c>
      <c r="J45" s="5" t="s">
        <v>74</v>
      </c>
      <c r="K45" s="8" t="n">
        <v>29.5402820908545</v>
      </c>
      <c r="L45" s="8" t="n">
        <v>31106.2673149818</v>
      </c>
      <c r="M45" s="8" t="n">
        <f aca="false">M44+L45</f>
        <v>-242063.658514742</v>
      </c>
      <c r="N45" s="5" t="str">
        <f aca="false">IF(L45&gt;0,"прибыль",IF(L45&lt;0,"убыток","ноль"))</f>
        <v>прибыль</v>
      </c>
      <c r="O45" s="6" t="n">
        <f aca="false">IF(L45&lt;0,O44+1,0)</f>
        <v>0</v>
      </c>
      <c r="P45" s="6" t="n">
        <v>50</v>
      </c>
    </row>
    <row r="46" customFormat="false" ht="15" hidden="false" customHeight="false" outlineLevel="0" collapsed="false">
      <c r="A46" s="6" t="n">
        <v>41</v>
      </c>
      <c r="B46" s="5" t="s">
        <v>72</v>
      </c>
      <c r="C46" s="5" t="s">
        <v>30</v>
      </c>
      <c r="D46" s="11" t="n">
        <v>45107</v>
      </c>
      <c r="E46" s="11" t="n">
        <v>45110</v>
      </c>
      <c r="F46" s="5" t="s">
        <v>73</v>
      </c>
      <c r="G46" s="12" t="n">
        <v>3.74148607754766E-011</v>
      </c>
      <c r="H46" s="13" t="n">
        <v>2.713</v>
      </c>
      <c r="I46" s="13" t="n">
        <v>2.803</v>
      </c>
      <c r="K46" s="8" t="n">
        <v>1.92599895757523E-015</v>
      </c>
      <c r="L46" s="8" t="n">
        <v>1.10319237707048E-012</v>
      </c>
      <c r="M46" s="8" t="n">
        <f aca="false">M45+L46</f>
        <v>-242063.658514742</v>
      </c>
      <c r="N46" s="5" t="str">
        <f aca="false">IF(L46&gt;0,"прибыль",IF(L46&lt;0,"убыток","ноль"))</f>
        <v>прибыль</v>
      </c>
      <c r="O46" s="6" t="n">
        <f aca="false">IF(L46&lt;0,O45+1,0)</f>
        <v>0</v>
      </c>
      <c r="P46" s="6" t="n">
        <v>1</v>
      </c>
    </row>
    <row r="47" customFormat="false" ht="15" hidden="false" customHeight="false" outlineLevel="0" collapsed="false">
      <c r="A47" s="6" t="n">
        <v>42</v>
      </c>
      <c r="B47" s="5" t="s">
        <v>72</v>
      </c>
      <c r="C47" s="5" t="s">
        <v>30</v>
      </c>
      <c r="D47" s="11" t="n">
        <v>45110</v>
      </c>
      <c r="E47" s="11" t="n">
        <v>45149</v>
      </c>
      <c r="F47" s="5" t="s">
        <v>73</v>
      </c>
      <c r="G47" s="12" t="n">
        <v>80899.4144585312</v>
      </c>
      <c r="H47" s="13" t="n">
        <v>2.803</v>
      </c>
      <c r="I47" s="13" t="n">
        <v>2.79</v>
      </c>
      <c r="J47" s="5" t="s">
        <v>74</v>
      </c>
      <c r="K47" s="8" t="n">
        <v>7.90370681935409</v>
      </c>
      <c r="L47" s="8" t="n">
        <v>3614.72018331405</v>
      </c>
      <c r="M47" s="8" t="n">
        <f aca="false">M46+L47</f>
        <v>-238448.938331428</v>
      </c>
      <c r="N47" s="5" t="str">
        <f aca="false">IF(L47&gt;0,"прибыль",IF(L47&lt;0,"убыток","ноль"))</f>
        <v>прибыль</v>
      </c>
      <c r="O47" s="6" t="n">
        <f aca="false">IF(L47&lt;0,O46+1,0)</f>
        <v>0</v>
      </c>
      <c r="P47" s="6" t="n">
        <v>29</v>
      </c>
    </row>
    <row r="48" customFormat="false" ht="15" hidden="false" customHeight="false" outlineLevel="0" collapsed="false">
      <c r="A48" s="6" t="n">
        <v>43</v>
      </c>
      <c r="B48" s="5" t="s">
        <v>72</v>
      </c>
      <c r="C48" s="5" t="s">
        <v>30</v>
      </c>
      <c r="D48" s="11" t="n">
        <v>45149</v>
      </c>
      <c r="E48" s="11" t="n">
        <v>45169</v>
      </c>
      <c r="F48" s="5" t="s">
        <v>73</v>
      </c>
      <c r="G48" s="12" t="n">
        <v>295741.62210425</v>
      </c>
      <c r="H48" s="13" t="n">
        <v>2.79</v>
      </c>
      <c r="I48" s="13" t="n">
        <v>2.81</v>
      </c>
      <c r="J48" s="5" t="s">
        <v>74</v>
      </c>
      <c r="K48" s="8" t="n">
        <v>29.1725921420087</v>
      </c>
      <c r="L48" s="8" t="n">
        <v>1884.60843919348</v>
      </c>
      <c r="M48" s="8" t="n">
        <f aca="false">M47+L48</f>
        <v>-236564.329892234</v>
      </c>
      <c r="N48" s="5" t="str">
        <f aca="false">IF(L48&gt;0,"прибыль",IF(L48&lt;0,"убыток","ноль"))</f>
        <v>прибыль</v>
      </c>
      <c r="O48" s="6" t="n">
        <f aca="false">IF(L48&lt;0,O47+1,0)</f>
        <v>0</v>
      </c>
      <c r="P48" s="6" t="n">
        <v>14</v>
      </c>
    </row>
    <row r="49" customFormat="false" ht="15" hidden="false" customHeight="false" outlineLevel="0" collapsed="false">
      <c r="A49" s="6" t="n">
        <v>44</v>
      </c>
      <c r="B49" s="5" t="s">
        <v>72</v>
      </c>
      <c r="C49" s="5" t="s">
        <v>30</v>
      </c>
      <c r="D49" s="11" t="n">
        <v>45169</v>
      </c>
      <c r="E49" s="11" t="n">
        <v>45170</v>
      </c>
      <c r="F49" s="5" t="s">
        <v>75</v>
      </c>
      <c r="G49" s="12" t="n">
        <v>3.74385571809248E-011</v>
      </c>
      <c r="H49" s="13" t="n">
        <v>2.81</v>
      </c>
      <c r="I49" s="13" t="n">
        <v>2.785</v>
      </c>
      <c r="K49" s="8" t="n">
        <v>1.86229717973063E-015</v>
      </c>
      <c r="L49" s="8" t="n">
        <v>1.90751289132574E-013</v>
      </c>
      <c r="M49" s="8" t="n">
        <f aca="false">M48+L49</f>
        <v>-236564.329892234</v>
      </c>
      <c r="N49" s="5" t="str">
        <f aca="false">IF(L49&gt;0,"прибыль",IF(L49&lt;0,"убыток","ноль"))</f>
        <v>прибыль</v>
      </c>
      <c r="O49" s="6" t="n">
        <f aca="false">IF(L49&lt;0,O48+1,0)</f>
        <v>0</v>
      </c>
      <c r="P49" s="6" t="n">
        <v>1</v>
      </c>
    </row>
    <row r="50" customFormat="false" ht="15" hidden="false" customHeight="false" outlineLevel="0" collapsed="false">
      <c r="A50" s="6" t="n">
        <v>45</v>
      </c>
      <c r="B50" s="5" t="s">
        <v>72</v>
      </c>
      <c r="C50" s="5" t="s">
        <v>30</v>
      </c>
      <c r="D50" s="11" t="n">
        <v>45170</v>
      </c>
      <c r="E50" s="11" t="n">
        <v>45208</v>
      </c>
      <c r="F50" s="5" t="s">
        <v>75</v>
      </c>
      <c r="G50" s="12" t="n">
        <v>87725.9101429957</v>
      </c>
      <c r="H50" s="13" t="n">
        <v>2.785</v>
      </c>
      <c r="I50" s="13" t="n">
        <v>3.32</v>
      </c>
      <c r="J50" s="5" t="s">
        <v>74</v>
      </c>
      <c r="K50" s="8" t="n">
        <v>9.70235122155178</v>
      </c>
      <c r="L50" s="8" t="n">
        <v>-9763.26389113548</v>
      </c>
      <c r="M50" s="8" t="n">
        <f aca="false">M49+L50</f>
        <v>-246327.59378337</v>
      </c>
      <c r="N50" s="5" t="str">
        <f aca="false">IF(L50&gt;0,"прибыль",IF(L50&lt;0,"убыток","ноль"))</f>
        <v>убыток</v>
      </c>
      <c r="O50" s="6" t="n">
        <f aca="false">IF(L50&lt;0,O49+1,0)</f>
        <v>1</v>
      </c>
      <c r="P50" s="6" t="n">
        <v>26</v>
      </c>
    </row>
    <row r="51" customFormat="false" ht="15" hidden="false" customHeight="false" outlineLevel="0" collapsed="false">
      <c r="A51" s="6" t="n">
        <v>46</v>
      </c>
      <c r="B51" s="5" t="s">
        <v>72</v>
      </c>
      <c r="C51" s="5" t="s">
        <v>30</v>
      </c>
      <c r="D51" s="11" t="n">
        <v>45208</v>
      </c>
      <c r="E51" s="11" t="n">
        <v>45231</v>
      </c>
      <c r="F51" s="5" t="s">
        <v>75</v>
      </c>
      <c r="G51" s="12" t="n">
        <v>104716.221846814</v>
      </c>
      <c r="H51" s="13" t="n">
        <v>3.32</v>
      </c>
      <c r="I51" s="13" t="n">
        <v>3.575</v>
      </c>
      <c r="J51" s="5" t="s">
        <v>74</v>
      </c>
      <c r="K51" s="8" t="n">
        <v>9.52575179863178</v>
      </c>
      <c r="L51" s="8" t="n">
        <v>-14311.3542450518</v>
      </c>
      <c r="M51" s="8" t="n">
        <f aca="false">M50+L51</f>
        <v>-260638.948028422</v>
      </c>
      <c r="N51" s="5" t="str">
        <f aca="false">IF(L51&gt;0,"прибыль",IF(L51&lt;0,"убыток","ноль"))</f>
        <v>убыток</v>
      </c>
      <c r="O51" s="6" t="n">
        <f aca="false">IF(L51&lt;0,O50+1,0)</f>
        <v>2</v>
      </c>
      <c r="P51" s="6" t="n">
        <v>17</v>
      </c>
    </row>
    <row r="52" customFormat="false" ht="15" hidden="false" customHeight="false" outlineLevel="0" collapsed="false">
      <c r="A52" s="6" t="n">
        <v>47</v>
      </c>
      <c r="B52" s="5" t="s">
        <v>72</v>
      </c>
      <c r="C52" s="5" t="s">
        <v>30</v>
      </c>
      <c r="D52" s="11" t="n">
        <v>45231</v>
      </c>
      <c r="E52" s="11" t="n">
        <v>45278</v>
      </c>
      <c r="F52" s="5" t="s">
        <v>75</v>
      </c>
      <c r="G52" s="12" t="n">
        <v>136699.681942362</v>
      </c>
      <c r="H52" s="13" t="n">
        <v>3.575</v>
      </c>
      <c r="I52" s="13" t="n">
        <v>2.527</v>
      </c>
      <c r="J52" s="5" t="s">
        <v>74</v>
      </c>
      <c r="K52" s="8" t="n">
        <v>21.459159870635</v>
      </c>
      <c r="L52" s="8" t="n">
        <v>19372.2375375995</v>
      </c>
      <c r="M52" s="8" t="n">
        <f aca="false">M51+L52</f>
        <v>-241266.710490822</v>
      </c>
      <c r="N52" s="5" t="str">
        <f aca="false">IF(L52&gt;0,"прибыль",IF(L52&lt;0,"убыток","ноль"))</f>
        <v>прибыль</v>
      </c>
      <c r="O52" s="6" t="n">
        <f aca="false">IF(L52&lt;0,O51+1,0)</f>
        <v>0</v>
      </c>
      <c r="P52" s="6" t="n">
        <v>33</v>
      </c>
    </row>
    <row r="53" customFormat="false" ht="15" hidden="false" customHeight="false" outlineLevel="0" collapsed="false">
      <c r="A53" s="6" t="n">
        <v>48</v>
      </c>
      <c r="B53" s="5" t="s">
        <v>72</v>
      </c>
      <c r="C53" s="5" t="s">
        <v>30</v>
      </c>
      <c r="D53" s="11" t="n">
        <v>45278</v>
      </c>
      <c r="E53" s="11" t="n">
        <v>45282</v>
      </c>
      <c r="F53" s="5" t="s">
        <v>75</v>
      </c>
      <c r="G53" s="12" t="n">
        <v>102043.014338945</v>
      </c>
      <c r="H53" s="13" t="n">
        <v>2.527</v>
      </c>
      <c r="I53" s="13" t="n">
        <v>2.579</v>
      </c>
      <c r="K53" s="8" t="n">
        <v>4.46980779448258</v>
      </c>
      <c r="L53" s="8" t="n">
        <v>12642.3886414985</v>
      </c>
      <c r="M53" s="8" t="n">
        <f aca="false">M52+L53</f>
        <v>-228624.321849324</v>
      </c>
      <c r="N53" s="5" t="str">
        <f aca="false">IF(L53&gt;0,"прибыль",IF(L53&lt;0,"убыток","ноль"))</f>
        <v>прибыль</v>
      </c>
      <c r="O53" s="6" t="n">
        <f aca="false">IF(L53&lt;0,O52+1,0)</f>
        <v>0</v>
      </c>
      <c r="P53" s="6" t="n">
        <v>4</v>
      </c>
    </row>
    <row r="54" customFormat="false" ht="15" hidden="false" customHeight="false" outlineLevel="0" collapsed="false">
      <c r="A54" s="6" t="n">
        <v>49</v>
      </c>
      <c r="B54" s="5" t="s">
        <v>72</v>
      </c>
      <c r="C54" s="5" t="s">
        <v>30</v>
      </c>
      <c r="D54" s="11" t="n">
        <v>45282</v>
      </c>
      <c r="E54" s="11" t="n">
        <v>45289</v>
      </c>
      <c r="F54" s="5" t="s">
        <v>75</v>
      </c>
      <c r="G54" s="12" t="n">
        <v>334553.361981974</v>
      </c>
      <c r="H54" s="13" t="n">
        <v>2.579</v>
      </c>
      <c r="I54" s="13" t="n">
        <v>2.555</v>
      </c>
      <c r="J54" s="5" t="s">
        <v>74</v>
      </c>
      <c r="K54" s="8" t="n">
        <v>29.1602715846152</v>
      </c>
      <c r="L54" s="8" t="n">
        <v>36911.7875251852</v>
      </c>
      <c r="M54" s="8" t="n">
        <f aca="false">M53+L54</f>
        <v>-191712.534324138</v>
      </c>
      <c r="N54" s="5" t="str">
        <f aca="false">IF(L54&gt;0,"прибыль",IF(L54&lt;0,"убыток","ноль"))</f>
        <v>прибыль</v>
      </c>
      <c r="O54" s="6" t="n">
        <f aca="false">IF(L54&lt;0,O53+1,0)</f>
        <v>0</v>
      </c>
      <c r="P54" s="6" t="n">
        <v>5</v>
      </c>
    </row>
    <row r="55" customFormat="false" ht="15" hidden="false" customHeight="false" outlineLevel="0" collapsed="false">
      <c r="A55" s="6" t="n">
        <v>50</v>
      </c>
      <c r="B55" s="5" t="s">
        <v>72</v>
      </c>
      <c r="C55" s="5" t="s">
        <v>30</v>
      </c>
      <c r="D55" s="11" t="n">
        <v>45289</v>
      </c>
      <c r="E55" s="11" t="n">
        <v>45296</v>
      </c>
      <c r="F55" s="5" t="s">
        <v>73</v>
      </c>
      <c r="G55" s="12" t="n">
        <v>63652.9950619726</v>
      </c>
      <c r="H55" s="13" t="n">
        <v>2.555</v>
      </c>
      <c r="I55" s="13" t="n">
        <v>2.805</v>
      </c>
      <c r="K55" s="8" t="n">
        <v>3.47989610992575</v>
      </c>
      <c r="L55" s="8" t="n">
        <v>5941.44724043239</v>
      </c>
      <c r="M55" s="8" t="n">
        <f aca="false">M54+L55</f>
        <v>-185771.087083706</v>
      </c>
      <c r="N55" s="5" t="str">
        <f aca="false">IF(L55&gt;0,"прибыль",IF(L55&lt;0,"убыток","ноль"))</f>
        <v>прибыль</v>
      </c>
      <c r="O55" s="6" t="n">
        <f aca="false">IF(L55&lt;0,O54+1,0)</f>
        <v>0</v>
      </c>
      <c r="P55" s="6" t="n">
        <v>3</v>
      </c>
    </row>
    <row r="56" customFormat="false" ht="15" hidden="false" customHeight="false" outlineLevel="0" collapsed="false">
      <c r="A56" s="6" t="n">
        <v>51</v>
      </c>
      <c r="B56" s="5" t="s">
        <v>72</v>
      </c>
      <c r="C56" s="5" t="s">
        <v>30</v>
      </c>
      <c r="D56" s="11" t="n">
        <v>45296</v>
      </c>
      <c r="E56" s="11" t="n">
        <v>45308</v>
      </c>
      <c r="F56" s="5" t="s">
        <v>73</v>
      </c>
      <c r="G56" s="12" t="n">
        <v>48070.5542525248</v>
      </c>
      <c r="H56" s="13" t="n">
        <v>2.805</v>
      </c>
      <c r="I56" s="13" t="n">
        <v>2.829</v>
      </c>
      <c r="K56" s="8" t="n">
        <v>2.64914515977037</v>
      </c>
      <c r="L56" s="8" t="n">
        <v>4909.69979772278</v>
      </c>
      <c r="M56" s="8" t="n">
        <f aca="false">M55+L56</f>
        <v>-180861.387285983</v>
      </c>
      <c r="N56" s="5" t="str">
        <f aca="false">IF(L56&gt;0,"прибыль",IF(L56&lt;0,"убыток","ноль"))</f>
        <v>прибыль</v>
      </c>
      <c r="O56" s="6" t="n">
        <f aca="false">IF(L56&lt;0,O55+1,0)</f>
        <v>0</v>
      </c>
      <c r="P56" s="6" t="n">
        <v>8</v>
      </c>
    </row>
    <row r="57" customFormat="false" ht="15" hidden="false" customHeight="false" outlineLevel="0" collapsed="false">
      <c r="A57" s="6" t="n">
        <v>52</v>
      </c>
      <c r="B57" s="5" t="s">
        <v>72</v>
      </c>
      <c r="C57" s="5" t="s">
        <v>30</v>
      </c>
      <c r="D57" s="11" t="n">
        <v>45308</v>
      </c>
      <c r="E57" s="11" t="n">
        <v>45351</v>
      </c>
      <c r="F57" s="5" t="s">
        <v>73</v>
      </c>
      <c r="G57" s="12" t="n">
        <v>263332.474617655</v>
      </c>
      <c r="H57" s="13" t="n">
        <v>2.829</v>
      </c>
      <c r="I57" s="13" t="n">
        <v>1.877</v>
      </c>
      <c r="J57" s="5" t="s">
        <v>74</v>
      </c>
      <c r="K57" s="8" t="n">
        <v>27.6791246769109</v>
      </c>
      <c r="L57" s="8" t="n">
        <v>-29889.1829998127</v>
      </c>
      <c r="M57" s="8" t="n">
        <f aca="false">M56+L57</f>
        <v>-210750.570285796</v>
      </c>
      <c r="N57" s="5" t="str">
        <f aca="false">IF(L57&gt;0,"прибыль",IF(L57&lt;0,"убыток","ноль"))</f>
        <v>убыток</v>
      </c>
      <c r="O57" s="6" t="n">
        <f aca="false">IF(L57&lt;0,O56+1,0)</f>
        <v>1</v>
      </c>
      <c r="P57" s="6" t="n">
        <v>30</v>
      </c>
    </row>
    <row r="58" customFormat="false" ht="15" hidden="false" customHeight="false" outlineLevel="0" collapsed="false">
      <c r="A58" s="6" t="n">
        <v>53</v>
      </c>
      <c r="B58" s="5" t="s">
        <v>78</v>
      </c>
      <c r="C58" s="5" t="s">
        <v>30</v>
      </c>
      <c r="D58" s="11" t="n">
        <v>45351</v>
      </c>
      <c r="E58" s="11" t="n">
        <v>45415</v>
      </c>
      <c r="F58" s="5" t="s">
        <v>75</v>
      </c>
      <c r="G58" s="12" t="n">
        <v>78023.5411991499</v>
      </c>
      <c r="H58" s="13" t="n">
        <v>1.877</v>
      </c>
      <c r="I58" s="13" t="n">
        <v>2.029</v>
      </c>
      <c r="J58" s="5" t="s">
        <v>74</v>
      </c>
      <c r="K58" s="8" t="n">
        <v>10.281831793473</v>
      </c>
      <c r="L58" s="8" t="n">
        <v>10458.8872966223</v>
      </c>
      <c r="M58" s="8" t="n">
        <f aca="false">M57+L58</f>
        <v>-200291.682989174</v>
      </c>
      <c r="N58" s="5" t="str">
        <f aca="false">IF(L58&gt;0,"прибыль",IF(L58&lt;0,"убыток","ноль"))</f>
        <v>прибыль</v>
      </c>
      <c r="O58" s="6" t="n">
        <f aca="false">IF(L58&lt;0,O57+1,0)</f>
        <v>0</v>
      </c>
      <c r="P58" s="6" t="n">
        <v>45</v>
      </c>
    </row>
    <row r="59" customFormat="false" ht="15" hidden="false" customHeight="false" outlineLevel="0" collapsed="false">
      <c r="A59" s="6" t="n">
        <v>54</v>
      </c>
      <c r="B59" s="5" t="s">
        <v>76</v>
      </c>
      <c r="C59" s="5" t="s">
        <v>30</v>
      </c>
      <c r="D59" s="11" t="n">
        <v>45415</v>
      </c>
      <c r="E59" s="11" t="n">
        <v>45432</v>
      </c>
      <c r="F59" s="5" t="s">
        <v>75</v>
      </c>
      <c r="G59" s="12" t="n">
        <v>74369.2607599081</v>
      </c>
      <c r="H59" s="13" t="n">
        <v>2.029</v>
      </c>
      <c r="I59" s="13" t="n">
        <v>2.665</v>
      </c>
      <c r="K59" s="8" t="n">
        <v>4.22901779750679</v>
      </c>
      <c r="L59" s="8" t="n">
        <v>-10215.3242080251</v>
      </c>
      <c r="M59" s="8" t="n">
        <f aca="false">M58+L59</f>
        <v>-210507.007197199</v>
      </c>
      <c r="N59" s="5" t="str">
        <f aca="false">IF(L59&gt;0,"прибыль",IF(L59&lt;0,"убыток","ноль"))</f>
        <v>убыток</v>
      </c>
      <c r="O59" s="6" t="n">
        <f aca="false">IF(L59&lt;0,O58+1,0)</f>
        <v>1</v>
      </c>
      <c r="P59" s="6" t="n">
        <v>10</v>
      </c>
    </row>
    <row r="60" customFormat="false" ht="15" hidden="false" customHeight="false" outlineLevel="0" collapsed="false">
      <c r="A60" s="6" t="n">
        <v>55</v>
      </c>
      <c r="B60" s="5" t="s">
        <v>76</v>
      </c>
      <c r="C60" s="5" t="s">
        <v>30</v>
      </c>
      <c r="D60" s="11" t="n">
        <v>45432</v>
      </c>
      <c r="E60" s="11" t="n">
        <v>45471</v>
      </c>
      <c r="F60" s="5" t="s">
        <v>75</v>
      </c>
      <c r="G60" s="12" t="n">
        <v>216337.978210316</v>
      </c>
      <c r="H60" s="13" t="n">
        <v>2.665</v>
      </c>
      <c r="I60" s="13" t="n">
        <v>2.722</v>
      </c>
      <c r="J60" s="5" t="s">
        <v>74</v>
      </c>
      <c r="K60" s="8" t="n">
        <v>12.2089138266923</v>
      </c>
      <c r="L60" s="8" t="n">
        <v>-27852.5072373579</v>
      </c>
      <c r="M60" s="8" t="n">
        <f aca="false">M59+L60</f>
        <v>-238359.514434557</v>
      </c>
      <c r="N60" s="5" t="str">
        <f aca="false">IF(L60&gt;0,"прибыль",IF(L60&lt;0,"убыток","ноль"))</f>
        <v>убыток</v>
      </c>
      <c r="O60" s="6" t="n">
        <f aca="false">IF(L60&lt;0,O59+1,0)</f>
        <v>2</v>
      </c>
      <c r="P60" s="6" t="n">
        <v>28</v>
      </c>
    </row>
    <row r="61" customFormat="false" ht="15" hidden="false" customHeight="false" outlineLevel="0" collapsed="false">
      <c r="A61" s="6" t="n">
        <v>56</v>
      </c>
      <c r="B61" s="5" t="s">
        <v>76</v>
      </c>
      <c r="C61" s="5" t="s">
        <v>30</v>
      </c>
      <c r="D61" s="11" t="n">
        <v>45504</v>
      </c>
      <c r="E61" s="11" t="n">
        <v>45548</v>
      </c>
      <c r="F61" s="5" t="s">
        <v>75</v>
      </c>
      <c r="G61" s="12" t="n">
        <v>85584.9775433069</v>
      </c>
      <c r="H61" s="13" t="n">
        <v>2.16</v>
      </c>
      <c r="I61" s="13" t="n">
        <v>2.385</v>
      </c>
      <c r="J61" s="5" t="s">
        <v>74</v>
      </c>
      <c r="K61" s="8" t="n">
        <v>22.3136987275596</v>
      </c>
      <c r="L61" s="8" t="n">
        <v>-666.706904262998</v>
      </c>
      <c r="M61" s="8" t="n">
        <f aca="false">M60+L61</f>
        <v>-239026.22133882</v>
      </c>
      <c r="N61" s="5" t="str">
        <f aca="false">IF(L61&gt;0,"прибыль",IF(L61&lt;0,"убыток","ноль"))</f>
        <v>убыток</v>
      </c>
      <c r="O61" s="6" t="n">
        <f aca="false">IF(L61&lt;0,O60+1,0)</f>
        <v>3</v>
      </c>
      <c r="P61" s="6" t="n">
        <v>32</v>
      </c>
    </row>
    <row r="62" customFormat="false" ht="15" hidden="false" customHeight="false" outlineLevel="0" collapsed="false">
      <c r="A62" s="6" t="n">
        <v>57</v>
      </c>
      <c r="B62" s="5" t="s">
        <v>76</v>
      </c>
      <c r="C62" s="5" t="s">
        <v>30</v>
      </c>
      <c r="D62" s="11" t="n">
        <v>45548</v>
      </c>
      <c r="E62" s="11" t="n">
        <v>45608</v>
      </c>
      <c r="F62" s="5" t="s">
        <v>75</v>
      </c>
      <c r="G62" s="12" t="n">
        <v>91939.3118745709</v>
      </c>
      <c r="H62" s="13" t="n">
        <v>2.385</v>
      </c>
      <c r="I62" s="13" t="n">
        <v>2.955</v>
      </c>
      <c r="J62" s="5" t="s">
        <v>74</v>
      </c>
      <c r="K62" s="8" t="n">
        <v>7.07914232227348</v>
      </c>
      <c r="L62" s="8" t="n">
        <v>3386.77960608527</v>
      </c>
      <c r="M62" s="8" t="n">
        <f aca="false">M61+L62</f>
        <v>-235639.441732734</v>
      </c>
      <c r="N62" s="5" t="str">
        <f aca="false">IF(L62&gt;0,"прибыль",IF(L62&lt;0,"убыток","ноль"))</f>
        <v>прибыль</v>
      </c>
      <c r="O62" s="6" t="n">
        <f aca="false">IF(L62&lt;0,O61+1,0)</f>
        <v>0</v>
      </c>
      <c r="P62" s="6" t="n">
        <v>42</v>
      </c>
    </row>
    <row r="63" customFormat="false" ht="15" hidden="false" customHeight="false" outlineLevel="0" collapsed="false">
      <c r="A63" s="6" t="n">
        <v>58</v>
      </c>
      <c r="B63" s="5" t="s">
        <v>76</v>
      </c>
      <c r="C63" s="5" t="s">
        <v>30</v>
      </c>
      <c r="D63" s="11" t="n">
        <v>45608</v>
      </c>
      <c r="E63" s="11" t="n">
        <v>45618</v>
      </c>
      <c r="F63" s="5" t="s">
        <v>75</v>
      </c>
      <c r="G63" s="12" t="n">
        <v>49820.3640319716</v>
      </c>
      <c r="H63" s="13" t="n">
        <v>2.955</v>
      </c>
      <c r="I63" s="13" t="n">
        <v>3.369</v>
      </c>
      <c r="K63" s="8" t="n">
        <v>2.73582424534455</v>
      </c>
      <c r="L63" s="8" t="n">
        <v>-4898.85669916484</v>
      </c>
      <c r="M63" s="8" t="n">
        <f aca="false">M62+L63</f>
        <v>-240538.298431899</v>
      </c>
      <c r="N63" s="5" t="str">
        <f aca="false">IF(L63&gt;0,"прибыль",IF(L63&lt;0,"убыток","ноль"))</f>
        <v>убыток</v>
      </c>
      <c r="O63" s="6" t="n">
        <f aca="false">IF(L63&lt;0,O62+1,0)</f>
        <v>1</v>
      </c>
      <c r="P63" s="6" t="n">
        <v>8</v>
      </c>
    </row>
    <row r="64" customFormat="false" ht="15" hidden="false" customHeight="false" outlineLevel="0" collapsed="false">
      <c r="A64" s="6" t="n">
        <v>59</v>
      </c>
      <c r="B64" s="5" t="s">
        <v>76</v>
      </c>
      <c r="C64" s="5" t="s">
        <v>30</v>
      </c>
      <c r="D64" s="11" t="n">
        <v>45618</v>
      </c>
      <c r="E64" s="11" t="n">
        <v>45624</v>
      </c>
      <c r="F64" s="5" t="s">
        <v>75</v>
      </c>
      <c r="G64" s="12" t="n">
        <v>185737.343671807</v>
      </c>
      <c r="H64" s="13" t="n">
        <v>3.369</v>
      </c>
      <c r="I64" s="13" t="n">
        <v>3.224</v>
      </c>
      <c r="J64" s="5" t="s">
        <v>74</v>
      </c>
      <c r="K64" s="8" t="n">
        <v>9.77610830299227</v>
      </c>
      <c r="L64" s="8" t="n">
        <v>-9794.59849634102</v>
      </c>
      <c r="M64" s="8" t="n">
        <f aca="false">M63+L64</f>
        <v>-250332.89692824</v>
      </c>
      <c r="N64" s="5" t="str">
        <f aca="false">IF(L64&gt;0,"прибыль",IF(L64&lt;0,"убыток","ноль"))</f>
        <v>убыток</v>
      </c>
      <c r="O64" s="6" t="n">
        <f aca="false">IF(L64&lt;0,O63+1,0)</f>
        <v>2</v>
      </c>
      <c r="P64" s="6" t="n">
        <v>4</v>
      </c>
    </row>
    <row r="65" customFormat="false" ht="15" hidden="false" customHeight="false" outlineLevel="0" collapsed="false">
      <c r="A65" s="6" t="n">
        <v>60</v>
      </c>
      <c r="B65" s="5" t="s">
        <v>76</v>
      </c>
      <c r="C65" s="5" t="s">
        <v>30</v>
      </c>
      <c r="D65" s="11" t="n">
        <v>45656</v>
      </c>
      <c r="E65" s="11" t="n">
        <v>45660</v>
      </c>
      <c r="F65" s="5" t="s">
        <v>73</v>
      </c>
      <c r="G65" s="12" t="n">
        <v>68352.8248054921</v>
      </c>
      <c r="H65" s="13" t="n">
        <v>3.692</v>
      </c>
      <c r="I65" s="13" t="n">
        <v>3.666</v>
      </c>
      <c r="K65" s="8" t="n">
        <v>16.3507789582506</v>
      </c>
      <c r="L65" s="8" t="n">
        <v>-821.673913073734</v>
      </c>
      <c r="M65" s="8" t="n">
        <f aca="false">M64+L65</f>
        <v>-251154.570841314</v>
      </c>
      <c r="N65" s="5" t="str">
        <f aca="false">IF(L65&gt;0,"прибыль",IF(L65&lt;0,"убыток","ноль"))</f>
        <v>убыток</v>
      </c>
      <c r="O65" s="6" t="n">
        <f aca="false">IF(L65&lt;0,O64+1,0)</f>
        <v>3</v>
      </c>
      <c r="P65" s="6" t="n">
        <v>1</v>
      </c>
    </row>
    <row r="66" customFormat="false" ht="15" hidden="false" customHeight="false" outlineLevel="0" collapsed="false">
      <c r="A66" s="6" t="n">
        <v>61</v>
      </c>
      <c r="B66" s="5" t="s">
        <v>76</v>
      </c>
      <c r="C66" s="5" t="s">
        <v>30</v>
      </c>
      <c r="D66" s="11" t="n">
        <v>45660</v>
      </c>
      <c r="E66" s="11" t="n">
        <v>45665</v>
      </c>
      <c r="F66" s="5" t="s">
        <v>73</v>
      </c>
      <c r="G66" s="12" t="n">
        <v>39674.0130933085</v>
      </c>
      <c r="H66" s="13" t="n">
        <v>3.666</v>
      </c>
      <c r="I66" s="13" t="n">
        <v>3.61</v>
      </c>
      <c r="K66" s="8" t="n">
        <v>1.92892900092319</v>
      </c>
      <c r="L66" s="8" t="n">
        <v>-1097.36200384556</v>
      </c>
      <c r="M66" s="8" t="n">
        <f aca="false">M65+L66</f>
        <v>-252251.93284516</v>
      </c>
      <c r="N66" s="5" t="str">
        <f aca="false">IF(L66&gt;0,"прибыль",IF(L66&lt;0,"убыток","ноль"))</f>
        <v>убыток</v>
      </c>
      <c r="O66" s="6" t="n">
        <f aca="false">IF(L66&lt;0,O65+1,0)</f>
        <v>4</v>
      </c>
      <c r="P66" s="6" t="n">
        <v>2</v>
      </c>
    </row>
    <row r="67" customFormat="false" ht="15" hidden="false" customHeight="false" outlineLevel="0" collapsed="false">
      <c r="A67" s="6" t="n">
        <v>62</v>
      </c>
      <c r="B67" s="5" t="s">
        <v>76</v>
      </c>
      <c r="C67" s="5" t="s">
        <v>30</v>
      </c>
      <c r="D67" s="11" t="n">
        <v>45665</v>
      </c>
      <c r="E67" s="11" t="n">
        <v>45708</v>
      </c>
      <c r="F67" s="5" t="s">
        <v>73</v>
      </c>
      <c r="G67" s="12" t="n">
        <v>36883.7286055721</v>
      </c>
      <c r="H67" s="13" t="n">
        <v>3.61</v>
      </c>
      <c r="I67" s="13" t="n">
        <v>4.364</v>
      </c>
      <c r="J67" s="5" t="s">
        <v>74</v>
      </c>
      <c r="K67" s="8" t="n">
        <v>3.93271771870167</v>
      </c>
      <c r="L67" s="8" t="n">
        <v>10178.4052588057</v>
      </c>
      <c r="M67" s="8" t="n">
        <f aca="false">M66+L67</f>
        <v>-242073.527586354</v>
      </c>
      <c r="N67" s="5" t="str">
        <f aca="false">IF(L67&gt;0,"прибыль",IF(L67&lt;0,"убыток","ноль"))</f>
        <v>прибыль</v>
      </c>
      <c r="O67" s="6" t="n">
        <f aca="false">IF(L67&lt;0,O66+1,0)</f>
        <v>0</v>
      </c>
      <c r="P67" s="6" t="n">
        <v>31</v>
      </c>
    </row>
    <row r="68" customFormat="false" ht="15" hidden="false" customHeight="false" outlineLevel="0" collapsed="false">
      <c r="A68" s="6" t="n">
        <v>63</v>
      </c>
      <c r="B68" s="5" t="s">
        <v>76</v>
      </c>
      <c r="C68" s="5" t="s">
        <v>30</v>
      </c>
      <c r="D68" s="11" t="n">
        <v>45708</v>
      </c>
      <c r="E68" s="11" t="n">
        <v>45747</v>
      </c>
      <c r="F68" s="5" t="s">
        <v>73</v>
      </c>
      <c r="G68" s="12" t="n">
        <v>240365.984801969</v>
      </c>
      <c r="H68" s="13" t="n">
        <v>4.364</v>
      </c>
      <c r="I68" s="13" t="n">
        <v>4.169</v>
      </c>
      <c r="J68" s="5" t="s">
        <v>74</v>
      </c>
      <c r="K68" s="8" t="n">
        <v>31.8353434759643</v>
      </c>
      <c r="L68" s="8" t="n">
        <v>40027.2988426491</v>
      </c>
      <c r="M68" s="8" t="n">
        <f aca="false">M67+L68</f>
        <v>-202046.228743705</v>
      </c>
      <c r="N68" s="5" t="str">
        <f aca="false">IF(L68&gt;0,"прибыль",IF(L68&lt;0,"убыток","ноль"))</f>
        <v>прибыль</v>
      </c>
      <c r="O68" s="6" t="n">
        <f aca="false">IF(L68&lt;0,O67+1,0)</f>
        <v>0</v>
      </c>
      <c r="P68" s="6" t="n">
        <v>27</v>
      </c>
    </row>
    <row r="69" customFormat="false" ht="15" hidden="false" customHeight="false" outlineLevel="0" collapsed="false">
      <c r="A69" s="6" t="n">
        <v>64</v>
      </c>
      <c r="B69" s="5" t="s">
        <v>76</v>
      </c>
      <c r="C69" s="5" t="s">
        <v>30</v>
      </c>
      <c r="D69" s="11" t="n">
        <v>45747</v>
      </c>
      <c r="E69" s="11" t="n">
        <v>45798</v>
      </c>
      <c r="F69" s="5" t="s">
        <v>75</v>
      </c>
      <c r="G69" s="12" t="n">
        <v>78671.0921294353</v>
      </c>
      <c r="H69" s="13" t="n">
        <v>4.169</v>
      </c>
      <c r="I69" s="13" t="n">
        <v>3.363</v>
      </c>
      <c r="J69" s="5" t="s">
        <v>74</v>
      </c>
      <c r="K69" s="8" t="n">
        <v>9.05159589979943</v>
      </c>
      <c r="L69" s="8" t="n">
        <v>19644.6672221072</v>
      </c>
      <c r="M69" s="8" t="n">
        <f aca="false">M68+L69</f>
        <v>-182401.561521597</v>
      </c>
      <c r="N69" s="5" t="str">
        <f aca="false">IF(L69&gt;0,"прибыль",IF(L69&lt;0,"убыток","ноль"))</f>
        <v>прибыль</v>
      </c>
      <c r="O69" s="6" t="n">
        <f aca="false">IF(L69&lt;0,O68+1,0)</f>
        <v>0</v>
      </c>
      <c r="P69" s="6" t="n">
        <v>35</v>
      </c>
    </row>
    <row r="70" customFormat="false" ht="15" hidden="false" customHeight="false" outlineLevel="0" collapsed="false">
      <c r="A70" s="6" t="n">
        <v>65</v>
      </c>
      <c r="B70" s="5" t="s">
        <v>76</v>
      </c>
      <c r="C70" s="5" t="s">
        <v>30</v>
      </c>
      <c r="D70" s="11" t="n">
        <v>45798</v>
      </c>
      <c r="E70" s="11" t="n">
        <v>45932</v>
      </c>
      <c r="F70" s="5" t="s">
        <v>75</v>
      </c>
      <c r="G70" s="12" t="n">
        <v>158387.885596201</v>
      </c>
      <c r="H70" s="13" t="n">
        <v>3.363</v>
      </c>
      <c r="I70" s="13" t="n">
        <v>3.445</v>
      </c>
      <c r="J70" s="5" t="s">
        <v>74</v>
      </c>
      <c r="K70" s="8" t="n">
        <v>24.9263249835087</v>
      </c>
      <c r="L70" s="8" t="n">
        <v>34999.3407115617</v>
      </c>
      <c r="M70" s="8" t="n">
        <f aca="false">M69+L70</f>
        <v>-147402.220810036</v>
      </c>
      <c r="N70" s="5" t="str">
        <f aca="false">IF(L70&gt;0,"прибыль",IF(L70&lt;0,"убыток","ноль"))</f>
        <v>прибыль</v>
      </c>
      <c r="O70" s="6" t="n">
        <f aca="false">IF(L70&lt;0,O69+1,0)</f>
        <v>0</v>
      </c>
      <c r="P70" s="6" t="n">
        <v>107</v>
      </c>
    </row>
    <row r="71" customFormat="false" ht="15" hidden="false" customHeight="false" outlineLevel="0" collapsed="false">
      <c r="A71" s="6" t="n">
        <v>66</v>
      </c>
      <c r="B71" s="5" t="s">
        <v>76</v>
      </c>
      <c r="C71" s="5" t="s">
        <v>30</v>
      </c>
      <c r="D71" s="11" t="n">
        <v>45932</v>
      </c>
      <c r="E71" s="11" t="n">
        <v>45951</v>
      </c>
      <c r="F71" s="5" t="s">
        <v>75</v>
      </c>
      <c r="G71" s="12" t="n">
        <v>169042.987155081</v>
      </c>
      <c r="H71" s="13" t="n">
        <v>3.445</v>
      </c>
      <c r="I71" s="13" t="n">
        <v>3.388</v>
      </c>
      <c r="K71" s="8" t="n">
        <v>6.47794335897868</v>
      </c>
      <c r="L71" s="8" t="n">
        <v>39477.6420321487</v>
      </c>
      <c r="M71" s="8" t="n">
        <f aca="false">M70+L71</f>
        <v>-107924.578777887</v>
      </c>
      <c r="N71" s="5" t="str">
        <f aca="false">IF(L71&gt;0,"прибыль",IF(L71&lt;0,"убыток","ноль"))</f>
        <v>прибыль</v>
      </c>
      <c r="O71" s="6" t="n">
        <f aca="false">IF(L71&lt;0,O70+1,0)</f>
        <v>0</v>
      </c>
      <c r="P71" s="6" t="n">
        <v>19</v>
      </c>
    </row>
    <row r="72" customFormat="false" ht="15" hidden="false" customHeight="false" outlineLevel="0" collapsed="false">
      <c r="A72" s="6" t="n">
        <v>67</v>
      </c>
      <c r="B72" s="5" t="s">
        <v>76</v>
      </c>
      <c r="C72" s="5" t="s">
        <v>30</v>
      </c>
      <c r="D72" s="11" t="n">
        <v>45951</v>
      </c>
      <c r="E72" s="11" t="n">
        <v>45988</v>
      </c>
      <c r="F72" s="5" t="s">
        <v>75</v>
      </c>
      <c r="G72" s="12" t="n">
        <v>445770.343621932</v>
      </c>
      <c r="H72" s="13" t="n">
        <v>3.388</v>
      </c>
      <c r="I72" s="13" t="n">
        <v>4.595</v>
      </c>
      <c r="J72" s="5" t="s">
        <v>74</v>
      </c>
      <c r="K72" s="8" t="n">
        <v>25.5392967871609</v>
      </c>
      <c r="L72" s="8" t="n">
        <v>27592.1867790749</v>
      </c>
      <c r="M72" s="8" t="n">
        <f aca="false">M71+L72</f>
        <v>-80332.3919988121</v>
      </c>
      <c r="N72" s="5" t="str">
        <f aca="false">IF(L72&gt;0,"прибыль",IF(L72&lt;0,"убыток","ноль"))</f>
        <v>прибыль</v>
      </c>
      <c r="O72" s="6" t="n">
        <f aca="false">IF(L72&lt;0,O71+1,0)</f>
        <v>0</v>
      </c>
      <c r="P72" s="6" t="n">
        <v>31</v>
      </c>
    </row>
    <row r="73" customFormat="false" ht="15" hidden="false" customHeight="false" outlineLevel="0" collapsed="false">
      <c r="A73" s="6" t="n">
        <v>68</v>
      </c>
      <c r="B73" s="5" t="s">
        <v>76</v>
      </c>
      <c r="C73" s="5" t="s">
        <v>30</v>
      </c>
      <c r="D73" s="11" t="n">
        <v>46027</v>
      </c>
      <c r="E73" s="11" t="n">
        <v>46042</v>
      </c>
      <c r="F73" s="5" t="s">
        <v>73</v>
      </c>
      <c r="G73" s="12" t="n">
        <v>47908.1343158662</v>
      </c>
      <c r="H73" s="13" t="n">
        <v>3.629</v>
      </c>
      <c r="I73" s="13" t="n">
        <v>3.672</v>
      </c>
      <c r="K73" s="8" t="n">
        <v>12.970367298206</v>
      </c>
      <c r="L73" s="8" t="n">
        <v>291.421365664232</v>
      </c>
      <c r="M73" s="8" t="n">
        <f aca="false">M72+L73</f>
        <v>-80040.9706331478</v>
      </c>
      <c r="N73" s="5" t="str">
        <f aca="false">IF(L73&gt;0,"прибыль",IF(L73&lt;0,"убыток","ноль"))</f>
        <v>прибыль</v>
      </c>
      <c r="O73" s="6" t="n">
        <f aca="false">IF(L73&lt;0,O72+1,0)</f>
        <v>0</v>
      </c>
      <c r="P73" s="6" t="n">
        <v>12</v>
      </c>
    </row>
    <row r="74" customFormat="false" ht="15" hidden="false" customHeight="false" outlineLevel="0" collapsed="false">
      <c r="A74" s="6" t="n">
        <v>69</v>
      </c>
      <c r="B74" s="5" t="s">
        <v>76</v>
      </c>
      <c r="C74" s="5" t="s">
        <v>30</v>
      </c>
      <c r="D74" s="11" t="n">
        <v>46042</v>
      </c>
      <c r="E74" s="11" t="n">
        <v>46044</v>
      </c>
      <c r="F74" s="5" t="s">
        <v>73</v>
      </c>
      <c r="G74" s="12" t="n">
        <v>80072.4344598687</v>
      </c>
      <c r="H74" s="13" t="n">
        <v>3.672</v>
      </c>
      <c r="I74" s="13" t="n">
        <v>5.341</v>
      </c>
      <c r="K74" s="8" t="n">
        <v>5.85336504193147</v>
      </c>
      <c r="L74" s="8" t="n">
        <v>36989.0130137187</v>
      </c>
      <c r="M74" s="8" t="n">
        <f aca="false">M73+L74</f>
        <v>-43051.9576194292</v>
      </c>
      <c r="N74" s="5" t="str">
        <f aca="false">IF(L74&gt;0,"прибыль",IF(L74&lt;0,"убыток","ноль"))</f>
        <v>прибыль</v>
      </c>
      <c r="O74" s="6" t="n">
        <f aca="false">IF(L74&lt;0,O73+1,0)</f>
        <v>0</v>
      </c>
      <c r="P74" s="6" t="n">
        <v>2</v>
      </c>
    </row>
    <row r="75" customFormat="false" ht="15" hidden="false" customHeight="false" outlineLevel="0" collapsed="false">
      <c r="A75" s="6" t="n">
        <v>70</v>
      </c>
      <c r="B75" s="5" t="s">
        <v>76</v>
      </c>
      <c r="C75" s="5" t="s">
        <v>30</v>
      </c>
      <c r="D75" s="11" t="n">
        <v>46044</v>
      </c>
      <c r="E75" s="11" t="n">
        <v>46049</v>
      </c>
      <c r="F75" s="5" t="s">
        <v>73</v>
      </c>
      <c r="G75" s="12" t="n">
        <v>28506.0930104573</v>
      </c>
      <c r="H75" s="13" t="n">
        <v>5.341</v>
      </c>
      <c r="I75" s="13" t="n">
        <v>6.546</v>
      </c>
      <c r="K75" s="8" t="n">
        <v>2.55245281311287</v>
      </c>
      <c r="L75" s="8" t="n">
        <v>22540.4107989871</v>
      </c>
      <c r="M75" s="8" t="n">
        <f aca="false">M74+L75</f>
        <v>-20511.5468204421</v>
      </c>
      <c r="N75" s="5" t="str">
        <f aca="false">IF(L75&gt;0,"прибыль",IF(L75&lt;0,"убыток","ноль"))</f>
        <v>прибыль</v>
      </c>
      <c r="O75" s="6" t="n">
        <f aca="false">IF(L75&lt;0,O74+1,0)</f>
        <v>0</v>
      </c>
      <c r="P75" s="6" t="n">
        <v>5</v>
      </c>
    </row>
    <row r="76" customFormat="false" ht="15" hidden="false" customHeight="false" outlineLevel="0" collapsed="false">
      <c r="A76" s="6" t="n">
        <v>71</v>
      </c>
      <c r="B76" s="5" t="s">
        <v>76</v>
      </c>
      <c r="C76" s="5" t="s">
        <v>30</v>
      </c>
      <c r="D76" s="11" t="n">
        <v>46049</v>
      </c>
      <c r="E76" s="11" t="n">
        <v>46093</v>
      </c>
      <c r="F76" s="5" t="s">
        <v>73</v>
      </c>
      <c r="G76" s="12" t="n">
        <v>85910.5204562009</v>
      </c>
      <c r="H76" s="13" t="n">
        <v>6.546</v>
      </c>
      <c r="I76" s="13" t="n">
        <v>3.284</v>
      </c>
      <c r="J76" s="5" t="s">
        <v>74</v>
      </c>
      <c r="K76" s="8" t="n">
        <v>20.1249765557433</v>
      </c>
      <c r="L76" s="8" t="n">
        <v>18156.2457207622</v>
      </c>
      <c r="M76" s="8" t="n">
        <f aca="false">M75+L76</f>
        <v>-2355.3010996799</v>
      </c>
      <c r="N76" s="5" t="str">
        <f aca="false">IF(L76&gt;0,"прибыль",IF(L76&lt;0,"убыток","ноль"))</f>
        <v>прибыль</v>
      </c>
      <c r="O76" s="6" t="n">
        <f aca="false">IF(L76&lt;0,O75+1,0)</f>
        <v>0</v>
      </c>
      <c r="P76" s="6" t="n">
        <v>40</v>
      </c>
    </row>
    <row r="77" customFormat="false" ht="15" hidden="false" customHeight="false" outlineLevel="0" collapsed="false">
      <c r="A77" s="6" t="n">
        <v>72</v>
      </c>
      <c r="B77" s="5" t="s">
        <v>76</v>
      </c>
      <c r="C77" s="5" t="s">
        <v>30</v>
      </c>
      <c r="D77" s="11" t="n">
        <v>46093</v>
      </c>
      <c r="E77" s="11" t="n">
        <v>46110</v>
      </c>
      <c r="F77" s="5" t="s">
        <v>73</v>
      </c>
      <c r="G77" s="12" t="n">
        <v>267210.277634245</v>
      </c>
      <c r="H77" s="13" t="n">
        <v>3.284</v>
      </c>
      <c r="I77" s="13" t="n">
        <v>3.093</v>
      </c>
      <c r="J77" s="5" t="s">
        <v>74</v>
      </c>
      <c r="K77" s="8" t="n">
        <v>29.408750401099</v>
      </c>
      <c r="L77" s="8" t="n">
        <v>27228.2631349689</v>
      </c>
      <c r="M77" s="8" t="n">
        <f aca="false">M76+L77</f>
        <v>24872.962035289</v>
      </c>
      <c r="N77" s="5" t="str">
        <f aca="false">IF(L77&gt;0,"прибыль",IF(L77&lt;0,"убыток","ноль"))</f>
        <v>прибыль</v>
      </c>
      <c r="O77" s="6" t="n">
        <f aca="false">IF(L77&lt;0,O76+1,0)</f>
        <v>0</v>
      </c>
      <c r="P77" s="6" t="n">
        <v>15</v>
      </c>
    </row>
    <row r="78" customFormat="false" ht="15" hidden="false" customHeight="false" outlineLevel="0" collapsed="false">
      <c r="A78" s="6" t="n">
        <v>73</v>
      </c>
      <c r="B78" s="5" t="s">
        <v>76</v>
      </c>
      <c r="C78" s="5" t="s">
        <v>30</v>
      </c>
      <c r="D78" s="11" t="n">
        <v>46110</v>
      </c>
      <c r="E78" s="11" t="n">
        <v>46154</v>
      </c>
      <c r="F78" s="5" t="s">
        <v>75</v>
      </c>
      <c r="G78" s="12" t="n">
        <v>194607.616517965</v>
      </c>
      <c r="H78" s="13" t="n">
        <v>3.093</v>
      </c>
      <c r="I78" s="13" t="n">
        <v>2.946</v>
      </c>
      <c r="J78" s="5" t="s">
        <v>74</v>
      </c>
      <c r="K78" s="8" t="n">
        <v>23.8576331679798</v>
      </c>
      <c r="L78" s="8" t="n">
        <v>8115.27038573701</v>
      </c>
      <c r="M78" s="8" t="n">
        <f aca="false">M77+L78</f>
        <v>32988.232421026</v>
      </c>
      <c r="N78" s="5" t="str">
        <f aca="false">IF(L78&gt;0,"прибыль",IF(L78&lt;0,"убыток","ноль"))</f>
        <v>прибыль</v>
      </c>
      <c r="O78" s="6" t="n">
        <f aca="false">IF(L78&lt;0,O77+1,0)</f>
        <v>0</v>
      </c>
      <c r="P78" s="6" t="n">
        <v>42</v>
      </c>
    </row>
    <row r="79" customFormat="false" ht="15" hidden="false" customHeight="false" outlineLevel="0" collapsed="false">
      <c r="A79" s="6" t="n">
        <v>74</v>
      </c>
      <c r="B79" s="5" t="s">
        <v>76</v>
      </c>
      <c r="C79" s="5" t="s">
        <v>30</v>
      </c>
      <c r="D79" s="11" t="n">
        <v>46154</v>
      </c>
      <c r="E79" s="11" t="n">
        <v>46201</v>
      </c>
      <c r="F79" s="5" t="s">
        <v>75</v>
      </c>
      <c r="G79" s="12" t="n">
        <v>389783.616844934</v>
      </c>
      <c r="H79" s="13" t="n">
        <v>2.946</v>
      </c>
      <c r="I79" s="13" t="n">
        <v>3.32</v>
      </c>
      <c r="J79" s="5" t="s">
        <v>74</v>
      </c>
      <c r="K79" s="8" t="n">
        <v>19.8666436448695</v>
      </c>
      <c r="L79" s="8" t="n">
        <v>-7569.12269610131</v>
      </c>
      <c r="M79" s="8" t="n">
        <f aca="false">M78+L79</f>
        <v>25419.1097249247</v>
      </c>
      <c r="N79" s="5" t="str">
        <f aca="false">IF(L79&gt;0,"прибыль",IF(L79&lt;0,"убыток","ноль"))</f>
        <v>убыток</v>
      </c>
      <c r="O79" s="6" t="n">
        <f aca="false">IF(L79&lt;0,O78+1,0)</f>
        <v>1</v>
      </c>
      <c r="P79" s="6" t="n">
        <v>45</v>
      </c>
    </row>
    <row r="80" customFormat="false" ht="15" hidden="false" customHeight="false" outlineLevel="0" collapsed="false">
      <c r="A80" s="6" t="n">
        <v>75</v>
      </c>
      <c r="B80" s="5" t="s">
        <v>76</v>
      </c>
      <c r="C80" s="5" t="s">
        <v>30</v>
      </c>
      <c r="D80" s="11" t="n">
        <v>46234</v>
      </c>
      <c r="E80" s="11" t="n">
        <v>46287</v>
      </c>
      <c r="F80" s="5" t="s">
        <v>75</v>
      </c>
      <c r="G80" s="12" t="n">
        <v>139094.204135712</v>
      </c>
      <c r="H80" s="13" t="n">
        <v>2.775</v>
      </c>
      <c r="I80" s="13" t="n">
        <v>2.848</v>
      </c>
      <c r="J80" s="5" t="s">
        <v>74</v>
      </c>
      <c r="K80" s="8" t="n">
        <v>40.8997631898739</v>
      </c>
      <c r="L80" s="8" t="n">
        <v>1160.2253645084</v>
      </c>
      <c r="M80" s="8" t="n">
        <f aca="false">M79+L80</f>
        <v>26579.3350894331</v>
      </c>
      <c r="N80" s="5" t="str">
        <f aca="false">IF(L80&gt;0,"прибыль",IF(L80&lt;0,"убыток","ноль"))</f>
        <v>прибыль</v>
      </c>
      <c r="O80" s="6" t="n">
        <f aca="false">IF(L80&lt;0,O79+1,0)</f>
        <v>0</v>
      </c>
      <c r="P80" s="6" t="n">
        <v>47</v>
      </c>
    </row>
    <row r="81" customFormat="false" ht="15" hidden="false" customHeight="false" outlineLevel="0" collapsed="false">
      <c r="A81" s="6" t="n">
        <v>76</v>
      </c>
      <c r="B81" s="5" t="s">
        <v>76</v>
      </c>
      <c r="C81" s="5" t="s">
        <v>30</v>
      </c>
      <c r="D81" s="11" t="n">
        <v>46287</v>
      </c>
      <c r="E81" s="11" t="n">
        <v>46288</v>
      </c>
      <c r="F81" s="5" t="s">
        <v>75</v>
      </c>
      <c r="G81" s="12" t="n">
        <v>154700.620382048</v>
      </c>
      <c r="H81" s="13" t="n">
        <v>2.848</v>
      </c>
      <c r="I81" s="13" t="n">
        <v>3.023</v>
      </c>
      <c r="K81" s="8" t="n">
        <v>8.14162098031295</v>
      </c>
      <c r="L81" s="8" t="n">
        <v>-8139.94084519093</v>
      </c>
      <c r="M81" s="8" t="n">
        <f aca="false">M80+L81</f>
        <v>18439.3942442422</v>
      </c>
      <c r="N81" s="5" t="str">
        <f aca="false">IF(L81&gt;0,"прибыль",IF(L81&lt;0,"убыток","ноль"))</f>
        <v>убыток</v>
      </c>
      <c r="O81" s="6" t="n">
        <f aca="false">IF(L81&lt;0,O80+1,0)</f>
        <v>1</v>
      </c>
      <c r="P81" s="6" t="n">
        <v>1</v>
      </c>
    </row>
    <row r="82" customFormat="false" ht="15" hidden="false" customHeight="false" outlineLevel="0" collapsed="false">
      <c r="A82" s="6" t="n">
        <v>77</v>
      </c>
      <c r="B82" s="5" t="s">
        <v>76</v>
      </c>
      <c r="C82" s="5" t="s">
        <v>30</v>
      </c>
      <c r="D82" s="11" t="n">
        <v>46288</v>
      </c>
      <c r="E82" s="11" t="n">
        <v>46290</v>
      </c>
      <c r="F82" s="5" t="s">
        <v>75</v>
      </c>
      <c r="G82" s="12" t="n">
        <v>80834.7324725445</v>
      </c>
      <c r="H82" s="13" t="n">
        <v>3.023</v>
      </c>
      <c r="I82" s="13" t="n">
        <v>3.183</v>
      </c>
      <c r="K82" s="8" t="n">
        <v>4.48026283923021</v>
      </c>
      <c r="L82" s="8" t="n">
        <v>-8775.00457489891</v>
      </c>
      <c r="M82" s="8" t="n">
        <f aca="false">M81+L82</f>
        <v>9664.38966934325</v>
      </c>
      <c r="N82" s="5" t="str">
        <f aca="false">IF(L82&gt;0,"прибыль",IF(L82&lt;0,"убыток","ноль"))</f>
        <v>убыток</v>
      </c>
      <c r="O82" s="6" t="n">
        <f aca="false">IF(L82&lt;0,O81+1,0)</f>
        <v>2</v>
      </c>
      <c r="P82" s="6" t="n">
        <v>2</v>
      </c>
    </row>
    <row r="83" customFormat="false" ht="15" hidden="false" customHeight="false" outlineLevel="0" collapsed="false">
      <c r="A83" s="6" t="n">
        <v>78</v>
      </c>
      <c r="B83" s="5" t="s">
        <v>76</v>
      </c>
      <c r="C83" s="5" t="s">
        <v>30</v>
      </c>
      <c r="D83" s="11" t="n">
        <v>46290</v>
      </c>
      <c r="E83" s="11" t="n">
        <v>46295</v>
      </c>
      <c r="F83" s="5" t="s">
        <v>75</v>
      </c>
      <c r="G83" s="12" t="n">
        <v>305472.627799161</v>
      </c>
      <c r="H83" s="13" t="n">
        <v>3.183</v>
      </c>
      <c r="I83" s="13" t="n">
        <v>3.04</v>
      </c>
      <c r="J83" s="5" t="s">
        <v>74</v>
      </c>
      <c r="K83" s="8" t="n">
        <v>33.1257651341521</v>
      </c>
      <c r="L83" s="8" t="n">
        <v>-23120.3932261455</v>
      </c>
      <c r="M83" s="8" t="n">
        <f aca="false">M82+L83</f>
        <v>-13456.0035568022</v>
      </c>
      <c r="N83" s="5" t="str">
        <f aca="false">IF(L83&gt;0,"прибыль",IF(L83&lt;0,"убыток","ноль"))</f>
        <v>убыток</v>
      </c>
      <c r="O83" s="6" t="n">
        <f aca="false">IF(L83&lt;0,O82+1,0)</f>
        <v>3</v>
      </c>
      <c r="P83" s="6" t="n">
        <v>5</v>
      </c>
    </row>
    <row r="84" customFormat="false" ht="15" hidden="false" customHeight="false" outlineLevel="0" collapsed="false">
      <c r="A84" s="6" t="n">
        <v>79</v>
      </c>
      <c r="B84" s="5" t="s">
        <v>76</v>
      </c>
      <c r="C84" s="5" t="s">
        <v>30</v>
      </c>
      <c r="E84" s="11" t="n">
        <v>46298</v>
      </c>
      <c r="F84" s="5" t="s">
        <v>73</v>
      </c>
      <c r="I84" s="13" t="n">
        <v>3.043</v>
      </c>
      <c r="L84" s="8" t="n">
        <v>-232.365027525992</v>
      </c>
      <c r="M84" s="8" t="n">
        <f aca="false">M83+L84</f>
        <v>-13688.3685843282</v>
      </c>
      <c r="N84" s="5" t="str">
        <f aca="false">IF(L84&gt;0,"прибыль",IF(L84&lt;0,"убыток","ноль"))</f>
        <v>убыток</v>
      </c>
      <c r="O84" s="6" t="n">
        <f aca="false">IF(L84&lt;0,O83+1,0)</f>
        <v>4</v>
      </c>
      <c r="Q84" s="5" t="s">
        <v>77</v>
      </c>
    </row>
  </sheetData>
  <autoFilter ref="A5:Q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5" min="4" style="0" width="17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9" min="8" style="0" width="12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7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60"/>
  </cols>
  <sheetData>
    <row r="1" customFormat="false" ht="15" hidden="false" customHeight="false" outlineLevel="0" collapsed="false">
      <c r="A1" s="10" t="s">
        <v>48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A3" s="2" t="s">
        <v>54</v>
      </c>
    </row>
    <row r="5" customFormat="false" ht="30" hidden="false" customHeight="true" outlineLevel="0" collapsed="false">
      <c r="A5" s="3" t="s">
        <v>55</v>
      </c>
      <c r="B5" s="3" t="s">
        <v>56</v>
      </c>
      <c r="C5" s="3" t="s">
        <v>57</v>
      </c>
      <c r="D5" s="3" t="s">
        <v>58</v>
      </c>
      <c r="E5" s="3" t="s">
        <v>59</v>
      </c>
      <c r="F5" s="3" t="s">
        <v>60</v>
      </c>
      <c r="G5" s="3" t="s">
        <v>61</v>
      </c>
      <c r="H5" s="3" t="s">
        <v>62</v>
      </c>
      <c r="I5" s="3" t="s">
        <v>63</v>
      </c>
      <c r="J5" s="3" t="s">
        <v>64</v>
      </c>
      <c r="K5" s="3" t="s">
        <v>65</v>
      </c>
      <c r="L5" s="3" t="s">
        <v>66</v>
      </c>
      <c r="M5" s="3" t="s">
        <v>67</v>
      </c>
      <c r="N5" s="3" t="s">
        <v>68</v>
      </c>
      <c r="O5" s="3" t="s">
        <v>69</v>
      </c>
      <c r="P5" s="3" t="s">
        <v>70</v>
      </c>
      <c r="Q5" s="3" t="s">
        <v>71</v>
      </c>
    </row>
    <row r="6" customFormat="false" ht="15" hidden="false" customHeight="false" outlineLevel="0" collapsed="false">
      <c r="A6" s="6" t="n">
        <v>1</v>
      </c>
      <c r="B6" s="5" t="s">
        <v>72</v>
      </c>
      <c r="C6" s="5" t="s">
        <v>25</v>
      </c>
      <c r="D6" s="11" t="n">
        <v>44012</v>
      </c>
      <c r="E6" s="11" t="n">
        <v>44032</v>
      </c>
      <c r="F6" s="5" t="s">
        <v>75</v>
      </c>
      <c r="G6" s="12" t="n">
        <v>226604.894730299</v>
      </c>
      <c r="H6" s="13" t="n">
        <v>41.68</v>
      </c>
      <c r="I6" s="13" t="n">
        <v>43.1</v>
      </c>
      <c r="J6" s="5" t="s">
        <v>74</v>
      </c>
      <c r="K6" s="8" t="n">
        <v>35.7821498307763</v>
      </c>
      <c r="L6" s="8" t="n">
        <v>-4014.1024469014</v>
      </c>
      <c r="M6" s="8" t="n">
        <f aca="false">L6</f>
        <v>-4014.1024469014</v>
      </c>
      <c r="N6" s="5" t="str">
        <f aca="false">IF(L6&gt;0,"прибыль",IF(L6&lt;0,"убыток","ноль"))</f>
        <v>убыток</v>
      </c>
      <c r="O6" s="6" t="n">
        <f aca="false">IF(L6&lt;0,1,0)</f>
        <v>1</v>
      </c>
      <c r="P6" s="6" t="n">
        <v>13</v>
      </c>
    </row>
    <row r="7" customFormat="false" ht="15" hidden="false" customHeight="false" outlineLevel="0" collapsed="false">
      <c r="A7" s="6" t="n">
        <v>2</v>
      </c>
      <c r="B7" s="5" t="s">
        <v>72</v>
      </c>
      <c r="C7" s="5" t="s">
        <v>30</v>
      </c>
      <c r="D7" s="11" t="n">
        <v>44012</v>
      </c>
      <c r="E7" s="11" t="n">
        <v>44047</v>
      </c>
      <c r="F7" s="5" t="s">
        <v>75</v>
      </c>
      <c r="G7" s="12" t="n">
        <v>37931.8641103964</v>
      </c>
      <c r="H7" s="13" t="n">
        <v>1.708</v>
      </c>
      <c r="I7" s="13" t="n">
        <v>2.1</v>
      </c>
      <c r="J7" s="5" t="s">
        <v>74</v>
      </c>
      <c r="K7" s="8" t="n">
        <v>8.42885575708003</v>
      </c>
      <c r="L7" s="8" t="n">
        <v>-6374.75899321675</v>
      </c>
      <c r="M7" s="8" t="n">
        <f aca="false">M6+L7</f>
        <v>-10388.8614401181</v>
      </c>
      <c r="N7" s="5" t="str">
        <f aca="false">IF(L7&gt;0,"прибыль",IF(L7&lt;0,"убыток","ноль"))</f>
        <v>убыток</v>
      </c>
      <c r="O7" s="6" t="n">
        <f aca="false">IF(L7&lt;0,O6+1,0)</f>
        <v>2</v>
      </c>
      <c r="P7" s="6" t="n">
        <v>24</v>
      </c>
    </row>
    <row r="8" customFormat="false" ht="15" hidden="false" customHeight="false" outlineLevel="0" collapsed="false">
      <c r="A8" s="6" t="n">
        <v>3</v>
      </c>
      <c r="B8" s="5" t="s">
        <v>72</v>
      </c>
      <c r="C8" s="5" t="s">
        <v>30</v>
      </c>
      <c r="D8" s="11" t="n">
        <v>44047</v>
      </c>
      <c r="E8" s="11" t="n">
        <v>44061</v>
      </c>
      <c r="F8" s="5" t="s">
        <v>75</v>
      </c>
      <c r="G8" s="12" t="n">
        <v>86347.0567833481</v>
      </c>
      <c r="H8" s="13" t="n">
        <v>2.1</v>
      </c>
      <c r="I8" s="13" t="n">
        <v>2.326</v>
      </c>
      <c r="K8" s="8" t="n">
        <v>10.7115533452679</v>
      </c>
      <c r="L8" s="8" t="n">
        <v>-25348.8165190767</v>
      </c>
      <c r="M8" s="8" t="n">
        <f aca="false">M7+L8</f>
        <v>-35737.6779591949</v>
      </c>
      <c r="N8" s="5" t="str">
        <f aca="false">IF(L8&gt;0,"прибыль",IF(L8&lt;0,"убыток","ноль"))</f>
        <v>убыток</v>
      </c>
      <c r="O8" s="6" t="n">
        <f aca="false">IF(L8&lt;0,O7+1,0)</f>
        <v>3</v>
      </c>
      <c r="P8" s="6" t="n">
        <v>10</v>
      </c>
    </row>
    <row r="9" customFormat="false" ht="15" hidden="false" customHeight="false" outlineLevel="0" collapsed="false">
      <c r="A9" s="6" t="n">
        <v>4</v>
      </c>
      <c r="B9" s="5" t="s">
        <v>72</v>
      </c>
      <c r="C9" s="5" t="s">
        <v>25</v>
      </c>
      <c r="D9" s="11" t="n">
        <v>44032</v>
      </c>
      <c r="E9" s="11" t="n">
        <v>44069</v>
      </c>
      <c r="F9" s="5" t="s">
        <v>73</v>
      </c>
      <c r="G9" s="12" t="n">
        <v>103314.643481454</v>
      </c>
      <c r="H9" s="13" t="n">
        <v>43.1</v>
      </c>
      <c r="I9" s="13" t="n">
        <v>46.02</v>
      </c>
      <c r="J9" s="5" t="s">
        <v>74</v>
      </c>
      <c r="K9" s="8" t="n">
        <v>18.1073965032079</v>
      </c>
      <c r="L9" s="8" t="n">
        <v>3932.11142649895</v>
      </c>
      <c r="M9" s="8" t="n">
        <f aca="false">M8+L9</f>
        <v>-31805.5665326959</v>
      </c>
      <c r="N9" s="5" t="str">
        <f aca="false">IF(L9&gt;0,"прибыль",IF(L9&lt;0,"убыток","ноль"))</f>
        <v>прибыль</v>
      </c>
      <c r="O9" s="6" t="n">
        <f aca="false">IF(L9&lt;0,O8+1,0)</f>
        <v>0</v>
      </c>
      <c r="P9" s="6" t="n">
        <v>27</v>
      </c>
    </row>
    <row r="10" customFormat="false" ht="15" hidden="false" customHeight="false" outlineLevel="0" collapsed="false">
      <c r="A10" s="6" t="n">
        <v>5</v>
      </c>
      <c r="B10" s="5" t="s">
        <v>72</v>
      </c>
      <c r="C10" s="5" t="s">
        <v>25</v>
      </c>
      <c r="D10" s="11" t="n">
        <v>44069</v>
      </c>
      <c r="E10" s="11" t="n">
        <v>44083</v>
      </c>
      <c r="F10" s="5" t="s">
        <v>73</v>
      </c>
      <c r="G10" s="12" t="n">
        <v>115911.231905485</v>
      </c>
      <c r="H10" s="13" t="n">
        <v>46.02</v>
      </c>
      <c r="I10" s="13" t="n">
        <v>39.85</v>
      </c>
      <c r="J10" s="5" t="s">
        <v>74</v>
      </c>
      <c r="K10" s="8" t="n">
        <v>5.15491795984114</v>
      </c>
      <c r="L10" s="8" t="n">
        <v>-12818.0276266221</v>
      </c>
      <c r="M10" s="8" t="n">
        <f aca="false">M9+L10</f>
        <v>-44623.5941593181</v>
      </c>
      <c r="N10" s="5" t="str">
        <f aca="false">IF(L10&gt;0,"прибыль",IF(L10&lt;0,"убыток","ноль"))</f>
        <v>убыток</v>
      </c>
      <c r="O10" s="6" t="n">
        <f aca="false">IF(L10&lt;0,O9+1,0)</f>
        <v>1</v>
      </c>
      <c r="P10" s="6" t="n">
        <v>10</v>
      </c>
    </row>
    <row r="11" customFormat="false" ht="15" hidden="false" customHeight="false" outlineLevel="0" collapsed="false">
      <c r="A11" s="6" t="n">
        <v>6</v>
      </c>
      <c r="B11" s="5" t="s">
        <v>72</v>
      </c>
      <c r="C11" s="5" t="s">
        <v>25</v>
      </c>
      <c r="D11" s="11" t="n">
        <v>44083</v>
      </c>
      <c r="E11" s="11" t="n">
        <v>44091</v>
      </c>
      <c r="F11" s="5" t="s">
        <v>73</v>
      </c>
      <c r="G11" s="12" t="n">
        <v>73077.8262704925</v>
      </c>
      <c r="H11" s="13" t="n">
        <v>39.85</v>
      </c>
      <c r="I11" s="13" t="n">
        <v>42.33</v>
      </c>
      <c r="K11" s="8" t="n">
        <v>3.45146794908207</v>
      </c>
      <c r="L11" s="8" t="n">
        <v>-4051.9187568001</v>
      </c>
      <c r="M11" s="8" t="n">
        <f aca="false">M10+L11</f>
        <v>-48675.5129161182</v>
      </c>
      <c r="N11" s="5" t="str">
        <f aca="false">IF(L11&gt;0,"прибыль",IF(L11&lt;0,"убыток","ноль"))</f>
        <v>убыток</v>
      </c>
      <c r="O11" s="6" t="n">
        <f aca="false">IF(L11&lt;0,O10+1,0)</f>
        <v>2</v>
      </c>
      <c r="P11" s="6" t="n">
        <v>6</v>
      </c>
    </row>
    <row r="12" customFormat="false" ht="15" hidden="false" customHeight="false" outlineLevel="0" collapsed="false">
      <c r="A12" s="6" t="n">
        <v>7</v>
      </c>
      <c r="B12" s="5" t="s">
        <v>72</v>
      </c>
      <c r="C12" s="5" t="s">
        <v>30</v>
      </c>
      <c r="D12" s="11" t="n">
        <v>44061</v>
      </c>
      <c r="E12" s="11" t="n">
        <v>44098</v>
      </c>
      <c r="F12" s="5" t="s">
        <v>73</v>
      </c>
      <c r="G12" s="12" t="n">
        <v>68491.1317046187</v>
      </c>
      <c r="H12" s="13" t="n">
        <v>2.326</v>
      </c>
      <c r="I12" s="13" t="n">
        <v>2.199</v>
      </c>
      <c r="J12" s="5" t="s">
        <v>74</v>
      </c>
      <c r="K12" s="8" t="n">
        <v>5.61118653868236</v>
      </c>
      <c r="L12" s="8" t="n">
        <v>-10576.4145942629</v>
      </c>
      <c r="M12" s="8" t="n">
        <f aca="false">M11+L12</f>
        <v>-59251.927510381</v>
      </c>
      <c r="N12" s="5" t="str">
        <f aca="false">IF(L12&gt;0,"прибыль",IF(L12&lt;0,"убыток","ноль"))</f>
        <v>убыток</v>
      </c>
      <c r="O12" s="6" t="n">
        <f aca="false">IF(L12&lt;0,O11+1,0)</f>
        <v>3</v>
      </c>
      <c r="P12" s="6" t="n">
        <v>27</v>
      </c>
    </row>
    <row r="13" customFormat="false" ht="15" hidden="false" customHeight="false" outlineLevel="0" collapsed="false">
      <c r="A13" s="6" t="n">
        <v>8</v>
      </c>
      <c r="B13" s="5" t="s">
        <v>72</v>
      </c>
      <c r="C13" s="5" t="s">
        <v>25</v>
      </c>
      <c r="D13" s="11" t="n">
        <v>44091</v>
      </c>
      <c r="E13" s="11" t="n">
        <v>44099</v>
      </c>
      <c r="F13" s="5" t="s">
        <v>73</v>
      </c>
      <c r="G13" s="12" t="n">
        <v>221034.252960127</v>
      </c>
      <c r="H13" s="13" t="n">
        <v>42.33</v>
      </c>
      <c r="I13" s="13" t="n">
        <v>41.85</v>
      </c>
      <c r="K13" s="8" t="n">
        <v>20.519902435713</v>
      </c>
      <c r="L13" s="8" t="n">
        <v>-14638.7763798365</v>
      </c>
      <c r="M13" s="8" t="n">
        <f aca="false">M12+L13</f>
        <v>-73890.7038902175</v>
      </c>
      <c r="N13" s="5" t="str">
        <f aca="false">IF(L13&gt;0,"прибыль",IF(L13&lt;0,"убыток","ноль"))</f>
        <v>убыток</v>
      </c>
      <c r="O13" s="6" t="n">
        <f aca="false">IF(L13&lt;0,O12+1,0)</f>
        <v>4</v>
      </c>
      <c r="P13" s="6" t="n">
        <v>6</v>
      </c>
    </row>
    <row r="14" customFormat="false" ht="15" hidden="false" customHeight="false" outlineLevel="0" collapsed="false">
      <c r="A14" s="6" t="n">
        <v>9</v>
      </c>
      <c r="B14" s="5" t="s">
        <v>72</v>
      </c>
      <c r="C14" s="5" t="s">
        <v>30</v>
      </c>
      <c r="D14" s="11" t="n">
        <v>44098</v>
      </c>
      <c r="E14" s="11" t="n">
        <v>44105</v>
      </c>
      <c r="F14" s="5" t="s">
        <v>73</v>
      </c>
      <c r="G14" s="12" t="n">
        <v>88358.1759284118</v>
      </c>
      <c r="H14" s="13" t="n">
        <v>2.199</v>
      </c>
      <c r="I14" s="13" t="n">
        <v>2.559</v>
      </c>
      <c r="J14" s="5" t="s">
        <v>74</v>
      </c>
      <c r="K14" s="8" t="n">
        <v>6.92694783098394</v>
      </c>
      <c r="L14" s="8" t="n">
        <v>-21212.2856248022</v>
      </c>
      <c r="M14" s="8" t="n">
        <f aca="false">M13+L14</f>
        <v>-95102.9895150197</v>
      </c>
      <c r="N14" s="5" t="str">
        <f aca="false">IF(L14&gt;0,"прибыль",IF(L14&lt;0,"убыток","ноль"))</f>
        <v>убыток</v>
      </c>
      <c r="O14" s="6" t="n">
        <f aca="false">IF(L14&lt;0,O13+1,0)</f>
        <v>5</v>
      </c>
      <c r="P14" s="6" t="n">
        <v>5</v>
      </c>
    </row>
    <row r="15" customFormat="false" ht="15" hidden="false" customHeight="false" outlineLevel="0" collapsed="false">
      <c r="A15" s="6" t="n">
        <v>10</v>
      </c>
      <c r="B15" s="5" t="s">
        <v>72</v>
      </c>
      <c r="C15" s="5" t="s">
        <v>30</v>
      </c>
      <c r="D15" s="11" t="n">
        <v>44105</v>
      </c>
      <c r="E15" s="11" t="n">
        <v>44141</v>
      </c>
      <c r="F15" s="5" t="s">
        <v>75</v>
      </c>
      <c r="G15" s="12" t="n">
        <v>117590.5860019</v>
      </c>
      <c r="H15" s="13" t="n">
        <v>2.559</v>
      </c>
      <c r="I15" s="13" t="n">
        <v>2.925</v>
      </c>
      <c r="J15" s="5" t="s">
        <v>74</v>
      </c>
      <c r="K15" s="8" t="n">
        <v>14.8478813213506</v>
      </c>
      <c r="L15" s="8" t="n">
        <v>1125.34248305814</v>
      </c>
      <c r="M15" s="8" t="n">
        <f aca="false">M14+L15</f>
        <v>-93977.6470319616</v>
      </c>
      <c r="N15" s="5" t="str">
        <f aca="false">IF(L15&gt;0,"прибыль",IF(L15&lt;0,"убыток","ноль"))</f>
        <v>прибыль</v>
      </c>
      <c r="O15" s="6" t="n">
        <f aca="false">IF(L15&lt;0,O14+1,0)</f>
        <v>0</v>
      </c>
      <c r="P15" s="6" t="n">
        <v>25</v>
      </c>
    </row>
    <row r="16" customFormat="false" ht="15" hidden="false" customHeight="false" outlineLevel="0" collapsed="false">
      <c r="A16" s="6" t="n">
        <v>11</v>
      </c>
      <c r="B16" s="5" t="s">
        <v>72</v>
      </c>
      <c r="C16" s="5" t="s">
        <v>25</v>
      </c>
      <c r="D16" s="11" t="n">
        <v>44099</v>
      </c>
      <c r="E16" s="11" t="n">
        <v>44145</v>
      </c>
      <c r="F16" s="5" t="s">
        <v>75</v>
      </c>
      <c r="G16" s="12" t="n">
        <v>66082.5197765371</v>
      </c>
      <c r="H16" s="13" t="n">
        <v>41.85</v>
      </c>
      <c r="I16" s="13" t="n">
        <v>42.29</v>
      </c>
      <c r="J16" s="5" t="s">
        <v>74</v>
      </c>
      <c r="K16" s="8" t="n">
        <v>5.64057223633278</v>
      </c>
      <c r="L16" s="8" t="n">
        <v>661.289407576062</v>
      </c>
      <c r="M16" s="8" t="n">
        <f aca="false">M15+L16</f>
        <v>-93316.3576243855</v>
      </c>
      <c r="N16" s="5" t="str">
        <f aca="false">IF(L16&gt;0,"прибыль",IF(L16&lt;0,"убыток","ноль"))</f>
        <v>прибыль</v>
      </c>
      <c r="O16" s="6" t="n">
        <f aca="false">IF(L16&lt;0,O15+1,0)</f>
        <v>0</v>
      </c>
      <c r="P16" s="6" t="n">
        <v>31</v>
      </c>
    </row>
    <row r="17" customFormat="false" ht="15" hidden="false" customHeight="false" outlineLevel="0" collapsed="false">
      <c r="A17" s="6" t="n">
        <v>12</v>
      </c>
      <c r="B17" s="5" t="s">
        <v>72</v>
      </c>
      <c r="C17" s="5" t="s">
        <v>30</v>
      </c>
      <c r="D17" s="11" t="n">
        <v>44141</v>
      </c>
      <c r="E17" s="11" t="n">
        <v>44145</v>
      </c>
      <c r="F17" s="5" t="s">
        <v>73</v>
      </c>
      <c r="G17" s="12" t="n">
        <v>134302.784155829</v>
      </c>
      <c r="H17" s="13" t="n">
        <v>2.925</v>
      </c>
      <c r="I17" s="13" t="n">
        <v>2.899</v>
      </c>
      <c r="K17" s="8" t="n">
        <v>13.8187848720473</v>
      </c>
      <c r="L17" s="8" t="n">
        <v>-1728.01205414769</v>
      </c>
      <c r="M17" s="8" t="n">
        <f aca="false">M16+L17</f>
        <v>-95044.3696785332</v>
      </c>
      <c r="N17" s="5" t="str">
        <f aca="false">IF(L17&gt;0,"прибыль",IF(L17&lt;0,"убыток","ноль"))</f>
        <v>убыток</v>
      </c>
      <c r="O17" s="6" t="n">
        <f aca="false">IF(L17&lt;0,O16+1,0)</f>
        <v>1</v>
      </c>
      <c r="P17" s="6" t="n">
        <v>2</v>
      </c>
    </row>
    <row r="18" customFormat="false" ht="15" hidden="false" customHeight="false" outlineLevel="0" collapsed="false">
      <c r="A18" s="6" t="n">
        <v>13</v>
      </c>
      <c r="B18" s="5" t="s">
        <v>72</v>
      </c>
      <c r="C18" s="5" t="s">
        <v>25</v>
      </c>
      <c r="D18" s="11" t="n">
        <v>44145</v>
      </c>
      <c r="E18" s="11" t="n">
        <v>44169</v>
      </c>
      <c r="F18" s="5" t="s">
        <v>75</v>
      </c>
      <c r="G18" s="12" t="n">
        <v>185295.387384928</v>
      </c>
      <c r="H18" s="13" t="n">
        <v>42.29</v>
      </c>
      <c r="I18" s="13" t="n">
        <v>48.64</v>
      </c>
      <c r="J18" s="5" t="s">
        <v>74</v>
      </c>
      <c r="K18" s="8" t="n">
        <v>20.7163072375444</v>
      </c>
      <c r="L18" s="8" t="n">
        <v>-26691.6847534584</v>
      </c>
      <c r="M18" s="8" t="n">
        <f aca="false">M17+L18</f>
        <v>-121736.054431992</v>
      </c>
      <c r="N18" s="5" t="str">
        <f aca="false">IF(L18&gt;0,"прибыль",IF(L18&lt;0,"убыток","ноль"))</f>
        <v>убыток</v>
      </c>
      <c r="O18" s="6" t="n">
        <f aca="false">IF(L18&lt;0,O17+1,0)</f>
        <v>2</v>
      </c>
      <c r="P18" s="6" t="n">
        <v>18</v>
      </c>
    </row>
    <row r="19" customFormat="false" ht="15" hidden="false" customHeight="false" outlineLevel="0" collapsed="false">
      <c r="A19" s="6" t="n">
        <v>14</v>
      </c>
      <c r="B19" s="5" t="s">
        <v>72</v>
      </c>
      <c r="C19" s="5" t="s">
        <v>25</v>
      </c>
      <c r="D19" s="11" t="n">
        <v>44169</v>
      </c>
      <c r="E19" s="11" t="n">
        <v>44202</v>
      </c>
      <c r="F19" s="5" t="s">
        <v>73</v>
      </c>
      <c r="G19" s="12" t="n">
        <v>116156.449351441</v>
      </c>
      <c r="H19" s="13" t="n">
        <v>48.64</v>
      </c>
      <c r="I19" s="13" t="n">
        <v>53.65</v>
      </c>
      <c r="J19" s="5" t="s">
        <v>74</v>
      </c>
      <c r="K19" s="8" t="n">
        <v>13.8676197170727</v>
      </c>
      <c r="L19" s="8" t="n">
        <v>9726.21524081309</v>
      </c>
      <c r="M19" s="8" t="n">
        <f aca="false">M18+L19</f>
        <v>-112009.839191179</v>
      </c>
      <c r="N19" s="5" t="str">
        <f aca="false">IF(L19&gt;0,"прибыль",IF(L19&lt;0,"убыток","ноль"))</f>
        <v>прибыль</v>
      </c>
      <c r="O19" s="6" t="n">
        <f aca="false">IF(L19&lt;0,O18+1,0)</f>
        <v>0</v>
      </c>
      <c r="P19" s="6" t="n">
        <v>21</v>
      </c>
    </row>
    <row r="20" customFormat="false" ht="15" hidden="false" customHeight="false" outlineLevel="0" collapsed="false">
      <c r="A20" s="6" t="n">
        <v>15</v>
      </c>
      <c r="B20" s="5" t="s">
        <v>72</v>
      </c>
      <c r="C20" s="5" t="s">
        <v>30</v>
      </c>
      <c r="D20" s="11" t="n">
        <v>44145</v>
      </c>
      <c r="E20" s="11" t="n">
        <v>44232</v>
      </c>
      <c r="F20" s="5" t="s">
        <v>75</v>
      </c>
      <c r="G20" s="12" t="n">
        <v>38878.6088063643</v>
      </c>
      <c r="H20" s="13" t="n">
        <v>2.899</v>
      </c>
      <c r="I20" s="13" t="n">
        <v>2.968</v>
      </c>
      <c r="J20" s="5" t="s">
        <v>74</v>
      </c>
      <c r="K20" s="8" t="n">
        <v>2.98813368775831</v>
      </c>
      <c r="L20" s="8" t="n">
        <v>2678.40425476733</v>
      </c>
      <c r="M20" s="8" t="n">
        <f aca="false">M19+L20</f>
        <v>-109331.434936411</v>
      </c>
      <c r="N20" s="5" t="str">
        <f aca="false">IF(L20&gt;0,"прибыль",IF(L20&lt;0,"убыток","ноль"))</f>
        <v>прибыль</v>
      </c>
      <c r="O20" s="6" t="n">
        <f aca="false">IF(L20&lt;0,O19+1,0)</f>
        <v>0</v>
      </c>
      <c r="P20" s="6" t="n">
        <v>60</v>
      </c>
    </row>
    <row r="21" customFormat="false" ht="15" hidden="false" customHeight="false" outlineLevel="0" collapsed="false">
      <c r="A21" s="6" t="n">
        <v>16</v>
      </c>
      <c r="B21" s="5" t="s">
        <v>72</v>
      </c>
      <c r="C21" s="5" t="s">
        <v>25</v>
      </c>
      <c r="D21" s="11" t="n">
        <v>44202</v>
      </c>
      <c r="E21" s="11" t="n">
        <v>44252</v>
      </c>
      <c r="F21" s="5" t="s">
        <v>73</v>
      </c>
      <c r="G21" s="12" t="n">
        <v>67761.2547266973</v>
      </c>
      <c r="H21" s="13" t="n">
        <v>53.65</v>
      </c>
      <c r="I21" s="13" t="n">
        <v>67.09</v>
      </c>
      <c r="J21" s="5" t="s">
        <v>74</v>
      </c>
      <c r="K21" s="8" t="n">
        <v>8.54169145445893</v>
      </c>
      <c r="L21" s="8" t="n">
        <v>19362.0074024487</v>
      </c>
      <c r="M21" s="8" t="n">
        <f aca="false">M20+L21</f>
        <v>-89969.4275339625</v>
      </c>
      <c r="N21" s="5" t="str">
        <f aca="false">IF(L21&gt;0,"прибыль",IF(L21&lt;0,"убыток","ноль"))</f>
        <v>прибыль</v>
      </c>
      <c r="O21" s="6" t="n">
        <f aca="false">IF(L21&lt;0,O20+1,0)</f>
        <v>0</v>
      </c>
      <c r="P21" s="6" t="n">
        <v>35</v>
      </c>
    </row>
    <row r="22" customFormat="false" ht="15" hidden="false" customHeight="false" outlineLevel="0" collapsed="false">
      <c r="A22" s="6" t="n">
        <v>17</v>
      </c>
      <c r="B22" s="5" t="s">
        <v>72</v>
      </c>
      <c r="C22" s="5" t="s">
        <v>25</v>
      </c>
      <c r="D22" s="11" t="n">
        <v>44252</v>
      </c>
      <c r="E22" s="11" t="n">
        <v>44260</v>
      </c>
      <c r="F22" s="5" t="s">
        <v>73</v>
      </c>
      <c r="G22" s="12" t="n">
        <v>64604.7180612336</v>
      </c>
      <c r="H22" s="13" t="n">
        <v>67.09</v>
      </c>
      <c r="I22" s="13" t="n">
        <v>67.19</v>
      </c>
      <c r="J22" s="5" t="s">
        <v>74</v>
      </c>
      <c r="K22" s="8" t="n">
        <v>4.33238727534547</v>
      </c>
      <c r="L22" s="8" t="n">
        <v>22038.6950584004</v>
      </c>
      <c r="M22" s="8" t="n">
        <f aca="false">M21+L22</f>
        <v>-67930.7324755621</v>
      </c>
      <c r="N22" s="5" t="str">
        <f aca="false">IF(L22&gt;0,"прибыль",IF(L22&lt;0,"убыток","ноль"))</f>
        <v>прибыль</v>
      </c>
      <c r="O22" s="6" t="n">
        <f aca="false">IF(L22&lt;0,O21+1,0)</f>
        <v>0</v>
      </c>
      <c r="P22" s="6" t="n">
        <v>6</v>
      </c>
    </row>
    <row r="23" customFormat="false" ht="15" hidden="false" customHeight="false" outlineLevel="0" collapsed="false">
      <c r="A23" s="6" t="n">
        <v>18</v>
      </c>
      <c r="B23" s="5" t="s">
        <v>72</v>
      </c>
      <c r="C23" s="5" t="s">
        <v>25</v>
      </c>
      <c r="D23" s="11" t="n">
        <v>44260</v>
      </c>
      <c r="E23" s="11" t="n">
        <v>44274</v>
      </c>
      <c r="F23" s="5" t="s">
        <v>73</v>
      </c>
      <c r="G23" s="12" t="n">
        <v>56698.4926448176</v>
      </c>
      <c r="H23" s="13" t="n">
        <v>67.19</v>
      </c>
      <c r="I23" s="13" t="n">
        <v>62.87</v>
      </c>
      <c r="K23" s="8" t="n">
        <v>3.55600567077453</v>
      </c>
      <c r="L23" s="8" t="n">
        <v>14418.0647650021</v>
      </c>
      <c r="M23" s="8" t="n">
        <f aca="false">M22+L23</f>
        <v>-53512.66771056</v>
      </c>
      <c r="N23" s="5" t="str">
        <f aca="false">IF(L23&gt;0,"прибыль",IF(L23&lt;0,"убыток","ноль"))</f>
        <v>прибыль</v>
      </c>
      <c r="O23" s="6" t="n">
        <f aca="false">IF(L23&lt;0,O22+1,0)</f>
        <v>0</v>
      </c>
      <c r="P23" s="6" t="n">
        <v>9</v>
      </c>
    </row>
    <row r="24" customFormat="false" ht="15" hidden="false" customHeight="false" outlineLevel="0" collapsed="false">
      <c r="A24" s="6" t="n">
        <v>19</v>
      </c>
      <c r="B24" s="5" t="s">
        <v>72</v>
      </c>
      <c r="C24" s="5" t="s">
        <v>25</v>
      </c>
      <c r="D24" s="11" t="n">
        <v>44274</v>
      </c>
      <c r="E24" s="11" t="n">
        <v>44284</v>
      </c>
      <c r="F24" s="5" t="s">
        <v>73</v>
      </c>
      <c r="G24" s="12" t="n">
        <v>31002.6289275427</v>
      </c>
      <c r="H24" s="13" t="n">
        <v>62.87</v>
      </c>
      <c r="I24" s="13" t="n">
        <v>64.4</v>
      </c>
      <c r="K24" s="8" t="n">
        <v>1.99097073479447</v>
      </c>
      <c r="L24" s="8" t="n">
        <v>8814.79479761187</v>
      </c>
      <c r="M24" s="8" t="n">
        <f aca="false">M23+L24</f>
        <v>-44697.8729129481</v>
      </c>
      <c r="N24" s="5" t="str">
        <f aca="false">IF(L24&gt;0,"прибыль",IF(L24&lt;0,"убыток","ноль"))</f>
        <v>прибыль</v>
      </c>
      <c r="O24" s="6" t="n">
        <f aca="false">IF(L24&lt;0,O23+1,0)</f>
        <v>0</v>
      </c>
      <c r="P24" s="6" t="n">
        <v>6</v>
      </c>
    </row>
    <row r="25" customFormat="false" ht="15" hidden="false" customHeight="false" outlineLevel="0" collapsed="false">
      <c r="A25" s="6" t="n">
        <v>20</v>
      </c>
      <c r="B25" s="5" t="s">
        <v>72</v>
      </c>
      <c r="C25" s="5" t="s">
        <v>30</v>
      </c>
      <c r="D25" s="11" t="n">
        <v>44232</v>
      </c>
      <c r="E25" s="11" t="n">
        <v>44327</v>
      </c>
      <c r="F25" s="5" t="s">
        <v>75</v>
      </c>
      <c r="G25" s="12" t="n">
        <v>316773.239907694</v>
      </c>
      <c r="H25" s="13" t="n">
        <v>2.968</v>
      </c>
      <c r="I25" s="13" t="n">
        <v>2.918</v>
      </c>
      <c r="J25" s="5" t="s">
        <v>74</v>
      </c>
      <c r="K25" s="8" t="n">
        <v>39.9592770163741</v>
      </c>
      <c r="L25" s="8" t="n">
        <v>8343.71057220767</v>
      </c>
      <c r="M25" s="8" t="n">
        <f aca="false">M24+L25</f>
        <v>-36354.1623407404</v>
      </c>
      <c r="N25" s="5" t="str">
        <f aca="false">IF(L25&gt;0,"прибыль",IF(L25&lt;0,"убыток","ноль"))</f>
        <v>прибыль</v>
      </c>
      <c r="O25" s="6" t="n">
        <f aca="false">IF(L25&lt;0,O24+1,0)</f>
        <v>0</v>
      </c>
      <c r="P25" s="6" t="n">
        <v>65</v>
      </c>
    </row>
    <row r="26" customFormat="false" ht="15" hidden="false" customHeight="false" outlineLevel="0" collapsed="false">
      <c r="A26" s="6" t="n">
        <v>21</v>
      </c>
      <c r="B26" s="5" t="s">
        <v>72</v>
      </c>
      <c r="C26" s="5" t="s">
        <v>30</v>
      </c>
      <c r="D26" s="11" t="n">
        <v>44327</v>
      </c>
      <c r="E26" s="11" t="n">
        <v>44335</v>
      </c>
      <c r="F26" s="5" t="s">
        <v>73</v>
      </c>
      <c r="G26" s="12" t="n">
        <v>70443.2404221174</v>
      </c>
      <c r="H26" s="13" t="n">
        <v>2.918</v>
      </c>
      <c r="I26" s="13" t="n">
        <v>3.003</v>
      </c>
      <c r="K26" s="8" t="n">
        <v>3.61636570321875</v>
      </c>
      <c r="L26" s="8" t="n">
        <v>1880.45727655422</v>
      </c>
      <c r="M26" s="8" t="n">
        <f aca="false">M25+L26</f>
        <v>-34473.7050641862</v>
      </c>
      <c r="N26" s="5" t="str">
        <f aca="false">IF(L26&gt;0,"прибыль",IF(L26&lt;0,"убыток","ноль"))</f>
        <v>прибыль</v>
      </c>
      <c r="O26" s="6" t="n">
        <f aca="false">IF(L26&lt;0,O25+1,0)</f>
        <v>0</v>
      </c>
      <c r="P26" s="6" t="n">
        <v>6</v>
      </c>
    </row>
    <row r="27" customFormat="false" ht="15" hidden="false" customHeight="false" outlineLevel="0" collapsed="false">
      <c r="A27" s="6" t="n">
        <v>22</v>
      </c>
      <c r="B27" s="5" t="s">
        <v>72</v>
      </c>
      <c r="C27" s="5" t="s">
        <v>25</v>
      </c>
      <c r="D27" s="11" t="n">
        <v>44284</v>
      </c>
      <c r="E27" s="11" t="n">
        <v>44340</v>
      </c>
      <c r="F27" s="5" t="s">
        <v>73</v>
      </c>
      <c r="G27" s="12" t="n">
        <v>67876.460054377</v>
      </c>
      <c r="H27" s="13" t="n">
        <v>64.4</v>
      </c>
      <c r="I27" s="13" t="n">
        <v>66.74</v>
      </c>
      <c r="J27" s="5" t="s">
        <v>74</v>
      </c>
      <c r="K27" s="8" t="n">
        <v>12.7650568931785</v>
      </c>
      <c r="L27" s="8" t="n">
        <v>8658.76432771369</v>
      </c>
      <c r="M27" s="8" t="n">
        <f aca="false">M26+L27</f>
        <v>-25814.9407364725</v>
      </c>
      <c r="N27" s="5" t="str">
        <f aca="false">IF(L27&gt;0,"прибыль",IF(L27&lt;0,"убыток","ноль"))</f>
        <v>прибыль</v>
      </c>
      <c r="O27" s="6" t="n">
        <f aca="false">IF(L27&lt;0,O26+1,0)</f>
        <v>0</v>
      </c>
      <c r="P27" s="6" t="n">
        <v>39</v>
      </c>
    </row>
    <row r="28" customFormat="false" ht="15" hidden="false" customHeight="false" outlineLevel="0" collapsed="false">
      <c r="A28" s="6" t="n">
        <v>23</v>
      </c>
      <c r="B28" s="5" t="s">
        <v>72</v>
      </c>
      <c r="C28" s="5" t="s">
        <v>25</v>
      </c>
      <c r="D28" s="11" t="n">
        <v>44340</v>
      </c>
      <c r="E28" s="11" t="n">
        <v>44384</v>
      </c>
      <c r="F28" s="5" t="s">
        <v>73</v>
      </c>
      <c r="G28" s="12" t="n">
        <v>182488.739957807</v>
      </c>
      <c r="H28" s="13" t="n">
        <v>66.74</v>
      </c>
      <c r="I28" s="13" t="n">
        <v>74.85</v>
      </c>
      <c r="J28" s="5" t="s">
        <v>74</v>
      </c>
      <c r="K28" s="8" t="n">
        <v>26.5807616743815</v>
      </c>
      <c r="L28" s="8" t="n">
        <v>19618.7871143964</v>
      </c>
      <c r="M28" s="8" t="n">
        <f aca="false">M27+L28</f>
        <v>-6196.15362207607</v>
      </c>
      <c r="N28" s="5" t="str">
        <f aca="false">IF(L28&gt;0,"прибыль",IF(L28&lt;0,"убыток","ноль"))</f>
        <v>прибыль</v>
      </c>
      <c r="O28" s="6" t="n">
        <f aca="false">IF(L28&lt;0,O27+1,0)</f>
        <v>0</v>
      </c>
      <c r="P28" s="6" t="n">
        <v>32</v>
      </c>
    </row>
    <row r="29" customFormat="false" ht="15" hidden="false" customHeight="false" outlineLevel="0" collapsed="false">
      <c r="A29" s="6" t="n">
        <v>24</v>
      </c>
      <c r="B29" s="5" t="s">
        <v>72</v>
      </c>
      <c r="C29" s="5" t="s">
        <v>30</v>
      </c>
      <c r="D29" s="11" t="n">
        <v>44335</v>
      </c>
      <c r="E29" s="11" t="n">
        <v>44385</v>
      </c>
      <c r="F29" s="5" t="s">
        <v>73</v>
      </c>
      <c r="G29" s="12" t="n">
        <v>46503.766164464</v>
      </c>
      <c r="H29" s="13" t="n">
        <v>3.003</v>
      </c>
      <c r="I29" s="13" t="n">
        <v>3.57</v>
      </c>
      <c r="J29" s="5" t="s">
        <v>74</v>
      </c>
      <c r="K29" s="8" t="n">
        <v>2.67783553421674</v>
      </c>
      <c r="L29" s="8" t="n">
        <v>7050.26668433651</v>
      </c>
      <c r="M29" s="8" t="n">
        <f aca="false">M28+L29</f>
        <v>854.113062260442</v>
      </c>
      <c r="N29" s="5" t="str">
        <f aca="false">IF(L29&gt;0,"прибыль",IF(L29&lt;0,"убыток","ноль"))</f>
        <v>прибыль</v>
      </c>
      <c r="O29" s="6" t="n">
        <f aca="false">IF(L29&lt;0,O28+1,0)</f>
        <v>0</v>
      </c>
      <c r="P29" s="6" t="n">
        <v>36</v>
      </c>
    </row>
    <row r="30" customFormat="false" ht="15" hidden="false" customHeight="false" outlineLevel="0" collapsed="false">
      <c r="A30" s="6" t="n">
        <v>25</v>
      </c>
      <c r="B30" s="5" t="s">
        <v>72</v>
      </c>
      <c r="C30" s="5" t="s">
        <v>25</v>
      </c>
      <c r="D30" s="11" t="n">
        <v>44384</v>
      </c>
      <c r="E30" s="11" t="n">
        <v>44397</v>
      </c>
      <c r="F30" s="5" t="s">
        <v>73</v>
      </c>
      <c r="G30" s="12" t="n">
        <v>116359.728195123</v>
      </c>
      <c r="H30" s="13" t="n">
        <v>74.85</v>
      </c>
      <c r="I30" s="13" t="n">
        <v>68.71</v>
      </c>
      <c r="K30" s="8" t="n">
        <v>5.9135592127918</v>
      </c>
      <c r="L30" s="8" t="n">
        <v>1905.5425014997</v>
      </c>
      <c r="M30" s="8" t="n">
        <f aca="false">M29+L30</f>
        <v>2759.65556376014</v>
      </c>
      <c r="N30" s="5" t="str">
        <f aca="false">IF(L30&gt;0,"прибыль",IF(L30&lt;0,"убыток","ноль"))</f>
        <v>прибыль</v>
      </c>
      <c r="O30" s="6" t="n">
        <f aca="false">IF(L30&lt;0,O29+1,0)</f>
        <v>0</v>
      </c>
      <c r="P30" s="6" t="n">
        <v>9</v>
      </c>
    </row>
    <row r="31" customFormat="false" ht="15" hidden="false" customHeight="false" outlineLevel="0" collapsed="false">
      <c r="A31" s="6" t="n">
        <v>26</v>
      </c>
      <c r="B31" s="5" t="s">
        <v>72</v>
      </c>
      <c r="C31" s="5" t="s">
        <v>25</v>
      </c>
      <c r="D31" s="11" t="n">
        <v>44397</v>
      </c>
      <c r="E31" s="11" t="n">
        <v>44400</v>
      </c>
      <c r="F31" s="5" t="s">
        <v>73</v>
      </c>
      <c r="G31" s="12" t="n">
        <v>54578.3585311285</v>
      </c>
      <c r="H31" s="13" t="n">
        <v>68.71</v>
      </c>
      <c r="I31" s="13" t="n">
        <v>73.62</v>
      </c>
      <c r="K31" s="8" t="n">
        <v>2.9713828406851</v>
      </c>
      <c r="L31" s="8" t="n">
        <v>4846.32689973283</v>
      </c>
      <c r="M31" s="8" t="n">
        <f aca="false">M30+L31</f>
        <v>7605.98246349297</v>
      </c>
      <c r="N31" s="5" t="str">
        <f aca="false">IF(L31&gt;0,"прибыль",IF(L31&lt;0,"убыток","ноль"))</f>
        <v>прибыль</v>
      </c>
      <c r="O31" s="6" t="n">
        <f aca="false">IF(L31&lt;0,O30+1,0)</f>
        <v>0</v>
      </c>
      <c r="P31" s="6" t="n">
        <v>3</v>
      </c>
    </row>
    <row r="32" customFormat="false" ht="15" hidden="false" customHeight="false" outlineLevel="0" collapsed="false">
      <c r="A32" s="6" t="n">
        <v>27</v>
      </c>
      <c r="B32" s="5" t="s">
        <v>72</v>
      </c>
      <c r="C32" s="5" t="s">
        <v>25</v>
      </c>
      <c r="D32" s="11" t="n">
        <v>44400</v>
      </c>
      <c r="E32" s="11" t="n">
        <v>44432</v>
      </c>
      <c r="F32" s="5" t="s">
        <v>73</v>
      </c>
      <c r="G32" s="12" t="n">
        <v>86503.8910701413</v>
      </c>
      <c r="H32" s="13" t="n">
        <v>73.62</v>
      </c>
      <c r="I32" s="13" t="n">
        <v>68.78</v>
      </c>
      <c r="J32" s="5" t="s">
        <v>74</v>
      </c>
      <c r="K32" s="8" t="n">
        <v>10.9280681037145</v>
      </c>
      <c r="L32" s="8" t="n">
        <v>3183.4567746357</v>
      </c>
      <c r="M32" s="8" t="n">
        <f aca="false">M31+L32</f>
        <v>10789.4392381287</v>
      </c>
      <c r="N32" s="5" t="str">
        <f aca="false">IF(L32&gt;0,"прибыль",IF(L32&lt;0,"убыток","ноль"))</f>
        <v>прибыль</v>
      </c>
      <c r="O32" s="6" t="n">
        <f aca="false">IF(L32&lt;0,O31+1,0)</f>
        <v>0</v>
      </c>
      <c r="P32" s="6" t="n">
        <v>22</v>
      </c>
    </row>
    <row r="33" customFormat="false" ht="15" hidden="false" customHeight="false" outlineLevel="0" collapsed="false">
      <c r="A33" s="6" t="n">
        <v>28</v>
      </c>
      <c r="B33" s="5" t="s">
        <v>72</v>
      </c>
      <c r="C33" s="5" t="s">
        <v>30</v>
      </c>
      <c r="D33" s="11" t="n">
        <v>44385</v>
      </c>
      <c r="E33" s="11" t="n">
        <v>44435</v>
      </c>
      <c r="F33" s="5" t="s">
        <v>73</v>
      </c>
      <c r="G33" s="12" t="n">
        <v>48302.69751047</v>
      </c>
      <c r="H33" s="13" t="n">
        <v>3.57</v>
      </c>
      <c r="I33" s="13" t="n">
        <v>4.184</v>
      </c>
      <c r="J33" s="5" t="s">
        <v>74</v>
      </c>
      <c r="K33" s="8" t="n">
        <v>3.28659437286965</v>
      </c>
      <c r="L33" s="8" t="n">
        <v>17425.90335255</v>
      </c>
      <c r="M33" s="8" t="n">
        <f aca="false">M32+L33</f>
        <v>28215.3425906787</v>
      </c>
      <c r="N33" s="5" t="str">
        <f aca="false">IF(L33&gt;0,"прибыль",IF(L33&lt;0,"убыток","ноль"))</f>
        <v>прибыль</v>
      </c>
      <c r="O33" s="6" t="n">
        <f aca="false">IF(L33&lt;0,O32+1,0)</f>
        <v>0</v>
      </c>
      <c r="P33" s="6" t="n">
        <v>36</v>
      </c>
    </row>
    <row r="34" customFormat="false" ht="15" hidden="false" customHeight="false" outlineLevel="0" collapsed="false">
      <c r="A34" s="6" t="n">
        <v>29</v>
      </c>
      <c r="B34" s="5" t="s">
        <v>72</v>
      </c>
      <c r="C34" s="5" t="s">
        <v>30</v>
      </c>
      <c r="D34" s="11" t="n">
        <v>44435</v>
      </c>
      <c r="E34" s="11" t="n">
        <v>44448</v>
      </c>
      <c r="F34" s="5" t="s">
        <v>73</v>
      </c>
      <c r="G34" s="12" t="n">
        <v>34169.4611030084</v>
      </c>
      <c r="H34" s="13" t="n">
        <v>4.184</v>
      </c>
      <c r="I34" s="13" t="n">
        <v>4.924</v>
      </c>
      <c r="J34" s="5" t="s">
        <v>74</v>
      </c>
      <c r="K34" s="8" t="n">
        <v>2.5982851095105</v>
      </c>
      <c r="L34" s="8" t="n">
        <v>17793.6428020922</v>
      </c>
      <c r="M34" s="8" t="n">
        <f aca="false">M33+L34</f>
        <v>46008.9853927709</v>
      </c>
      <c r="N34" s="5" t="str">
        <f aca="false">IF(L34&gt;0,"прибыль",IF(L34&lt;0,"убыток","ноль"))</f>
        <v>прибыль</v>
      </c>
      <c r="O34" s="6" t="n">
        <f aca="false">IF(L34&lt;0,O33+1,0)</f>
        <v>0</v>
      </c>
      <c r="P34" s="6" t="n">
        <v>9</v>
      </c>
    </row>
    <row r="35" customFormat="false" ht="15" hidden="false" customHeight="false" outlineLevel="0" collapsed="false">
      <c r="A35" s="6" t="n">
        <v>30</v>
      </c>
      <c r="B35" s="5" t="s">
        <v>72</v>
      </c>
      <c r="C35" s="5" t="s">
        <v>30</v>
      </c>
      <c r="D35" s="11" t="n">
        <v>44448</v>
      </c>
      <c r="E35" s="11" t="n">
        <v>44467</v>
      </c>
      <c r="F35" s="5" t="s">
        <v>73</v>
      </c>
      <c r="G35" s="12" t="n">
        <v>32279.0283662945</v>
      </c>
      <c r="H35" s="13" t="n">
        <v>4.924</v>
      </c>
      <c r="I35" s="13" t="n">
        <v>5.707</v>
      </c>
      <c r="K35" s="8" t="n">
        <v>2.84379019370177</v>
      </c>
      <c r="L35" s="8" t="n">
        <v>24593.9317175473</v>
      </c>
      <c r="M35" s="8" t="n">
        <f aca="false">M34+L35</f>
        <v>70602.9171103181</v>
      </c>
      <c r="N35" s="5" t="str">
        <f aca="false">IF(L35&gt;0,"прибыль",IF(L35&lt;0,"убыток","ноль"))</f>
        <v>прибыль</v>
      </c>
      <c r="O35" s="6" t="n">
        <f aca="false">IF(L35&lt;0,O34+1,0)</f>
        <v>0</v>
      </c>
      <c r="P35" s="6" t="n">
        <v>13</v>
      </c>
    </row>
    <row r="36" customFormat="false" ht="15" hidden="false" customHeight="false" outlineLevel="0" collapsed="false">
      <c r="A36" s="6" t="n">
        <v>31</v>
      </c>
      <c r="B36" s="5" t="s">
        <v>72</v>
      </c>
      <c r="C36" s="5" t="s">
        <v>30</v>
      </c>
      <c r="D36" s="11" t="n">
        <v>44467</v>
      </c>
      <c r="E36" s="11" t="n">
        <v>44474</v>
      </c>
      <c r="F36" s="5" t="s">
        <v>73</v>
      </c>
      <c r="G36" s="12" t="n">
        <v>15700.5541592705</v>
      </c>
      <c r="H36" s="13" t="n">
        <v>5.707</v>
      </c>
      <c r="I36" s="13" t="n">
        <v>5.82</v>
      </c>
      <c r="J36" s="5" t="s">
        <v>74</v>
      </c>
      <c r="K36" s="8" t="n">
        <v>1.38416325204721</v>
      </c>
      <c r="L36" s="8" t="n">
        <v>11981.3267184217</v>
      </c>
      <c r="M36" s="8" t="n">
        <f aca="false">M35+L36</f>
        <v>82584.2438287398</v>
      </c>
      <c r="N36" s="5" t="str">
        <f aca="false">IF(L36&gt;0,"прибыль",IF(L36&lt;0,"убыток","ноль"))</f>
        <v>прибыль</v>
      </c>
      <c r="O36" s="6" t="n">
        <f aca="false">IF(L36&lt;0,O35+1,0)</f>
        <v>0</v>
      </c>
      <c r="P36" s="6" t="n">
        <v>5</v>
      </c>
    </row>
    <row r="37" customFormat="false" ht="15" hidden="false" customHeight="false" outlineLevel="0" collapsed="false">
      <c r="A37" s="6" t="n">
        <v>32</v>
      </c>
      <c r="B37" s="5" t="s">
        <v>72</v>
      </c>
      <c r="C37" s="5" t="s">
        <v>30</v>
      </c>
      <c r="D37" s="11" t="n">
        <v>44474</v>
      </c>
      <c r="E37" s="11" t="n">
        <v>44495</v>
      </c>
      <c r="F37" s="5" t="s">
        <v>73</v>
      </c>
      <c r="G37" s="12" t="n">
        <v>11219.2411934513</v>
      </c>
      <c r="H37" s="13" t="n">
        <v>5.82</v>
      </c>
      <c r="I37" s="13" t="n">
        <v>6</v>
      </c>
      <c r="K37" s="8" t="n">
        <v>1.01914586720728</v>
      </c>
      <c r="L37" s="8" t="n">
        <v>9162.65700482714</v>
      </c>
      <c r="M37" s="8" t="n">
        <f aca="false">M36+L37</f>
        <v>91746.9008335669</v>
      </c>
      <c r="N37" s="5" t="str">
        <f aca="false">IF(L37&gt;0,"прибыль",IF(L37&lt;0,"убыток","ноль"))</f>
        <v>прибыль</v>
      </c>
      <c r="O37" s="6" t="n">
        <f aca="false">IF(L37&lt;0,O36+1,0)</f>
        <v>0</v>
      </c>
      <c r="P37" s="6" t="n">
        <v>15</v>
      </c>
    </row>
    <row r="38" customFormat="false" ht="15" hidden="false" customHeight="false" outlineLevel="0" collapsed="false">
      <c r="A38" s="6" t="n">
        <v>33</v>
      </c>
      <c r="B38" s="5" t="s">
        <v>72</v>
      </c>
      <c r="C38" s="5" t="s">
        <v>25</v>
      </c>
      <c r="D38" s="11" t="n">
        <v>44432</v>
      </c>
      <c r="E38" s="11" t="n">
        <v>44524</v>
      </c>
      <c r="F38" s="5" t="s">
        <v>73</v>
      </c>
      <c r="G38" s="12" t="n">
        <v>86513.3255643498</v>
      </c>
      <c r="H38" s="13" t="n">
        <v>68.78</v>
      </c>
      <c r="I38" s="13" t="n">
        <v>82.49</v>
      </c>
      <c r="J38" s="5" t="s">
        <v>74</v>
      </c>
      <c r="K38" s="8" t="n">
        <v>8.11396642005708</v>
      </c>
      <c r="L38" s="8" t="n">
        <v>19518.3999553899</v>
      </c>
      <c r="M38" s="8" t="n">
        <f aca="false">M37+L38</f>
        <v>111265.300788957</v>
      </c>
      <c r="N38" s="5" t="str">
        <f aca="false">IF(L38&gt;0,"прибыль",IF(L38&lt;0,"убыток","ноль"))</f>
        <v>прибыль</v>
      </c>
      <c r="O38" s="6" t="n">
        <f aca="false">IF(L38&lt;0,O37+1,0)</f>
        <v>0</v>
      </c>
      <c r="P38" s="6" t="n">
        <v>65</v>
      </c>
    </row>
    <row r="39" customFormat="false" ht="15" hidden="false" customHeight="false" outlineLevel="0" collapsed="false">
      <c r="A39" s="6" t="n">
        <v>34</v>
      </c>
      <c r="B39" s="5" t="s">
        <v>72</v>
      </c>
      <c r="C39" s="5" t="s">
        <v>25</v>
      </c>
      <c r="D39" s="11" t="n">
        <v>44524</v>
      </c>
      <c r="E39" s="11" t="n">
        <v>44529</v>
      </c>
      <c r="F39" s="5" t="s">
        <v>73</v>
      </c>
      <c r="G39" s="12" t="n">
        <v>65815.2468436867</v>
      </c>
      <c r="H39" s="13" t="n">
        <v>82.49</v>
      </c>
      <c r="I39" s="13" t="n">
        <v>72.53</v>
      </c>
      <c r="K39" s="8" t="n">
        <v>3.54413888455358</v>
      </c>
      <c r="L39" s="8" t="n">
        <v>5063.98670850037</v>
      </c>
      <c r="M39" s="8" t="n">
        <f aca="false">M38+L39</f>
        <v>116329.287497457</v>
      </c>
      <c r="N39" s="5" t="str">
        <f aca="false">IF(L39&gt;0,"прибыль",IF(L39&lt;0,"убыток","ноль"))</f>
        <v>прибыль</v>
      </c>
      <c r="O39" s="6" t="n">
        <f aca="false">IF(L39&lt;0,O38+1,0)</f>
        <v>0</v>
      </c>
      <c r="P39" s="6" t="n">
        <v>3</v>
      </c>
    </row>
    <row r="40" customFormat="false" ht="15" hidden="false" customHeight="false" outlineLevel="0" collapsed="false">
      <c r="A40" s="6" t="n">
        <v>35</v>
      </c>
      <c r="B40" s="5" t="s">
        <v>72</v>
      </c>
      <c r="C40" s="5" t="s">
        <v>30</v>
      </c>
      <c r="D40" s="11" t="n">
        <v>44495</v>
      </c>
      <c r="E40" s="11" t="n">
        <v>44532</v>
      </c>
      <c r="F40" s="5" t="s">
        <v>73</v>
      </c>
      <c r="G40" s="12" t="n">
        <v>75961.3103567313</v>
      </c>
      <c r="H40" s="13" t="n">
        <v>6</v>
      </c>
      <c r="I40" s="13" t="n">
        <v>4.257</v>
      </c>
      <c r="J40" s="5" t="s">
        <v>74</v>
      </c>
      <c r="K40" s="8" t="n">
        <v>9.94391047710057</v>
      </c>
      <c r="L40" s="8" t="n">
        <v>-930.359464242223</v>
      </c>
      <c r="M40" s="8" t="n">
        <f aca="false">M39+L40</f>
        <v>115398.928033215</v>
      </c>
      <c r="N40" s="5" t="str">
        <f aca="false">IF(L40&gt;0,"прибыль",IF(L40&lt;0,"убыток","ноль"))</f>
        <v>убыток</v>
      </c>
      <c r="O40" s="6" t="n">
        <f aca="false">IF(L40&lt;0,O39+1,0)</f>
        <v>1</v>
      </c>
      <c r="P40" s="6" t="n">
        <v>26</v>
      </c>
    </row>
    <row r="41" customFormat="false" ht="15" hidden="false" customHeight="false" outlineLevel="0" collapsed="false">
      <c r="A41" s="6" t="n">
        <v>36</v>
      </c>
      <c r="B41" s="5" t="s">
        <v>72</v>
      </c>
      <c r="C41" s="5" t="s">
        <v>25</v>
      </c>
      <c r="D41" s="11" t="n">
        <v>44529</v>
      </c>
      <c r="E41" s="11" t="n">
        <v>44545</v>
      </c>
      <c r="F41" s="5" t="s">
        <v>73</v>
      </c>
      <c r="G41" s="12" t="n">
        <v>134495.231544182</v>
      </c>
      <c r="H41" s="13" t="n">
        <v>72.53</v>
      </c>
      <c r="I41" s="13" t="n">
        <v>73.43</v>
      </c>
      <c r="J41" s="5" t="s">
        <v>74</v>
      </c>
      <c r="K41" s="8" t="n">
        <v>14.029191428166</v>
      </c>
      <c r="L41" s="8" t="n">
        <v>15777.9290445294</v>
      </c>
      <c r="M41" s="8" t="n">
        <f aca="false">M40+L41</f>
        <v>131176.857077744</v>
      </c>
      <c r="N41" s="5" t="str">
        <f aca="false">IF(L41&gt;0,"прибыль",IF(L41&lt;0,"убыток","ноль"))</f>
        <v>прибыль</v>
      </c>
      <c r="O41" s="6" t="n">
        <f aca="false">IF(L41&lt;0,O40+1,0)</f>
        <v>0</v>
      </c>
      <c r="P41" s="6" t="n">
        <v>12</v>
      </c>
    </row>
    <row r="42" customFormat="false" ht="15" hidden="false" customHeight="false" outlineLevel="0" collapsed="false">
      <c r="A42" s="6" t="n">
        <v>37</v>
      </c>
      <c r="B42" s="5" t="s">
        <v>72</v>
      </c>
      <c r="C42" s="5" t="s">
        <v>25</v>
      </c>
      <c r="D42" s="11" t="n">
        <v>44545</v>
      </c>
      <c r="E42" s="11" t="n">
        <v>44567</v>
      </c>
      <c r="F42" s="5" t="s">
        <v>75</v>
      </c>
      <c r="G42" s="12" t="n">
        <v>209736.325892176</v>
      </c>
      <c r="H42" s="13" t="n">
        <v>73.43</v>
      </c>
      <c r="I42" s="13" t="n">
        <v>80.1</v>
      </c>
      <c r="J42" s="5" t="s">
        <v>74</v>
      </c>
      <c r="K42" s="8" t="n">
        <v>29.0425034842277</v>
      </c>
      <c r="L42" s="8" t="n">
        <v>-17614.6827854176</v>
      </c>
      <c r="M42" s="8" t="n">
        <f aca="false">M41+L42</f>
        <v>113562.174292327</v>
      </c>
      <c r="N42" s="5" t="str">
        <f aca="false">IF(L42&gt;0,"прибыль",IF(L42&lt;0,"убыток","ноль"))</f>
        <v>убыток</v>
      </c>
      <c r="O42" s="6" t="n">
        <f aca="false">IF(L42&lt;0,O41+1,0)</f>
        <v>1</v>
      </c>
      <c r="P42" s="6" t="n">
        <v>15</v>
      </c>
    </row>
    <row r="43" customFormat="false" ht="15" hidden="false" customHeight="false" outlineLevel="0" collapsed="false">
      <c r="A43" s="6" t="n">
        <v>38</v>
      </c>
      <c r="B43" s="5" t="s">
        <v>72</v>
      </c>
      <c r="C43" s="5" t="s">
        <v>30</v>
      </c>
      <c r="D43" s="11" t="n">
        <v>44532</v>
      </c>
      <c r="E43" s="11" t="n">
        <v>44574</v>
      </c>
      <c r="F43" s="5" t="s">
        <v>75</v>
      </c>
      <c r="G43" s="12" t="n">
        <v>51162.5511057967</v>
      </c>
      <c r="H43" s="13" t="n">
        <v>4.257</v>
      </c>
      <c r="I43" s="13" t="n">
        <v>4.817</v>
      </c>
      <c r="J43" s="5" t="s">
        <v>74</v>
      </c>
      <c r="K43" s="8" t="n">
        <v>5.04093405340377</v>
      </c>
      <c r="L43" s="8" t="n">
        <v>-12577.3060345688</v>
      </c>
      <c r="M43" s="8" t="n">
        <f aca="false">M42+L43</f>
        <v>100984.868257758</v>
      </c>
      <c r="N43" s="5" t="str">
        <f aca="false">IF(L43&gt;0,"прибыль",IF(L43&lt;0,"убыток","ноль"))</f>
        <v>убыток</v>
      </c>
      <c r="O43" s="6" t="n">
        <f aca="false">IF(L43&lt;0,O42+1,0)</f>
        <v>2</v>
      </c>
      <c r="P43" s="6" t="n">
        <v>29</v>
      </c>
    </row>
    <row r="44" customFormat="false" ht="15" hidden="false" customHeight="false" outlineLevel="0" collapsed="false">
      <c r="A44" s="6" t="n">
        <v>39</v>
      </c>
      <c r="B44" s="5" t="s">
        <v>72</v>
      </c>
      <c r="C44" s="5" t="s">
        <v>30</v>
      </c>
      <c r="D44" s="11" t="n">
        <v>44574</v>
      </c>
      <c r="E44" s="11" t="n">
        <v>44595</v>
      </c>
      <c r="F44" s="5" t="s">
        <v>75</v>
      </c>
      <c r="G44" s="12" t="n">
        <v>18032.79330122</v>
      </c>
      <c r="H44" s="13" t="n">
        <v>4.817</v>
      </c>
      <c r="I44" s="13" t="n">
        <v>5.433</v>
      </c>
      <c r="J44" s="5" t="s">
        <v>74</v>
      </c>
      <c r="K44" s="8" t="n">
        <v>1.24380663269216</v>
      </c>
      <c r="L44" s="8" t="n">
        <v>-6844.58315925597</v>
      </c>
      <c r="M44" s="8" t="n">
        <f aca="false">M43+L44</f>
        <v>94140.285098502</v>
      </c>
      <c r="N44" s="5" t="str">
        <f aca="false">IF(L44&gt;0,"прибыль",IF(L44&lt;0,"убыток","ноль"))</f>
        <v>убыток</v>
      </c>
      <c r="O44" s="6" t="n">
        <f aca="false">IF(L44&lt;0,O43+1,0)</f>
        <v>3</v>
      </c>
      <c r="P44" s="6" t="n">
        <v>15</v>
      </c>
    </row>
    <row r="45" customFormat="false" ht="15" hidden="false" customHeight="false" outlineLevel="0" collapsed="false">
      <c r="A45" s="6" t="n">
        <v>40</v>
      </c>
      <c r="B45" s="5" t="s">
        <v>72</v>
      </c>
      <c r="C45" s="5" t="s">
        <v>25</v>
      </c>
      <c r="D45" s="11" t="n">
        <v>44567</v>
      </c>
      <c r="E45" s="11" t="n">
        <v>44608</v>
      </c>
      <c r="F45" s="5" t="s">
        <v>73</v>
      </c>
      <c r="G45" s="12" t="n">
        <v>79982.2638782909</v>
      </c>
      <c r="H45" s="13" t="n">
        <v>80.1</v>
      </c>
      <c r="I45" s="13" t="n">
        <v>93.12</v>
      </c>
      <c r="J45" s="5" t="s">
        <v>74</v>
      </c>
      <c r="K45" s="8" t="n">
        <v>7.87258342423193</v>
      </c>
      <c r="L45" s="8" t="n">
        <v>13215.744895025</v>
      </c>
      <c r="M45" s="8" t="n">
        <f aca="false">M44+L45</f>
        <v>107356.029993527</v>
      </c>
      <c r="N45" s="5" t="str">
        <f aca="false">IF(L45&gt;0,"прибыль",IF(L45&lt;0,"убыток","ноль"))</f>
        <v>прибыль</v>
      </c>
      <c r="O45" s="6" t="n">
        <f aca="false">IF(L45&lt;0,O44+1,0)</f>
        <v>0</v>
      </c>
      <c r="P45" s="6" t="n">
        <v>29</v>
      </c>
    </row>
    <row r="46" customFormat="false" ht="15" hidden="false" customHeight="false" outlineLevel="0" collapsed="false">
      <c r="A46" s="6" t="n">
        <v>41</v>
      </c>
      <c r="B46" s="5" t="s">
        <v>72</v>
      </c>
      <c r="C46" s="5" t="s">
        <v>25</v>
      </c>
      <c r="D46" s="11" t="n">
        <v>44608</v>
      </c>
      <c r="E46" s="11" t="n">
        <v>44623</v>
      </c>
      <c r="F46" s="5" t="s">
        <v>73</v>
      </c>
      <c r="G46" s="12" t="n">
        <v>169640.354389993</v>
      </c>
      <c r="H46" s="13" t="n">
        <v>93.12</v>
      </c>
      <c r="I46" s="13" t="n">
        <v>114.46</v>
      </c>
      <c r="J46" s="5" t="s">
        <v>74</v>
      </c>
      <c r="K46" s="8" t="n">
        <v>12.7068830214446</v>
      </c>
      <c r="L46" s="8" t="n">
        <v>84484.5991558764</v>
      </c>
      <c r="M46" s="8" t="n">
        <f aca="false">M45+L46</f>
        <v>191840.629149403</v>
      </c>
      <c r="N46" s="5" t="str">
        <f aca="false">IF(L46&gt;0,"прибыль",IF(L46&lt;0,"убыток","ноль"))</f>
        <v>прибыль</v>
      </c>
      <c r="O46" s="6" t="n">
        <f aca="false">IF(L46&lt;0,O45+1,0)</f>
        <v>0</v>
      </c>
      <c r="P46" s="6" t="n">
        <v>9</v>
      </c>
    </row>
    <row r="47" customFormat="false" ht="15" hidden="false" customHeight="false" outlineLevel="0" collapsed="false">
      <c r="A47" s="6" t="n">
        <v>42</v>
      </c>
      <c r="B47" s="5" t="s">
        <v>72</v>
      </c>
      <c r="C47" s="5" t="s">
        <v>25</v>
      </c>
      <c r="D47" s="11" t="n">
        <v>44623</v>
      </c>
      <c r="E47" s="11" t="n">
        <v>44630</v>
      </c>
      <c r="F47" s="5" t="s">
        <v>73</v>
      </c>
      <c r="G47" s="12" t="n">
        <v>20258.5238878686</v>
      </c>
      <c r="H47" s="13" t="n">
        <v>114.46</v>
      </c>
      <c r="I47" s="13" t="n">
        <v>120</v>
      </c>
      <c r="K47" s="8" t="n">
        <v>1.59043947565243</v>
      </c>
      <c r="L47" s="8" t="n">
        <v>11548.6751857043</v>
      </c>
      <c r="M47" s="8" t="n">
        <f aca="false">M46+L47</f>
        <v>203389.304335108</v>
      </c>
      <c r="N47" s="5" t="str">
        <f aca="false">IF(L47&gt;0,"прибыль",IF(L47&lt;0,"убыток","ноль"))</f>
        <v>прибыль</v>
      </c>
      <c r="O47" s="6" t="n">
        <f aca="false">IF(L47&lt;0,O46+1,0)</f>
        <v>0</v>
      </c>
      <c r="P47" s="6" t="n">
        <v>3</v>
      </c>
    </row>
    <row r="48" customFormat="false" ht="15" hidden="false" customHeight="false" outlineLevel="0" collapsed="false">
      <c r="A48" s="6" t="n">
        <v>43</v>
      </c>
      <c r="B48" s="5" t="s">
        <v>72</v>
      </c>
      <c r="C48" s="5" t="s">
        <v>30</v>
      </c>
      <c r="D48" s="11" t="n">
        <v>44595</v>
      </c>
      <c r="E48" s="11" t="n">
        <v>44638</v>
      </c>
      <c r="F48" s="5" t="s">
        <v>75</v>
      </c>
      <c r="G48" s="12" t="n">
        <v>100479.972229163</v>
      </c>
      <c r="H48" s="13" t="n">
        <v>5.433</v>
      </c>
      <c r="I48" s="13" t="n">
        <v>4.67</v>
      </c>
      <c r="J48" s="5" t="s">
        <v>74</v>
      </c>
      <c r="K48" s="8" t="n">
        <v>13.4422460998426</v>
      </c>
      <c r="L48" s="8" t="n">
        <v>-12664.6009972088</v>
      </c>
      <c r="M48" s="8" t="n">
        <f aca="false">M47+L48</f>
        <v>190724.703337899</v>
      </c>
      <c r="N48" s="5" t="str">
        <f aca="false">IF(L48&gt;0,"прибыль",IF(L48&lt;0,"убыток","ноль"))</f>
        <v>убыток</v>
      </c>
      <c r="O48" s="6" t="n">
        <f aca="false">IF(L48&lt;0,O47+1,0)</f>
        <v>1</v>
      </c>
      <c r="P48" s="6" t="n">
        <v>27</v>
      </c>
    </row>
    <row r="49" customFormat="false" ht="15" hidden="false" customHeight="false" outlineLevel="0" collapsed="false">
      <c r="A49" s="6" t="n">
        <v>44</v>
      </c>
      <c r="B49" s="5" t="s">
        <v>72</v>
      </c>
      <c r="C49" s="5" t="s">
        <v>25</v>
      </c>
      <c r="D49" s="11" t="n">
        <v>44630</v>
      </c>
      <c r="E49" s="11" t="n">
        <v>44644</v>
      </c>
      <c r="F49" s="5" t="s">
        <v>73</v>
      </c>
      <c r="G49" s="12" t="n">
        <v>15146.4920285464</v>
      </c>
      <c r="H49" s="13" t="n">
        <v>120</v>
      </c>
      <c r="I49" s="13" t="n">
        <v>121.45</v>
      </c>
      <c r="K49" s="8" t="n">
        <v>1.20277244328893</v>
      </c>
      <c r="L49" s="8" t="n">
        <v>8907.75406478892</v>
      </c>
      <c r="M49" s="8" t="n">
        <f aca="false">M48+L49</f>
        <v>199632.457402688</v>
      </c>
      <c r="N49" s="5" t="str">
        <f aca="false">IF(L49&gt;0,"прибыль",IF(L49&lt;0,"убыток","ноль"))</f>
        <v>прибыль</v>
      </c>
      <c r="O49" s="6" t="n">
        <f aca="false">IF(L49&lt;0,O48+1,0)</f>
        <v>0</v>
      </c>
      <c r="P49" s="6" t="n">
        <v>10</v>
      </c>
    </row>
    <row r="50" customFormat="false" ht="15" hidden="false" customHeight="false" outlineLevel="0" collapsed="false">
      <c r="A50" s="6" t="n">
        <v>45</v>
      </c>
      <c r="B50" s="5" t="s">
        <v>72</v>
      </c>
      <c r="C50" s="5" t="s">
        <v>30</v>
      </c>
      <c r="D50" s="11" t="n">
        <v>44638</v>
      </c>
      <c r="E50" s="11" t="n">
        <v>44670</v>
      </c>
      <c r="F50" s="5" t="s">
        <v>73</v>
      </c>
      <c r="G50" s="12" t="n">
        <v>53923.0791084587</v>
      </c>
      <c r="H50" s="13" t="n">
        <v>4.67</v>
      </c>
      <c r="I50" s="13" t="n">
        <v>7.2</v>
      </c>
      <c r="J50" s="5" t="s">
        <v>74</v>
      </c>
      <c r="K50" s="8" t="n">
        <v>7.56580943793478</v>
      </c>
      <c r="L50" s="8" t="n">
        <v>25430.940648386</v>
      </c>
      <c r="M50" s="8" t="n">
        <f aca="false">M49+L50</f>
        <v>225063.398051074</v>
      </c>
      <c r="N50" s="5" t="str">
        <f aca="false">IF(L50&gt;0,"прибыль",IF(L50&lt;0,"убыток","ноль"))</f>
        <v>прибыль</v>
      </c>
      <c r="O50" s="6" t="n">
        <f aca="false">IF(L50&lt;0,O49+1,0)</f>
        <v>0</v>
      </c>
      <c r="P50" s="6" t="n">
        <v>22</v>
      </c>
    </row>
    <row r="51" customFormat="false" ht="15" hidden="false" customHeight="false" outlineLevel="0" collapsed="false">
      <c r="A51" s="6" t="n">
        <v>46</v>
      </c>
      <c r="B51" s="5" t="s">
        <v>72</v>
      </c>
      <c r="C51" s="5" t="s">
        <v>30</v>
      </c>
      <c r="D51" s="11" t="n">
        <v>44670</v>
      </c>
      <c r="E51" s="11" t="n">
        <v>44678</v>
      </c>
      <c r="F51" s="5" t="s">
        <v>73</v>
      </c>
      <c r="G51" s="12" t="n">
        <v>35378.4849111143</v>
      </c>
      <c r="H51" s="13" t="n">
        <v>7.2</v>
      </c>
      <c r="I51" s="13" t="n">
        <v>6.849</v>
      </c>
      <c r="K51" s="8" t="n">
        <v>2.47528261865855</v>
      </c>
      <c r="L51" s="8" t="n">
        <v>14124.6921794381</v>
      </c>
      <c r="M51" s="8" t="n">
        <f aca="false">M50+L51</f>
        <v>239188.090230512</v>
      </c>
      <c r="N51" s="5" t="str">
        <f aca="false">IF(L51&gt;0,"прибыль",IF(L51&lt;0,"убыток","ноль"))</f>
        <v>прибыль</v>
      </c>
      <c r="O51" s="6" t="n">
        <f aca="false">IF(L51&lt;0,O50+1,0)</f>
        <v>0</v>
      </c>
      <c r="P51" s="6" t="n">
        <v>6</v>
      </c>
    </row>
    <row r="52" customFormat="false" ht="15" hidden="false" customHeight="false" outlineLevel="0" collapsed="false">
      <c r="A52" s="6" t="n">
        <v>47</v>
      </c>
      <c r="B52" s="5" t="s">
        <v>72</v>
      </c>
      <c r="C52" s="5" t="s">
        <v>30</v>
      </c>
      <c r="D52" s="11" t="n">
        <v>44678</v>
      </c>
      <c r="E52" s="11" t="n">
        <v>44686</v>
      </c>
      <c r="F52" s="5" t="s">
        <v>73</v>
      </c>
      <c r="G52" s="12" t="n">
        <v>25809.0684968526</v>
      </c>
      <c r="H52" s="13" t="n">
        <v>6.849</v>
      </c>
      <c r="I52" s="13" t="n">
        <v>7.65</v>
      </c>
      <c r="J52" s="5" t="s">
        <v>74</v>
      </c>
      <c r="K52" s="8" t="n">
        <v>1.94497134239682</v>
      </c>
      <c r="L52" s="8" t="n">
        <v>13088.4133797414</v>
      </c>
      <c r="M52" s="8" t="n">
        <f aca="false">M51+L52</f>
        <v>252276.503610253</v>
      </c>
      <c r="N52" s="5" t="str">
        <f aca="false">IF(L52&gt;0,"прибыль",IF(L52&lt;0,"убыток","ноль"))</f>
        <v>прибыль</v>
      </c>
      <c r="O52" s="6" t="n">
        <f aca="false">IF(L52&lt;0,O51+1,0)</f>
        <v>0</v>
      </c>
      <c r="P52" s="6" t="n">
        <v>4</v>
      </c>
    </row>
    <row r="53" customFormat="false" ht="15" hidden="false" customHeight="false" outlineLevel="0" collapsed="false">
      <c r="A53" s="6" t="n">
        <v>48</v>
      </c>
      <c r="B53" s="5" t="s">
        <v>72</v>
      </c>
      <c r="C53" s="5" t="s">
        <v>30</v>
      </c>
      <c r="D53" s="11" t="n">
        <v>44686</v>
      </c>
      <c r="E53" s="11" t="n">
        <v>44727</v>
      </c>
      <c r="F53" s="5" t="s">
        <v>73</v>
      </c>
      <c r="G53" s="12" t="n">
        <v>24121.3071077533</v>
      </c>
      <c r="H53" s="13" t="n">
        <v>7.65</v>
      </c>
      <c r="I53" s="13" t="n">
        <v>7.513</v>
      </c>
      <c r="J53" s="5" t="s">
        <v>74</v>
      </c>
      <c r="K53" s="8" t="n">
        <v>3.64309343241289</v>
      </c>
      <c r="L53" s="8" t="n">
        <v>6318.38470606578</v>
      </c>
      <c r="M53" s="8" t="n">
        <f aca="false">M52+L53</f>
        <v>258594.888316319</v>
      </c>
      <c r="N53" s="5" t="str">
        <f aca="false">IF(L53&gt;0,"прибыль",IF(L53&lt;0,"убыток","ноль"))</f>
        <v>прибыль</v>
      </c>
      <c r="O53" s="6" t="n">
        <f aca="false">IF(L53&lt;0,O52+1,0)</f>
        <v>0</v>
      </c>
      <c r="P53" s="6" t="n">
        <v>26</v>
      </c>
    </row>
    <row r="54" customFormat="false" ht="15" hidden="false" customHeight="false" outlineLevel="0" collapsed="false">
      <c r="A54" s="6" t="n">
        <v>49</v>
      </c>
      <c r="B54" s="5" t="s">
        <v>72</v>
      </c>
      <c r="C54" s="5" t="s">
        <v>25</v>
      </c>
      <c r="D54" s="11" t="n">
        <v>44644</v>
      </c>
      <c r="E54" s="11" t="n">
        <v>44748</v>
      </c>
      <c r="F54" s="5" t="s">
        <v>73</v>
      </c>
      <c r="G54" s="12" t="n">
        <v>74092.5391115779</v>
      </c>
      <c r="H54" s="13" t="n">
        <v>121.45</v>
      </c>
      <c r="I54" s="13" t="n">
        <v>105.83</v>
      </c>
      <c r="J54" s="5" t="s">
        <v>74</v>
      </c>
      <c r="K54" s="8" t="n">
        <v>13.7095794660656</v>
      </c>
      <c r="L54" s="8" t="n">
        <v>8444.29680996974</v>
      </c>
      <c r="M54" s="8" t="n">
        <f aca="false">M53+L54</f>
        <v>267039.185126289</v>
      </c>
      <c r="N54" s="5" t="str">
        <f aca="false">IF(L54&gt;0,"прибыль",IF(L54&lt;0,"убыток","ноль"))</f>
        <v>прибыль</v>
      </c>
      <c r="O54" s="6" t="n">
        <f aca="false">IF(L54&lt;0,O53+1,0)</f>
        <v>0</v>
      </c>
      <c r="P54" s="6" t="n">
        <v>69</v>
      </c>
    </row>
    <row r="55" customFormat="false" ht="15" hidden="false" customHeight="false" outlineLevel="0" collapsed="false">
      <c r="A55" s="6" t="n">
        <v>50</v>
      </c>
      <c r="B55" s="5" t="s">
        <v>72</v>
      </c>
      <c r="C55" s="5" t="s">
        <v>30</v>
      </c>
      <c r="D55" s="11" t="n">
        <v>44727</v>
      </c>
      <c r="E55" s="11" t="n">
        <v>44755</v>
      </c>
      <c r="F55" s="5" t="s">
        <v>73</v>
      </c>
      <c r="G55" s="12" t="n">
        <v>111541.338761935</v>
      </c>
      <c r="H55" s="13" t="n">
        <v>7.513</v>
      </c>
      <c r="I55" s="13" t="n">
        <v>6.171</v>
      </c>
      <c r="J55" s="5" t="s">
        <v>74</v>
      </c>
      <c r="K55" s="8" t="n">
        <v>11.7647447526605</v>
      </c>
      <c r="L55" s="8" t="n">
        <v>-2509.15446696231</v>
      </c>
      <c r="M55" s="8" t="n">
        <f aca="false">M54+L55</f>
        <v>264530.030659326</v>
      </c>
      <c r="N55" s="5" t="str">
        <f aca="false">IF(L55&gt;0,"прибыль",IF(L55&lt;0,"убыток","ноль"))</f>
        <v>убыток</v>
      </c>
      <c r="O55" s="6" t="n">
        <f aca="false">IF(L55&lt;0,O54+1,0)</f>
        <v>1</v>
      </c>
      <c r="P55" s="6" t="n">
        <v>20</v>
      </c>
    </row>
    <row r="56" customFormat="false" ht="15" hidden="false" customHeight="false" outlineLevel="0" collapsed="false">
      <c r="A56" s="6" t="n">
        <v>51</v>
      </c>
      <c r="B56" s="5" t="s">
        <v>72</v>
      </c>
      <c r="C56" s="5" t="s">
        <v>25</v>
      </c>
      <c r="D56" s="11" t="n">
        <v>44748</v>
      </c>
      <c r="E56" s="11" t="n">
        <v>44761</v>
      </c>
      <c r="F56" s="5" t="s">
        <v>73</v>
      </c>
      <c r="G56" s="12" t="n">
        <v>36284.3358040449</v>
      </c>
      <c r="H56" s="13" t="n">
        <v>105.83</v>
      </c>
      <c r="I56" s="13" t="n">
        <v>106.05</v>
      </c>
      <c r="K56" s="8" t="n">
        <v>2.02485936372926</v>
      </c>
      <c r="L56" s="8" t="n">
        <v>4210.82661117651</v>
      </c>
      <c r="M56" s="8" t="n">
        <f aca="false">M55+L56</f>
        <v>268740.857270503</v>
      </c>
      <c r="N56" s="5" t="str">
        <f aca="false">IF(L56&gt;0,"прибыль",IF(L56&lt;0,"убыток","ноль"))</f>
        <v>прибыль</v>
      </c>
      <c r="O56" s="6" t="n">
        <f aca="false">IF(L56&lt;0,O55+1,0)</f>
        <v>0</v>
      </c>
      <c r="P56" s="6" t="n">
        <v>9</v>
      </c>
    </row>
    <row r="57" customFormat="false" ht="15" hidden="false" customHeight="false" outlineLevel="0" collapsed="false">
      <c r="A57" s="6" t="n">
        <v>52</v>
      </c>
      <c r="B57" s="5" t="s">
        <v>72</v>
      </c>
      <c r="C57" s="5" t="s">
        <v>30</v>
      </c>
      <c r="D57" s="11" t="n">
        <v>44755</v>
      </c>
      <c r="E57" s="11" t="n">
        <v>44761</v>
      </c>
      <c r="F57" s="5" t="s">
        <v>75</v>
      </c>
      <c r="G57" s="12" t="n">
        <v>22843.765058198</v>
      </c>
      <c r="H57" s="13" t="n">
        <v>6.171</v>
      </c>
      <c r="I57" s="13" t="n">
        <v>7.384</v>
      </c>
      <c r="K57" s="8" t="n">
        <v>1.37372597451533</v>
      </c>
      <c r="L57" s="8" t="n">
        <v>-4632.1281580831</v>
      </c>
      <c r="M57" s="8" t="n">
        <f aca="false">M56+L57</f>
        <v>264108.72911242</v>
      </c>
      <c r="N57" s="5" t="str">
        <f aca="false">IF(L57&gt;0,"прибыль",IF(L57&lt;0,"убыток","ноль"))</f>
        <v>убыток</v>
      </c>
      <c r="O57" s="6" t="n">
        <f aca="false">IF(L57&lt;0,O56+1,0)</f>
        <v>1</v>
      </c>
      <c r="P57" s="6" t="n">
        <v>4</v>
      </c>
    </row>
    <row r="58" customFormat="false" ht="15" hidden="false" customHeight="false" outlineLevel="0" collapsed="false">
      <c r="A58" s="6" t="n">
        <v>53</v>
      </c>
      <c r="B58" s="5" t="s">
        <v>72</v>
      </c>
      <c r="C58" s="5" t="s">
        <v>30</v>
      </c>
      <c r="D58" s="11" t="n">
        <v>44761</v>
      </c>
      <c r="E58" s="11" t="n">
        <v>44771</v>
      </c>
      <c r="F58" s="5" t="s">
        <v>75</v>
      </c>
      <c r="G58" s="12" t="n">
        <v>81884.0796545982</v>
      </c>
      <c r="H58" s="13" t="n">
        <v>7.384</v>
      </c>
      <c r="I58" s="13" t="n">
        <v>8.215</v>
      </c>
      <c r="J58" s="5" t="s">
        <v>74</v>
      </c>
      <c r="K58" s="8" t="n">
        <v>11.3092852178857</v>
      </c>
      <c r="L58" s="8" t="n">
        <v>-33298.5345110076</v>
      </c>
      <c r="M58" s="8" t="n">
        <f aca="false">M57+L58</f>
        <v>230810.194601412</v>
      </c>
      <c r="N58" s="5" t="str">
        <f aca="false">IF(L58&gt;0,"прибыль",IF(L58&lt;0,"убыток","ноль"))</f>
        <v>убыток</v>
      </c>
      <c r="O58" s="6" t="n">
        <f aca="false">IF(L58&lt;0,O57+1,0)</f>
        <v>2</v>
      </c>
      <c r="P58" s="6" t="n">
        <v>8</v>
      </c>
    </row>
    <row r="59" customFormat="false" ht="15" hidden="false" customHeight="false" outlineLevel="0" collapsed="false">
      <c r="A59" s="6" t="n">
        <v>54</v>
      </c>
      <c r="B59" s="5" t="s">
        <v>72</v>
      </c>
      <c r="C59" s="5" t="s">
        <v>25</v>
      </c>
      <c r="D59" s="11" t="n">
        <v>44761</v>
      </c>
      <c r="E59" s="11" t="n">
        <v>44803</v>
      </c>
      <c r="F59" s="5" t="s">
        <v>73</v>
      </c>
      <c r="G59" s="12" t="n">
        <v>51213.8983700614</v>
      </c>
      <c r="H59" s="13" t="n">
        <v>106.05</v>
      </c>
      <c r="I59" s="13" t="n">
        <v>104.77</v>
      </c>
      <c r="J59" s="5" t="s">
        <v>74</v>
      </c>
      <c r="K59" s="8" t="n">
        <v>8.9378352665271</v>
      </c>
      <c r="L59" s="8" t="n">
        <v>7113.40270933319</v>
      </c>
      <c r="M59" s="8" t="n">
        <f aca="false">M58+L59</f>
        <v>237923.597310745</v>
      </c>
      <c r="N59" s="5" t="str">
        <f aca="false">IF(L59&gt;0,"прибыль",IF(L59&lt;0,"убыток","ноль"))</f>
        <v>прибыль</v>
      </c>
      <c r="O59" s="6" t="n">
        <f aca="false">IF(L59&lt;0,O58+1,0)</f>
        <v>0</v>
      </c>
      <c r="P59" s="6" t="n">
        <v>30</v>
      </c>
    </row>
    <row r="60" customFormat="false" ht="15" hidden="false" customHeight="false" outlineLevel="0" collapsed="false">
      <c r="A60" s="6" t="n">
        <v>55</v>
      </c>
      <c r="B60" s="5" t="s">
        <v>72</v>
      </c>
      <c r="C60" s="5" t="s">
        <v>25</v>
      </c>
      <c r="D60" s="11" t="n">
        <v>44803</v>
      </c>
      <c r="E60" s="11" t="n">
        <v>44811</v>
      </c>
      <c r="F60" s="5" t="s">
        <v>73</v>
      </c>
      <c r="G60" s="12" t="n">
        <v>203777.306295142</v>
      </c>
      <c r="H60" s="13" t="n">
        <v>104.77</v>
      </c>
      <c r="I60" s="13" t="n">
        <v>94.85</v>
      </c>
      <c r="J60" s="5" t="s">
        <v>74</v>
      </c>
      <c r="K60" s="8" t="n">
        <v>20.5781795554315</v>
      </c>
      <c r="L60" s="8" t="n">
        <v>7819.17290077009</v>
      </c>
      <c r="M60" s="8" t="n">
        <f aca="false">M59+L60</f>
        <v>245742.770211516</v>
      </c>
      <c r="N60" s="5" t="str">
        <f aca="false">IF(L60&gt;0,"прибыль",IF(L60&lt;0,"убыток","ноль"))</f>
        <v>прибыль</v>
      </c>
      <c r="O60" s="6" t="n">
        <f aca="false">IF(L60&lt;0,O59+1,0)</f>
        <v>0</v>
      </c>
      <c r="P60" s="6" t="n">
        <v>6</v>
      </c>
    </row>
    <row r="61" customFormat="false" ht="15" hidden="false" customHeight="false" outlineLevel="0" collapsed="false">
      <c r="A61" s="6" t="n">
        <v>56</v>
      </c>
      <c r="B61" s="5" t="s">
        <v>72</v>
      </c>
      <c r="C61" s="5" t="s">
        <v>30</v>
      </c>
      <c r="D61" s="11" t="n">
        <v>44771</v>
      </c>
      <c r="E61" s="11" t="n">
        <v>44837</v>
      </c>
      <c r="F61" s="5" t="s">
        <v>73</v>
      </c>
      <c r="G61" s="12" t="n">
        <v>147522.098142021</v>
      </c>
      <c r="H61" s="13" t="n">
        <v>8.215</v>
      </c>
      <c r="I61" s="13" t="n">
        <v>6.99</v>
      </c>
      <c r="J61" s="5" t="s">
        <v>74</v>
      </c>
      <c r="K61" s="8" t="n">
        <v>13.7054551472179</v>
      </c>
      <c r="L61" s="8" t="n">
        <v>-34046.025360196</v>
      </c>
      <c r="M61" s="8" t="n">
        <f aca="false">M60+L61</f>
        <v>211696.74485132</v>
      </c>
      <c r="N61" s="5" t="str">
        <f aca="false">IF(L61&gt;0,"прибыль",IF(L61&lt;0,"убыток","ноль"))</f>
        <v>убыток</v>
      </c>
      <c r="O61" s="6" t="n">
        <f aca="false">IF(L61&lt;0,O60+1,0)</f>
        <v>1</v>
      </c>
      <c r="P61" s="6" t="n">
        <v>46</v>
      </c>
    </row>
    <row r="62" customFormat="false" ht="15" hidden="false" customHeight="false" outlineLevel="0" collapsed="false">
      <c r="A62" s="6" t="n">
        <v>57</v>
      </c>
      <c r="B62" s="5" t="s">
        <v>72</v>
      </c>
      <c r="C62" s="5" t="s">
        <v>30</v>
      </c>
      <c r="D62" s="11" t="n">
        <v>44837</v>
      </c>
      <c r="E62" s="11" t="n">
        <v>44860</v>
      </c>
      <c r="F62" s="5" t="s">
        <v>75</v>
      </c>
      <c r="G62" s="12" t="n">
        <v>67029.469079666</v>
      </c>
      <c r="H62" s="13" t="n">
        <v>6.99</v>
      </c>
      <c r="I62" s="13" t="n">
        <v>5.709</v>
      </c>
      <c r="K62" s="8" t="n">
        <v>6.90534010851623</v>
      </c>
      <c r="L62" s="8" t="n">
        <v>8716.91957064123</v>
      </c>
      <c r="M62" s="8" t="n">
        <f aca="false">M61+L62</f>
        <v>220413.664421961</v>
      </c>
      <c r="N62" s="5" t="str">
        <f aca="false">IF(L62&gt;0,"прибыль",IF(L62&lt;0,"убыток","ноль"))</f>
        <v>прибыль</v>
      </c>
      <c r="O62" s="6" t="n">
        <f aca="false">IF(L62&lt;0,O61+1,0)</f>
        <v>0</v>
      </c>
      <c r="P62" s="6" t="n">
        <v>17</v>
      </c>
    </row>
    <row r="63" customFormat="false" ht="15" hidden="false" customHeight="false" outlineLevel="0" collapsed="false">
      <c r="A63" s="6" t="n">
        <v>58</v>
      </c>
      <c r="B63" s="5" t="s">
        <v>72</v>
      </c>
      <c r="C63" s="5" t="s">
        <v>30</v>
      </c>
      <c r="D63" s="11" t="n">
        <v>44860</v>
      </c>
      <c r="E63" s="11" t="n">
        <v>44873</v>
      </c>
      <c r="F63" s="5" t="s">
        <v>75</v>
      </c>
      <c r="G63" s="12" t="n">
        <v>46371.229577809</v>
      </c>
      <c r="H63" s="13" t="n">
        <v>5.709</v>
      </c>
      <c r="I63" s="13" t="n">
        <v>6.75</v>
      </c>
      <c r="J63" s="5" t="s">
        <v>74</v>
      </c>
      <c r="K63" s="8" t="n">
        <v>2.23434510202466</v>
      </c>
      <c r="L63" s="8" t="n">
        <v>1682.09319221376</v>
      </c>
      <c r="M63" s="8" t="n">
        <f aca="false">M62+L63</f>
        <v>222095.757614175</v>
      </c>
      <c r="N63" s="5" t="str">
        <f aca="false">IF(L63&gt;0,"прибыль",IF(L63&lt;0,"убыток","ноль"))</f>
        <v>прибыль</v>
      </c>
      <c r="O63" s="6" t="n">
        <f aca="false">IF(L63&lt;0,O62+1,0)</f>
        <v>0</v>
      </c>
      <c r="P63" s="6" t="n">
        <v>8</v>
      </c>
    </row>
    <row r="64" customFormat="false" ht="15" hidden="false" customHeight="false" outlineLevel="0" collapsed="false">
      <c r="A64" s="6" t="n">
        <v>59</v>
      </c>
      <c r="B64" s="5" t="s">
        <v>72</v>
      </c>
      <c r="C64" s="5" t="s">
        <v>30</v>
      </c>
      <c r="D64" s="11" t="n">
        <v>44873</v>
      </c>
      <c r="E64" s="11" t="n">
        <v>44911</v>
      </c>
      <c r="F64" s="5" t="s">
        <v>75</v>
      </c>
      <c r="G64" s="12" t="n">
        <v>33182.5526269637</v>
      </c>
      <c r="H64" s="13" t="n">
        <v>6.75</v>
      </c>
      <c r="I64" s="13" t="n">
        <v>6.855</v>
      </c>
      <c r="J64" s="5" t="s">
        <v>74</v>
      </c>
      <c r="K64" s="8" t="n">
        <v>4.09968613993268</v>
      </c>
      <c r="L64" s="8" t="n">
        <v>528.83251030603</v>
      </c>
      <c r="M64" s="8" t="n">
        <f aca="false">M63+L64</f>
        <v>222624.590124481</v>
      </c>
      <c r="N64" s="5" t="str">
        <f aca="false">IF(L64&gt;0,"прибыль",IF(L64&lt;0,"убыток","ноль"))</f>
        <v>прибыль</v>
      </c>
      <c r="O64" s="6" t="n">
        <f aca="false">IF(L64&lt;0,O63+1,0)</f>
        <v>0</v>
      </c>
      <c r="P64" s="6" t="n">
        <v>28</v>
      </c>
    </row>
    <row r="65" customFormat="false" ht="15" hidden="false" customHeight="false" outlineLevel="0" collapsed="false">
      <c r="A65" s="6" t="n">
        <v>60</v>
      </c>
      <c r="B65" s="5" t="s">
        <v>72</v>
      </c>
      <c r="C65" s="5" t="s">
        <v>25</v>
      </c>
      <c r="D65" s="11" t="n">
        <v>44811</v>
      </c>
      <c r="E65" s="11" t="n">
        <v>44923</v>
      </c>
      <c r="F65" s="5" t="s">
        <v>75</v>
      </c>
      <c r="G65" s="12" t="n">
        <v>75411.0536635456</v>
      </c>
      <c r="H65" s="13" t="n">
        <v>94.85</v>
      </c>
      <c r="I65" s="13" t="n">
        <v>84.98</v>
      </c>
      <c r="J65" s="5" t="s">
        <v>74</v>
      </c>
      <c r="K65" s="8" t="n">
        <v>11.7275653054845</v>
      </c>
      <c r="L65" s="8" t="n">
        <v>8097.47740242987</v>
      </c>
      <c r="M65" s="8" t="n">
        <f aca="false">M64+L65</f>
        <v>230722.06752691</v>
      </c>
      <c r="N65" s="5" t="str">
        <f aca="false">IF(L65&gt;0,"прибыль",IF(L65&lt;0,"убыток","ноль"))</f>
        <v>прибыль</v>
      </c>
      <c r="O65" s="6" t="n">
        <f aca="false">IF(L65&lt;0,O64+1,0)</f>
        <v>0</v>
      </c>
      <c r="P65" s="6" t="n">
        <v>79</v>
      </c>
    </row>
    <row r="66" customFormat="false" ht="15" hidden="false" customHeight="false" outlineLevel="0" collapsed="false">
      <c r="A66" s="6" t="n">
        <v>61</v>
      </c>
      <c r="B66" s="5" t="s">
        <v>72</v>
      </c>
      <c r="C66" s="5" t="s">
        <v>30</v>
      </c>
      <c r="D66" s="11" t="n">
        <v>44911</v>
      </c>
      <c r="E66" s="11" t="n">
        <v>44985</v>
      </c>
      <c r="F66" s="5" t="s">
        <v>75</v>
      </c>
      <c r="G66" s="12" t="n">
        <v>49294.2296251178</v>
      </c>
      <c r="H66" s="13" t="n">
        <v>6.855</v>
      </c>
      <c r="I66" s="13" t="n">
        <v>2.797</v>
      </c>
      <c r="J66" s="5" t="s">
        <v>74</v>
      </c>
      <c r="K66" s="8" t="n">
        <v>6.90563046460957</v>
      </c>
      <c r="L66" s="8" t="n">
        <v>22035.7969505449</v>
      </c>
      <c r="M66" s="8" t="n">
        <f aca="false">M65+L66</f>
        <v>252757.864477455</v>
      </c>
      <c r="N66" s="5" t="str">
        <f aca="false">IF(L66&gt;0,"прибыль",IF(L66&lt;0,"убыток","ноль"))</f>
        <v>прибыль</v>
      </c>
      <c r="O66" s="6" t="n">
        <f aca="false">IF(L66&lt;0,O65+1,0)</f>
        <v>0</v>
      </c>
      <c r="P66" s="6" t="n">
        <v>50</v>
      </c>
    </row>
    <row r="67" customFormat="false" ht="15" hidden="false" customHeight="false" outlineLevel="0" collapsed="false">
      <c r="A67" s="6" t="n">
        <v>62</v>
      </c>
      <c r="B67" s="5" t="s">
        <v>72</v>
      </c>
      <c r="C67" s="5" t="s">
        <v>25</v>
      </c>
      <c r="D67" s="11" t="n">
        <v>44923</v>
      </c>
      <c r="E67" s="11" t="n">
        <v>45013</v>
      </c>
      <c r="F67" s="5" t="s">
        <v>75</v>
      </c>
      <c r="G67" s="12" t="n">
        <v>94400.2082648217</v>
      </c>
      <c r="H67" s="13" t="n">
        <v>84.98</v>
      </c>
      <c r="I67" s="13" t="n">
        <v>77.93</v>
      </c>
      <c r="J67" s="5" t="s">
        <v>74</v>
      </c>
      <c r="K67" s="8" t="n">
        <v>9.1608328901925</v>
      </c>
      <c r="L67" s="8" t="n">
        <v>22028.5183344928</v>
      </c>
      <c r="M67" s="8" t="n">
        <f aca="false">M66+L67</f>
        <v>274786.382811948</v>
      </c>
      <c r="N67" s="5" t="str">
        <f aca="false">IF(L67&gt;0,"прибыль",IF(L67&lt;0,"убыток","ноль"))</f>
        <v>прибыль</v>
      </c>
      <c r="O67" s="6" t="n">
        <f aca="false">IF(L67&lt;0,O66+1,0)</f>
        <v>0</v>
      </c>
      <c r="P67" s="6" t="n">
        <v>61</v>
      </c>
    </row>
    <row r="68" customFormat="false" ht="15" hidden="false" customHeight="false" outlineLevel="0" collapsed="false">
      <c r="A68" s="6" t="n">
        <v>63</v>
      </c>
      <c r="B68" s="5" t="s">
        <v>72</v>
      </c>
      <c r="C68" s="5" t="s">
        <v>30</v>
      </c>
      <c r="D68" s="11" t="n">
        <v>44985</v>
      </c>
      <c r="E68" s="11" t="n">
        <v>45034</v>
      </c>
      <c r="F68" s="5" t="s">
        <v>75</v>
      </c>
      <c r="G68" s="12" t="n">
        <v>57369.0685439474</v>
      </c>
      <c r="H68" s="13" t="n">
        <v>2.797</v>
      </c>
      <c r="I68" s="13" t="n">
        <v>2.327</v>
      </c>
      <c r="J68" s="5" t="s">
        <v>74</v>
      </c>
      <c r="K68" s="8" t="n">
        <v>6.78499083075946</v>
      </c>
      <c r="L68" s="8" t="n">
        <v>20766.9544336767</v>
      </c>
      <c r="M68" s="8" t="n">
        <f aca="false">M67+L68</f>
        <v>295553.337245625</v>
      </c>
      <c r="N68" s="5" t="str">
        <f aca="false">IF(L68&gt;0,"прибыль",IF(L68&lt;0,"убыток","ноль"))</f>
        <v>прибыль</v>
      </c>
      <c r="O68" s="6" t="n">
        <f aca="false">IF(L68&lt;0,O67+1,0)</f>
        <v>0</v>
      </c>
      <c r="P68" s="6" t="n">
        <v>34</v>
      </c>
    </row>
    <row r="69" customFormat="false" ht="15" hidden="false" customHeight="false" outlineLevel="0" collapsed="false">
      <c r="A69" s="6" t="n">
        <v>64</v>
      </c>
      <c r="B69" s="5" t="s">
        <v>72</v>
      </c>
      <c r="C69" s="5" t="s">
        <v>25</v>
      </c>
      <c r="D69" s="11" t="n">
        <v>45013</v>
      </c>
      <c r="E69" s="11" t="n">
        <v>45054</v>
      </c>
      <c r="F69" s="5" t="s">
        <v>75</v>
      </c>
      <c r="G69" s="12" t="n">
        <v>121813.91000149</v>
      </c>
      <c r="H69" s="13" t="n">
        <v>77.93</v>
      </c>
      <c r="I69" s="13" t="n">
        <v>76.75</v>
      </c>
      <c r="J69" s="5" t="s">
        <v>74</v>
      </c>
      <c r="K69" s="8" t="n">
        <v>13.3297451015837</v>
      </c>
      <c r="L69" s="8" t="n">
        <v>26447.710881002</v>
      </c>
      <c r="M69" s="8" t="n">
        <f aca="false">M68+L69</f>
        <v>322001.048126627</v>
      </c>
      <c r="N69" s="5" t="str">
        <f aca="false">IF(L69&gt;0,"прибыль",IF(L69&lt;0,"убыток","ноль"))</f>
        <v>прибыль</v>
      </c>
      <c r="O69" s="6" t="n">
        <f aca="false">IF(L69&lt;0,O68+1,0)</f>
        <v>0</v>
      </c>
      <c r="P69" s="6" t="n">
        <v>28</v>
      </c>
    </row>
    <row r="70" customFormat="false" ht="15" hidden="false" customHeight="false" outlineLevel="0" collapsed="false">
      <c r="A70" s="6" t="n">
        <v>65</v>
      </c>
      <c r="B70" s="5" t="s">
        <v>72</v>
      </c>
      <c r="C70" s="5" t="s">
        <v>30</v>
      </c>
      <c r="D70" s="11" t="n">
        <v>45034</v>
      </c>
      <c r="E70" s="11" t="n">
        <v>45120</v>
      </c>
      <c r="F70" s="5" t="s">
        <v>75</v>
      </c>
      <c r="G70" s="12" t="n">
        <v>209975.906702564</v>
      </c>
      <c r="H70" s="13" t="n">
        <v>2.327</v>
      </c>
      <c r="I70" s="13" t="n">
        <v>2.672</v>
      </c>
      <c r="J70" s="5" t="s">
        <v>74</v>
      </c>
      <c r="K70" s="8" t="n">
        <v>14.1600364471946</v>
      </c>
      <c r="L70" s="8" t="n">
        <v>68262.28277222</v>
      </c>
      <c r="M70" s="8" t="n">
        <f aca="false">M69+L70</f>
        <v>390263.330898847</v>
      </c>
      <c r="N70" s="5" t="str">
        <f aca="false">IF(L70&gt;0,"прибыль",IF(L70&lt;0,"убыток","ноль"))</f>
        <v>прибыль</v>
      </c>
      <c r="O70" s="6" t="n">
        <f aca="false">IF(L70&lt;0,O69+1,0)</f>
        <v>0</v>
      </c>
      <c r="P70" s="6" t="n">
        <v>59</v>
      </c>
    </row>
    <row r="71" customFormat="false" ht="15" hidden="false" customHeight="false" outlineLevel="0" collapsed="false">
      <c r="A71" s="6" t="n">
        <v>66</v>
      </c>
      <c r="B71" s="5" t="s">
        <v>72</v>
      </c>
      <c r="C71" s="5" t="s">
        <v>25</v>
      </c>
      <c r="D71" s="11" t="n">
        <v>45054</v>
      </c>
      <c r="E71" s="11" t="n">
        <v>45142</v>
      </c>
      <c r="F71" s="5" t="s">
        <v>75</v>
      </c>
      <c r="G71" s="12" t="n">
        <v>427650.477293125</v>
      </c>
      <c r="H71" s="13" t="n">
        <v>76.75</v>
      </c>
      <c r="I71" s="13" t="n">
        <v>85.5</v>
      </c>
      <c r="J71" s="5" t="s">
        <v>74</v>
      </c>
      <c r="K71" s="8" t="n">
        <v>39.7035354826076</v>
      </c>
      <c r="L71" s="8" t="n">
        <v>52968.0096610179</v>
      </c>
      <c r="M71" s="8" t="n">
        <f aca="false">M70+L71</f>
        <v>443231.340559865</v>
      </c>
      <c r="N71" s="5" t="str">
        <f aca="false">IF(L71&gt;0,"прибыль",IF(L71&lt;0,"убыток","ноль"))</f>
        <v>прибыль</v>
      </c>
      <c r="O71" s="6" t="n">
        <f aca="false">IF(L71&lt;0,O70+1,0)</f>
        <v>0</v>
      </c>
      <c r="P71" s="6" t="n">
        <v>62</v>
      </c>
    </row>
    <row r="72" customFormat="false" ht="15" hidden="false" customHeight="false" outlineLevel="0" collapsed="false">
      <c r="A72" s="6" t="n">
        <v>67</v>
      </c>
      <c r="B72" s="5" t="s">
        <v>72</v>
      </c>
      <c r="C72" s="5" t="s">
        <v>30</v>
      </c>
      <c r="D72" s="11" t="n">
        <v>45120</v>
      </c>
      <c r="E72" s="11" t="n">
        <v>45148</v>
      </c>
      <c r="F72" s="5" t="s">
        <v>73</v>
      </c>
      <c r="G72" s="12" t="n">
        <v>58299.2773704091</v>
      </c>
      <c r="H72" s="13" t="n">
        <v>2.672</v>
      </c>
      <c r="I72" s="13" t="n">
        <v>2.98</v>
      </c>
      <c r="J72" s="5" t="s">
        <v>74</v>
      </c>
      <c r="K72" s="8" t="n">
        <v>6.56993163385379</v>
      </c>
      <c r="L72" s="8" t="n">
        <v>8312.46938420015</v>
      </c>
      <c r="M72" s="8" t="n">
        <f aca="false">M71+L72</f>
        <v>451543.809944065</v>
      </c>
      <c r="N72" s="5" t="str">
        <f aca="false">IF(L72&gt;0,"прибыль",IF(L72&lt;0,"убыток","ноль"))</f>
        <v>прибыль</v>
      </c>
      <c r="O72" s="6" t="n">
        <f aca="false">IF(L72&lt;0,O71+1,0)</f>
        <v>0</v>
      </c>
      <c r="P72" s="6" t="n">
        <v>20</v>
      </c>
    </row>
    <row r="73" customFormat="false" ht="15" hidden="false" customHeight="false" outlineLevel="0" collapsed="false">
      <c r="A73" s="6" t="n">
        <v>68</v>
      </c>
      <c r="B73" s="5" t="s">
        <v>72</v>
      </c>
      <c r="C73" s="5" t="s">
        <v>25</v>
      </c>
      <c r="D73" s="11" t="n">
        <v>45142</v>
      </c>
      <c r="E73" s="11" t="n">
        <v>45198</v>
      </c>
      <c r="F73" s="5" t="s">
        <v>73</v>
      </c>
      <c r="G73" s="12" t="n">
        <v>129475.789948394</v>
      </c>
      <c r="H73" s="13" t="n">
        <v>85.5</v>
      </c>
      <c r="I73" s="13" t="n">
        <v>95.12</v>
      </c>
      <c r="J73" s="5" t="s">
        <v>74</v>
      </c>
      <c r="K73" s="8" t="n">
        <v>16.9527141775518</v>
      </c>
      <c r="L73" s="8" t="n">
        <v>9420.7081620559</v>
      </c>
      <c r="M73" s="8" t="n">
        <f aca="false">M72+L73</f>
        <v>460964.518106121</v>
      </c>
      <c r="N73" s="5" t="str">
        <f aca="false">IF(L73&gt;0,"прибыль",IF(L73&lt;0,"убыток","ноль"))</f>
        <v>прибыль</v>
      </c>
      <c r="O73" s="6" t="n">
        <f aca="false">IF(L73&lt;0,O72+1,0)</f>
        <v>0</v>
      </c>
      <c r="P73" s="6" t="n">
        <v>40</v>
      </c>
    </row>
    <row r="74" customFormat="false" ht="15" hidden="false" customHeight="false" outlineLevel="0" collapsed="false">
      <c r="A74" s="6" t="n">
        <v>69</v>
      </c>
      <c r="B74" s="5" t="s">
        <v>72</v>
      </c>
      <c r="C74" s="5" t="s">
        <v>25</v>
      </c>
      <c r="D74" s="11" t="n">
        <v>45198</v>
      </c>
      <c r="E74" s="11" t="n">
        <v>45204</v>
      </c>
      <c r="F74" s="5" t="s">
        <v>73</v>
      </c>
      <c r="G74" s="12" t="n">
        <v>135810.250590005</v>
      </c>
      <c r="H74" s="13" t="n">
        <v>95.12</v>
      </c>
      <c r="I74" s="13" t="n">
        <v>86.64</v>
      </c>
      <c r="J74" s="5" t="s">
        <v>74</v>
      </c>
      <c r="K74" s="8" t="n">
        <v>6.94919768081098</v>
      </c>
      <c r="L74" s="8" t="n">
        <v>3166.75382853405</v>
      </c>
      <c r="M74" s="8" t="n">
        <f aca="false">M73+L74</f>
        <v>464131.271934655</v>
      </c>
      <c r="N74" s="5" t="str">
        <f aca="false">IF(L74&gt;0,"прибыль",IF(L74&lt;0,"убыток","ноль"))</f>
        <v>прибыль</v>
      </c>
      <c r="O74" s="6" t="n">
        <f aca="false">IF(L74&lt;0,O73+1,0)</f>
        <v>0</v>
      </c>
      <c r="P74" s="6" t="n">
        <v>4</v>
      </c>
    </row>
    <row r="75" customFormat="false" ht="15" hidden="false" customHeight="false" outlineLevel="0" collapsed="false">
      <c r="A75" s="6" t="n">
        <v>70</v>
      </c>
      <c r="B75" s="5" t="s">
        <v>72</v>
      </c>
      <c r="C75" s="5" t="s">
        <v>30</v>
      </c>
      <c r="D75" s="11" t="n">
        <v>45148</v>
      </c>
      <c r="E75" s="11" t="n">
        <v>45208</v>
      </c>
      <c r="F75" s="5" t="s">
        <v>73</v>
      </c>
      <c r="G75" s="12" t="n">
        <v>43067.7736978341</v>
      </c>
      <c r="H75" s="13" t="n">
        <v>2.98</v>
      </c>
      <c r="I75" s="13" t="n">
        <v>3.32</v>
      </c>
      <c r="J75" s="5" t="s">
        <v>74</v>
      </c>
      <c r="K75" s="8" t="n">
        <v>4.41538514720867</v>
      </c>
      <c r="L75" s="8" t="n">
        <v>5501.71552353676</v>
      </c>
      <c r="M75" s="8" t="n">
        <f aca="false">M74+L75</f>
        <v>469632.987458192</v>
      </c>
      <c r="N75" s="5" t="str">
        <f aca="false">IF(L75&gt;0,"прибыль",IF(L75&lt;0,"убыток","ноль"))</f>
        <v>прибыль</v>
      </c>
      <c r="O75" s="6" t="n">
        <f aca="false">IF(L75&lt;0,O74+1,0)</f>
        <v>0</v>
      </c>
      <c r="P75" s="6" t="n">
        <v>42</v>
      </c>
    </row>
    <row r="76" customFormat="false" ht="15" hidden="false" customHeight="false" outlineLevel="0" collapsed="false">
      <c r="A76" s="6" t="n">
        <v>71</v>
      </c>
      <c r="B76" s="5" t="s">
        <v>72</v>
      </c>
      <c r="C76" s="5" t="s">
        <v>25</v>
      </c>
      <c r="D76" s="11" t="n">
        <v>45204</v>
      </c>
      <c r="E76" s="11" t="n">
        <v>45215</v>
      </c>
      <c r="F76" s="5" t="s">
        <v>73</v>
      </c>
      <c r="G76" s="12" t="n">
        <v>92917.2158231915</v>
      </c>
      <c r="H76" s="13" t="n">
        <v>86.64</v>
      </c>
      <c r="I76" s="13" t="n">
        <v>91.13</v>
      </c>
      <c r="K76" s="8" t="n">
        <v>4.99917427177296</v>
      </c>
      <c r="L76" s="8" t="n">
        <v>7061.27043799582</v>
      </c>
      <c r="M76" s="8" t="n">
        <f aca="false">M75+L76</f>
        <v>476694.257896188</v>
      </c>
      <c r="N76" s="5" t="str">
        <f aca="false">IF(L76&gt;0,"прибыль",IF(L76&lt;0,"убыток","ноль"))</f>
        <v>прибыль</v>
      </c>
      <c r="O76" s="6" t="n">
        <f aca="false">IF(L76&lt;0,O75+1,0)</f>
        <v>0</v>
      </c>
      <c r="P76" s="6" t="n">
        <v>7</v>
      </c>
    </row>
    <row r="77" customFormat="false" ht="15" hidden="false" customHeight="false" outlineLevel="0" collapsed="false">
      <c r="A77" s="6" t="n">
        <v>72</v>
      </c>
      <c r="B77" s="5" t="s">
        <v>72</v>
      </c>
      <c r="C77" s="5" t="s">
        <v>30</v>
      </c>
      <c r="D77" s="11" t="n">
        <v>45208</v>
      </c>
      <c r="E77" s="11" t="n">
        <v>45231</v>
      </c>
      <c r="F77" s="5" t="s">
        <v>73</v>
      </c>
      <c r="G77" s="12" t="n">
        <v>51626.1893771936</v>
      </c>
      <c r="H77" s="13" t="n">
        <v>3.32</v>
      </c>
      <c r="I77" s="13" t="n">
        <v>3.575</v>
      </c>
      <c r="J77" s="5" t="s">
        <v>74</v>
      </c>
      <c r="K77" s="8" t="n">
        <v>4.75753322746092</v>
      </c>
      <c r="L77" s="8" t="n">
        <v>7659.63930625891</v>
      </c>
      <c r="M77" s="8" t="n">
        <f aca="false">M76+L77</f>
        <v>484353.897202447</v>
      </c>
      <c r="N77" s="5" t="str">
        <f aca="false">IF(L77&gt;0,"прибыль",IF(L77&lt;0,"убыток","ноль"))</f>
        <v>прибыль</v>
      </c>
      <c r="O77" s="6" t="n">
        <f aca="false">IF(L77&lt;0,O76+1,0)</f>
        <v>0</v>
      </c>
      <c r="P77" s="6" t="n">
        <v>17</v>
      </c>
    </row>
    <row r="78" customFormat="false" ht="15" hidden="false" customHeight="false" outlineLevel="0" collapsed="false">
      <c r="A78" s="6" t="n">
        <v>73</v>
      </c>
      <c r="B78" s="5" t="s">
        <v>72</v>
      </c>
      <c r="C78" s="5" t="s">
        <v>25</v>
      </c>
      <c r="D78" s="11" t="n">
        <v>45215</v>
      </c>
      <c r="E78" s="11" t="n">
        <v>45254</v>
      </c>
      <c r="F78" s="5" t="s">
        <v>73</v>
      </c>
      <c r="G78" s="12" t="n">
        <v>282805.337583243</v>
      </c>
      <c r="H78" s="13" t="n">
        <v>91.13</v>
      </c>
      <c r="I78" s="13" t="n">
        <v>81.76</v>
      </c>
      <c r="J78" s="5" t="s">
        <v>74</v>
      </c>
      <c r="K78" s="8" t="n">
        <v>31.7618002379969</v>
      </c>
      <c r="L78" s="8" t="n">
        <v>-4139.60049731669</v>
      </c>
      <c r="M78" s="8" t="n">
        <f aca="false">M77+L78</f>
        <v>480214.29670513</v>
      </c>
      <c r="N78" s="5" t="str">
        <f aca="false">IF(L78&gt;0,"прибыль",IF(L78&lt;0,"убыток","ноль"))</f>
        <v>убыток</v>
      </c>
      <c r="O78" s="6" t="n">
        <f aca="false">IF(L78&lt;0,O77+1,0)</f>
        <v>1</v>
      </c>
      <c r="P78" s="6" t="n">
        <v>29</v>
      </c>
    </row>
    <row r="79" customFormat="false" ht="15" hidden="false" customHeight="false" outlineLevel="0" collapsed="false">
      <c r="A79" s="6" t="n">
        <v>74</v>
      </c>
      <c r="B79" s="5" t="s">
        <v>72</v>
      </c>
      <c r="C79" s="5" t="s">
        <v>30</v>
      </c>
      <c r="D79" s="11" t="n">
        <v>45231</v>
      </c>
      <c r="E79" s="11" t="n">
        <v>45258</v>
      </c>
      <c r="F79" s="5" t="s">
        <v>73</v>
      </c>
      <c r="G79" s="12" t="n">
        <v>160637.085900633</v>
      </c>
      <c r="H79" s="13" t="n">
        <v>3.575</v>
      </c>
      <c r="I79" s="13" t="n">
        <v>2.794</v>
      </c>
      <c r="K79" s="8" t="n">
        <v>16.8154318219668</v>
      </c>
      <c r="L79" s="8" t="n">
        <v>-17277.5467760676</v>
      </c>
      <c r="M79" s="8" t="n">
        <f aca="false">M78+L79</f>
        <v>462936.749929062</v>
      </c>
      <c r="N79" s="5" t="str">
        <f aca="false">IF(L79&gt;0,"прибыль",IF(L79&lt;0,"убыток","ноль"))</f>
        <v>убыток</v>
      </c>
      <c r="O79" s="6" t="n">
        <f aca="false">IF(L79&lt;0,O78+1,0)</f>
        <v>2</v>
      </c>
      <c r="P79" s="6" t="n">
        <v>19</v>
      </c>
    </row>
    <row r="80" customFormat="false" ht="15" hidden="false" customHeight="false" outlineLevel="0" collapsed="false">
      <c r="A80" s="6" t="n">
        <v>75</v>
      </c>
      <c r="B80" s="5" t="s">
        <v>72</v>
      </c>
      <c r="C80" s="5" t="s">
        <v>30</v>
      </c>
      <c r="D80" s="11" t="n">
        <v>45258</v>
      </c>
      <c r="E80" s="11" t="n">
        <v>45278</v>
      </c>
      <c r="F80" s="5" t="s">
        <v>75</v>
      </c>
      <c r="G80" s="12" t="n">
        <v>63821.5768893475</v>
      </c>
      <c r="H80" s="13" t="n">
        <v>2.794</v>
      </c>
      <c r="I80" s="13" t="n">
        <v>2.527</v>
      </c>
      <c r="J80" s="5" t="s">
        <v>74</v>
      </c>
      <c r="K80" s="8" t="n">
        <v>8.25664056098643</v>
      </c>
      <c r="L80" s="8" t="n">
        <v>5160.32762634037</v>
      </c>
      <c r="M80" s="8" t="n">
        <f aca="false">M79+L80</f>
        <v>468097.077555403</v>
      </c>
      <c r="N80" s="5" t="str">
        <f aca="false">IF(L80&gt;0,"прибыль",IF(L80&lt;0,"убыток","ноль"))</f>
        <v>прибыль</v>
      </c>
      <c r="O80" s="6" t="n">
        <f aca="false">IF(L80&lt;0,O79+1,0)</f>
        <v>0</v>
      </c>
      <c r="P80" s="6" t="n">
        <v>14</v>
      </c>
    </row>
    <row r="81" customFormat="false" ht="15" hidden="false" customHeight="false" outlineLevel="0" collapsed="false">
      <c r="A81" s="6" t="n">
        <v>76</v>
      </c>
      <c r="B81" s="5" t="s">
        <v>72</v>
      </c>
      <c r="C81" s="5" t="s">
        <v>30</v>
      </c>
      <c r="D81" s="11" t="n">
        <v>45278</v>
      </c>
      <c r="E81" s="11" t="n">
        <v>45282</v>
      </c>
      <c r="F81" s="5" t="s">
        <v>75</v>
      </c>
      <c r="G81" s="12" t="n">
        <v>47641.2672883882</v>
      </c>
      <c r="H81" s="13" t="n">
        <v>2.527</v>
      </c>
      <c r="I81" s="13" t="n">
        <v>2.579</v>
      </c>
      <c r="K81" s="8" t="n">
        <v>2.23490389724129</v>
      </c>
      <c r="L81" s="8" t="n">
        <v>2940.95443966518</v>
      </c>
      <c r="M81" s="8" t="n">
        <f aca="false">M80+L81</f>
        <v>471038.031995068</v>
      </c>
      <c r="N81" s="5" t="str">
        <f aca="false">IF(L81&gt;0,"прибыль",IF(L81&lt;0,"убыток","ноль"))</f>
        <v>прибыль</v>
      </c>
      <c r="O81" s="6" t="n">
        <f aca="false">IF(L81&lt;0,O80+1,0)</f>
        <v>0</v>
      </c>
      <c r="P81" s="6" t="n">
        <v>4</v>
      </c>
    </row>
    <row r="82" customFormat="false" ht="15" hidden="false" customHeight="false" outlineLevel="0" collapsed="false">
      <c r="A82" s="6" t="n">
        <v>77</v>
      </c>
      <c r="B82" s="5" t="s">
        <v>72</v>
      </c>
      <c r="C82" s="5" t="s">
        <v>30</v>
      </c>
      <c r="D82" s="11" t="n">
        <v>45282</v>
      </c>
      <c r="E82" s="11" t="n">
        <v>45296</v>
      </c>
      <c r="F82" s="5" t="s">
        <v>75</v>
      </c>
      <c r="G82" s="12" t="n">
        <v>39714.7508901193</v>
      </c>
      <c r="H82" s="13" t="n">
        <v>2.579</v>
      </c>
      <c r="I82" s="13" t="n">
        <v>2.805</v>
      </c>
      <c r="J82" s="5" t="s">
        <v>74</v>
      </c>
      <c r="K82" s="8" t="n">
        <v>2.07744928733185</v>
      </c>
      <c r="L82" s="8" t="n">
        <v>-1836.31230580507</v>
      </c>
      <c r="M82" s="8" t="n">
        <f aca="false">M81+L82</f>
        <v>469201.719689263</v>
      </c>
      <c r="N82" s="5" t="str">
        <f aca="false">IF(L82&gt;0,"прибыль",IF(L82&lt;0,"убыток","ноль"))</f>
        <v>убыток</v>
      </c>
      <c r="O82" s="6" t="n">
        <f aca="false">IF(L82&lt;0,O81+1,0)</f>
        <v>1</v>
      </c>
      <c r="P82" s="6" t="n">
        <v>8</v>
      </c>
    </row>
    <row r="83" customFormat="false" ht="15" hidden="false" customHeight="false" outlineLevel="0" collapsed="false">
      <c r="A83" s="6" t="n">
        <v>78</v>
      </c>
      <c r="B83" s="5" t="s">
        <v>72</v>
      </c>
      <c r="C83" s="5" t="s">
        <v>30</v>
      </c>
      <c r="D83" s="11" t="n">
        <v>45296</v>
      </c>
      <c r="E83" s="11" t="n">
        <v>45308</v>
      </c>
      <c r="F83" s="5" t="s">
        <v>75</v>
      </c>
      <c r="G83" s="12" t="n">
        <v>25228.6209460185</v>
      </c>
      <c r="H83" s="13" t="n">
        <v>2.805</v>
      </c>
      <c r="I83" s="13" t="n">
        <v>2.829</v>
      </c>
      <c r="K83" s="8" t="n">
        <v>1.33165587321057</v>
      </c>
      <c r="L83" s="8" t="n">
        <v>-1405.82817406611</v>
      </c>
      <c r="M83" s="8" t="n">
        <f aca="false">M82+L83</f>
        <v>467795.891515197</v>
      </c>
      <c r="N83" s="5" t="str">
        <f aca="false">IF(L83&gt;0,"прибыль",IF(L83&lt;0,"убыток","ноль"))</f>
        <v>убыток</v>
      </c>
      <c r="O83" s="6" t="n">
        <f aca="false">IF(L83&lt;0,O82+1,0)</f>
        <v>2</v>
      </c>
      <c r="P83" s="6" t="n">
        <v>8</v>
      </c>
    </row>
    <row r="84" customFormat="false" ht="15" hidden="false" customHeight="false" outlineLevel="0" collapsed="false">
      <c r="A84" s="6" t="n">
        <v>79</v>
      </c>
      <c r="B84" s="5" t="s">
        <v>72</v>
      </c>
      <c r="C84" s="5" t="s">
        <v>25</v>
      </c>
      <c r="D84" s="11" t="n">
        <v>45254</v>
      </c>
      <c r="E84" s="11" t="n">
        <v>45328</v>
      </c>
      <c r="F84" s="5" t="s">
        <v>75</v>
      </c>
      <c r="G84" s="12" t="n">
        <v>328937.079948485</v>
      </c>
      <c r="H84" s="13" t="n">
        <v>81.76</v>
      </c>
      <c r="I84" s="13" t="n">
        <v>79.07</v>
      </c>
      <c r="J84" s="5" t="s">
        <v>74</v>
      </c>
      <c r="K84" s="8" t="n">
        <v>41.3885401429951</v>
      </c>
      <c r="L84" s="8" t="n">
        <v>-15471.1868672273</v>
      </c>
      <c r="M84" s="8" t="n">
        <f aca="false">M83+L84</f>
        <v>452324.704647969</v>
      </c>
      <c r="N84" s="5" t="str">
        <f aca="false">IF(L84&gt;0,"прибыль",IF(L84&lt;0,"убыток","ноль"))</f>
        <v>убыток</v>
      </c>
      <c r="O84" s="6" t="n">
        <f aca="false">IF(L84&lt;0,O83+1,0)</f>
        <v>3</v>
      </c>
      <c r="P84" s="6" t="n">
        <v>50</v>
      </c>
    </row>
    <row r="85" customFormat="false" ht="15" hidden="false" customHeight="false" outlineLevel="0" collapsed="false">
      <c r="A85" s="6" t="n">
        <v>80</v>
      </c>
      <c r="B85" s="5" t="s">
        <v>72</v>
      </c>
      <c r="C85" s="5" t="s">
        <v>25</v>
      </c>
      <c r="D85" s="11" t="n">
        <v>45328</v>
      </c>
      <c r="E85" s="11" t="n">
        <v>45400</v>
      </c>
      <c r="F85" s="5" t="s">
        <v>73</v>
      </c>
      <c r="G85" s="12" t="n">
        <v>115248.073420946</v>
      </c>
      <c r="H85" s="13" t="n">
        <v>79.07</v>
      </c>
      <c r="I85" s="13" t="n">
        <v>87.78</v>
      </c>
      <c r="J85" s="5" t="s">
        <v>74</v>
      </c>
      <c r="K85" s="8" t="n">
        <v>11.1786081719083</v>
      </c>
      <c r="L85" s="8" t="n">
        <v>9685.87651039452</v>
      </c>
      <c r="M85" s="8" t="n">
        <f aca="false">M84+L85</f>
        <v>462010.581158364</v>
      </c>
      <c r="N85" s="5" t="str">
        <f aca="false">IF(L85&gt;0,"прибыль",IF(L85&lt;0,"убыток","ноль"))</f>
        <v>прибыль</v>
      </c>
      <c r="O85" s="6" t="n">
        <f aca="false">IF(L85&lt;0,O84+1,0)</f>
        <v>0</v>
      </c>
      <c r="P85" s="6" t="n">
        <v>50</v>
      </c>
    </row>
    <row r="86" customFormat="false" ht="15" hidden="false" customHeight="false" outlineLevel="0" collapsed="false">
      <c r="A86" s="6" t="n">
        <v>81</v>
      </c>
      <c r="B86" s="5" t="s">
        <v>78</v>
      </c>
      <c r="C86" s="5" t="s">
        <v>30</v>
      </c>
      <c r="D86" s="11" t="n">
        <v>45308</v>
      </c>
      <c r="E86" s="11" t="n">
        <v>45415</v>
      </c>
      <c r="F86" s="5" t="s">
        <v>75</v>
      </c>
      <c r="G86" s="12" t="n">
        <v>43073.1952189225</v>
      </c>
      <c r="H86" s="13" t="n">
        <v>2.829</v>
      </c>
      <c r="I86" s="13" t="n">
        <v>2.029</v>
      </c>
      <c r="J86" s="5" t="s">
        <v>74</v>
      </c>
      <c r="K86" s="8" t="n">
        <v>7.30427059277622</v>
      </c>
      <c r="L86" s="8" t="n">
        <v>9288.70491296262</v>
      </c>
      <c r="M86" s="8" t="n">
        <f aca="false">M85+L86</f>
        <v>471299.286071326</v>
      </c>
      <c r="N86" s="5" t="str">
        <f aca="false">IF(L86&gt;0,"прибыль",IF(L86&lt;0,"убыток","ноль"))</f>
        <v>прибыль</v>
      </c>
      <c r="O86" s="6" t="n">
        <f aca="false">IF(L86&lt;0,O85+1,0)</f>
        <v>0</v>
      </c>
      <c r="P86" s="6" t="n">
        <v>75</v>
      </c>
    </row>
    <row r="87" customFormat="false" ht="15" hidden="false" customHeight="false" outlineLevel="0" collapsed="false">
      <c r="A87" s="6" t="n">
        <v>82</v>
      </c>
      <c r="B87" s="5" t="s">
        <v>76</v>
      </c>
      <c r="C87" s="5" t="s">
        <v>30</v>
      </c>
      <c r="D87" s="11" t="n">
        <v>45415</v>
      </c>
      <c r="E87" s="11" t="n">
        <v>45432</v>
      </c>
      <c r="F87" s="5" t="s">
        <v>75</v>
      </c>
      <c r="G87" s="12" t="n">
        <v>41055.835684543</v>
      </c>
      <c r="H87" s="13" t="n">
        <v>2.029</v>
      </c>
      <c r="I87" s="13" t="n">
        <v>2.665</v>
      </c>
      <c r="K87" s="8" t="n">
        <v>2.11450889875339</v>
      </c>
      <c r="L87" s="8" t="n">
        <v>-1236.45679942358</v>
      </c>
      <c r="M87" s="8" t="n">
        <f aca="false">M86+L87</f>
        <v>470062.829271903</v>
      </c>
      <c r="N87" s="5" t="str">
        <f aca="false">IF(L87&gt;0,"прибыль",IF(L87&lt;0,"убыток","ноль"))</f>
        <v>убыток</v>
      </c>
      <c r="O87" s="6" t="n">
        <f aca="false">IF(L87&lt;0,O86+1,0)</f>
        <v>1</v>
      </c>
      <c r="P87" s="6" t="n">
        <v>10</v>
      </c>
    </row>
    <row r="88" customFormat="false" ht="15" hidden="false" customHeight="false" outlineLevel="0" collapsed="false">
      <c r="A88" s="6" t="n">
        <v>83</v>
      </c>
      <c r="B88" s="5" t="s">
        <v>76</v>
      </c>
      <c r="C88" s="5" t="s">
        <v>25</v>
      </c>
      <c r="D88" s="11" t="n">
        <v>45400</v>
      </c>
      <c r="E88" s="11" t="n">
        <v>45443</v>
      </c>
      <c r="F88" s="5" t="s">
        <v>73</v>
      </c>
      <c r="G88" s="12" t="n">
        <v>111045.147592946</v>
      </c>
      <c r="H88" s="13" t="n">
        <v>87.78</v>
      </c>
      <c r="I88" s="13" t="n">
        <v>81.84</v>
      </c>
      <c r="J88" s="5" t="s">
        <v>74</v>
      </c>
      <c r="K88" s="8" t="n">
        <v>12.5134662315737</v>
      </c>
      <c r="L88" s="8" t="n">
        <v>3891.14797240219</v>
      </c>
      <c r="M88" s="8" t="n">
        <f aca="false">M87+L88</f>
        <v>473953.977244305</v>
      </c>
      <c r="N88" s="5" t="str">
        <f aca="false">IF(L88&gt;0,"прибыль",IF(L88&lt;0,"убыток","ноль"))</f>
        <v>прибыль</v>
      </c>
      <c r="O88" s="6" t="n">
        <f aca="false">IF(L88&lt;0,O87+1,0)</f>
        <v>0</v>
      </c>
      <c r="P88" s="6" t="n">
        <v>30</v>
      </c>
    </row>
    <row r="89" customFormat="false" ht="15" hidden="false" customHeight="false" outlineLevel="0" collapsed="false">
      <c r="A89" s="6" t="n">
        <v>84</v>
      </c>
      <c r="B89" s="5" t="s">
        <v>76</v>
      </c>
      <c r="C89" s="5" t="s">
        <v>30</v>
      </c>
      <c r="D89" s="11" t="n">
        <v>45432</v>
      </c>
      <c r="E89" s="11" t="n">
        <v>45447</v>
      </c>
      <c r="F89" s="5" t="s">
        <v>75</v>
      </c>
      <c r="G89" s="12" t="n">
        <v>119430.210748002</v>
      </c>
      <c r="H89" s="13" t="n">
        <v>2.665</v>
      </c>
      <c r="I89" s="13" t="n">
        <v>2.75</v>
      </c>
      <c r="J89" s="5" t="s">
        <v>74</v>
      </c>
      <c r="K89" s="8" t="n">
        <v>12.8068837031217</v>
      </c>
      <c r="L89" s="8" t="n">
        <v>-4166.44696886423</v>
      </c>
      <c r="M89" s="8" t="n">
        <f aca="false">M88+L89</f>
        <v>469787.530275441</v>
      </c>
      <c r="N89" s="5" t="str">
        <f aca="false">IF(L89&gt;0,"прибыль",IF(L89&lt;0,"убыток","ноль"))</f>
        <v>убыток</v>
      </c>
      <c r="O89" s="6" t="n">
        <f aca="false">IF(L89&lt;0,O88+1,0)</f>
        <v>1</v>
      </c>
      <c r="P89" s="6" t="n">
        <v>11</v>
      </c>
    </row>
    <row r="90" customFormat="false" ht="15" hidden="false" customHeight="false" outlineLevel="0" collapsed="false">
      <c r="A90" s="6" t="n">
        <v>85</v>
      </c>
      <c r="B90" s="5" t="s">
        <v>76</v>
      </c>
      <c r="C90" s="5" t="s">
        <v>25</v>
      </c>
      <c r="D90" s="11" t="n">
        <v>45443</v>
      </c>
      <c r="E90" s="11" t="n">
        <v>45454</v>
      </c>
      <c r="F90" s="5" t="s">
        <v>73</v>
      </c>
      <c r="G90" s="12" t="n">
        <v>88040.0757273163</v>
      </c>
      <c r="H90" s="13" t="n">
        <v>81.84</v>
      </c>
      <c r="I90" s="13" t="n">
        <v>81.42</v>
      </c>
      <c r="J90" s="5" t="s">
        <v>74</v>
      </c>
      <c r="K90" s="8" t="n">
        <v>4.74089662286133</v>
      </c>
      <c r="L90" s="8" t="n">
        <v>6773.11583328732</v>
      </c>
      <c r="M90" s="8" t="n">
        <f aca="false">M89+L90</f>
        <v>476560.646108728</v>
      </c>
      <c r="N90" s="5" t="str">
        <f aca="false">IF(L90&gt;0,"прибыль",IF(L90&lt;0,"убыток","ноль"))</f>
        <v>прибыль</v>
      </c>
      <c r="O90" s="6" t="n">
        <f aca="false">IF(L90&lt;0,O89+1,0)</f>
        <v>0</v>
      </c>
      <c r="P90" s="6" t="n">
        <v>7</v>
      </c>
    </row>
    <row r="91" customFormat="false" ht="15" hidden="false" customHeight="false" outlineLevel="0" collapsed="false">
      <c r="A91" s="6" t="n">
        <v>86</v>
      </c>
      <c r="B91" s="5" t="s">
        <v>76</v>
      </c>
      <c r="C91" s="5" t="s">
        <v>30</v>
      </c>
      <c r="D91" s="11" t="n">
        <v>45447</v>
      </c>
      <c r="E91" s="11" t="n">
        <v>45456</v>
      </c>
      <c r="F91" s="5" t="s">
        <v>73</v>
      </c>
      <c r="G91" s="12" t="n">
        <v>28020.5407594006</v>
      </c>
      <c r="H91" s="13" t="n">
        <v>2.75</v>
      </c>
      <c r="I91" s="13" t="n">
        <v>3.035</v>
      </c>
      <c r="K91" s="8" t="n">
        <v>1.53966553116686</v>
      </c>
      <c r="L91" s="8" t="n">
        <v>2771.23019840541</v>
      </c>
      <c r="M91" s="8" t="n">
        <f aca="false">M90+L91</f>
        <v>479331.876307134</v>
      </c>
      <c r="N91" s="5" t="str">
        <f aca="false">IF(L91&gt;0,"прибыль",IF(L91&lt;0,"убыток","ноль"))</f>
        <v>прибыль</v>
      </c>
      <c r="O91" s="6" t="n">
        <f aca="false">IF(L91&lt;0,O90+1,0)</f>
        <v>0</v>
      </c>
      <c r="P91" s="6" t="n">
        <v>6</v>
      </c>
    </row>
    <row r="92" customFormat="false" ht="15" hidden="false" customHeight="false" outlineLevel="0" collapsed="false">
      <c r="A92" s="6" t="n">
        <v>87</v>
      </c>
      <c r="B92" s="5" t="s">
        <v>76</v>
      </c>
      <c r="C92" s="5" t="s">
        <v>30</v>
      </c>
      <c r="D92" s="11" t="n">
        <v>45456</v>
      </c>
      <c r="E92" s="11" t="n">
        <v>45495</v>
      </c>
      <c r="F92" s="5" t="s">
        <v>73</v>
      </c>
      <c r="G92" s="12" t="n">
        <v>185991.787153712</v>
      </c>
      <c r="H92" s="13" t="n">
        <v>3.035</v>
      </c>
      <c r="I92" s="13" t="n">
        <v>2.162</v>
      </c>
      <c r="J92" s="5" t="s">
        <v>74</v>
      </c>
      <c r="K92" s="8" t="n">
        <v>20.4162761753145</v>
      </c>
      <c r="L92" s="8" t="n">
        <v>-31267.1509494481</v>
      </c>
      <c r="M92" s="8" t="n">
        <f aca="false">M91+L92</f>
        <v>448064.725357686</v>
      </c>
      <c r="N92" s="5" t="str">
        <f aca="false">IF(L92&gt;0,"прибыль",IF(L92&lt;0,"убыток","ноль"))</f>
        <v>убыток</v>
      </c>
      <c r="O92" s="6" t="n">
        <f aca="false">IF(L92&lt;0,O91+1,0)</f>
        <v>1</v>
      </c>
      <c r="P92" s="6" t="n">
        <v>27</v>
      </c>
    </row>
    <row r="93" customFormat="false" ht="15" hidden="false" customHeight="false" outlineLevel="0" collapsed="false">
      <c r="A93" s="6" t="n">
        <v>88</v>
      </c>
      <c r="B93" s="5" t="s">
        <v>76</v>
      </c>
      <c r="C93" s="5" t="s">
        <v>25</v>
      </c>
      <c r="D93" s="11" t="n">
        <v>45454</v>
      </c>
      <c r="E93" s="11" t="n">
        <v>45511</v>
      </c>
      <c r="F93" s="5" t="s">
        <v>73</v>
      </c>
      <c r="G93" s="12" t="n">
        <v>482073.331277024</v>
      </c>
      <c r="H93" s="13" t="n">
        <v>81.42</v>
      </c>
      <c r="I93" s="13" t="n">
        <v>77.2</v>
      </c>
      <c r="J93" s="5" t="s">
        <v>74</v>
      </c>
      <c r="K93" s="8" t="n">
        <v>50.3952073758811</v>
      </c>
      <c r="L93" s="8" t="n">
        <v>-7565.98325652226</v>
      </c>
      <c r="M93" s="8" t="n">
        <f aca="false">M92+L93</f>
        <v>440498.742101163</v>
      </c>
      <c r="N93" s="5" t="str">
        <f aca="false">IF(L93&gt;0,"прибыль",IF(L93&lt;0,"убыток","ноль"))</f>
        <v>убыток</v>
      </c>
      <c r="O93" s="6" t="n">
        <f aca="false">IF(L93&lt;0,O92+1,0)</f>
        <v>2</v>
      </c>
      <c r="P93" s="6" t="n">
        <v>40</v>
      </c>
    </row>
    <row r="94" customFormat="false" ht="15" hidden="false" customHeight="false" outlineLevel="0" collapsed="false">
      <c r="A94" s="6" t="n">
        <v>89</v>
      </c>
      <c r="B94" s="5" t="s">
        <v>76</v>
      </c>
      <c r="C94" s="5" t="s">
        <v>25</v>
      </c>
      <c r="D94" s="11" t="n">
        <v>45511</v>
      </c>
      <c r="E94" s="11" t="n">
        <v>45517</v>
      </c>
      <c r="F94" s="5" t="s">
        <v>75</v>
      </c>
      <c r="G94" s="12" t="n">
        <v>103735.698543143</v>
      </c>
      <c r="H94" s="13" t="n">
        <v>77.2</v>
      </c>
      <c r="I94" s="13" t="n">
        <v>82.08</v>
      </c>
      <c r="K94" s="8" t="n">
        <v>5.52547737269697</v>
      </c>
      <c r="L94" s="8" t="n">
        <v>-6779.37438816939</v>
      </c>
      <c r="M94" s="8" t="n">
        <f aca="false">M93+L94</f>
        <v>433719.367712994</v>
      </c>
      <c r="N94" s="5" t="str">
        <f aca="false">IF(L94&gt;0,"прибыль",IF(L94&lt;0,"убыток","ноль"))</f>
        <v>убыток</v>
      </c>
      <c r="O94" s="6" t="n">
        <f aca="false">IF(L94&lt;0,O93+1,0)</f>
        <v>3</v>
      </c>
      <c r="P94" s="6" t="n">
        <v>4</v>
      </c>
    </row>
    <row r="95" customFormat="false" ht="15" hidden="false" customHeight="false" outlineLevel="0" collapsed="false">
      <c r="A95" s="6" t="n">
        <v>90</v>
      </c>
      <c r="B95" s="5" t="s">
        <v>76</v>
      </c>
      <c r="C95" s="5" t="s">
        <v>30</v>
      </c>
      <c r="D95" s="11" t="n">
        <v>45495</v>
      </c>
      <c r="E95" s="11" t="n">
        <v>45559</v>
      </c>
      <c r="F95" s="5" t="s">
        <v>75</v>
      </c>
      <c r="G95" s="12" t="n">
        <v>41680.3644327005</v>
      </c>
      <c r="H95" s="13" t="n">
        <v>2.162</v>
      </c>
      <c r="I95" s="13" t="n">
        <v>2.646</v>
      </c>
      <c r="J95" s="5" t="s">
        <v>74</v>
      </c>
      <c r="K95" s="8" t="n">
        <v>2.19946929893498</v>
      </c>
      <c r="L95" s="8" t="n">
        <v>-2311.22101529794</v>
      </c>
      <c r="M95" s="8" t="n">
        <f aca="false">M94+L95</f>
        <v>431408.146697696</v>
      </c>
      <c r="N95" s="5" t="str">
        <f aca="false">IF(L95&gt;0,"прибыль",IF(L95&lt;0,"убыток","ноль"))</f>
        <v>убыток</v>
      </c>
      <c r="O95" s="6" t="n">
        <f aca="false">IF(L95&lt;0,O94+1,0)</f>
        <v>4</v>
      </c>
      <c r="P95" s="6" t="n">
        <v>46</v>
      </c>
    </row>
    <row r="96" customFormat="false" ht="15" hidden="false" customHeight="false" outlineLevel="0" collapsed="false">
      <c r="A96" s="6" t="n">
        <v>91</v>
      </c>
      <c r="B96" s="5" t="s">
        <v>76</v>
      </c>
      <c r="C96" s="5" t="s">
        <v>25</v>
      </c>
      <c r="D96" s="11" t="n">
        <v>45517</v>
      </c>
      <c r="E96" s="11" t="n">
        <v>45576</v>
      </c>
      <c r="F96" s="5" t="s">
        <v>75</v>
      </c>
      <c r="G96" s="12" t="n">
        <v>63213.317328595</v>
      </c>
      <c r="H96" s="13" t="n">
        <v>82.08</v>
      </c>
      <c r="I96" s="13" t="n">
        <v>78.58</v>
      </c>
      <c r="J96" s="5" t="s">
        <v>74</v>
      </c>
      <c r="K96" s="8" t="n">
        <v>3.13221371550871</v>
      </c>
      <c r="L96" s="8" t="n">
        <v>565.910804705272</v>
      </c>
      <c r="M96" s="8" t="n">
        <f aca="false">M95+L96</f>
        <v>431974.057502401</v>
      </c>
      <c r="N96" s="5" t="str">
        <f aca="false">IF(L96&gt;0,"прибыль",IF(L96&lt;0,"убыток","ноль"))</f>
        <v>прибыль</v>
      </c>
      <c r="O96" s="6" t="n">
        <f aca="false">IF(L96&lt;0,O95+1,0)</f>
        <v>0</v>
      </c>
      <c r="P96" s="6" t="n">
        <v>43</v>
      </c>
    </row>
    <row r="97" customFormat="false" ht="15" hidden="false" customHeight="false" outlineLevel="0" collapsed="false">
      <c r="A97" s="6" t="n">
        <v>92</v>
      </c>
      <c r="B97" s="5" t="s">
        <v>76</v>
      </c>
      <c r="C97" s="5" t="s">
        <v>30</v>
      </c>
      <c r="D97" s="11" t="n">
        <v>45559</v>
      </c>
      <c r="E97" s="11" t="n">
        <v>45608</v>
      </c>
      <c r="F97" s="5" t="s">
        <v>75</v>
      </c>
      <c r="G97" s="12" t="n">
        <v>32576.2396659959</v>
      </c>
      <c r="H97" s="13" t="n">
        <v>2.646</v>
      </c>
      <c r="I97" s="13" t="n">
        <v>2.955</v>
      </c>
      <c r="J97" s="5" t="s">
        <v>74</v>
      </c>
      <c r="K97" s="8" t="n">
        <v>2.76265804654932</v>
      </c>
      <c r="L97" s="8" t="n">
        <v>2556.24125680136</v>
      </c>
      <c r="M97" s="8" t="n">
        <f aca="false">M96+L97</f>
        <v>434530.298759203</v>
      </c>
      <c r="N97" s="5" t="str">
        <f aca="false">IF(L97&gt;0,"прибыль",IF(L97&lt;0,"убыток","ноль"))</f>
        <v>прибыль</v>
      </c>
      <c r="O97" s="6" t="n">
        <f aca="false">IF(L97&lt;0,O96+1,0)</f>
        <v>0</v>
      </c>
      <c r="P97" s="6" t="n">
        <v>35</v>
      </c>
    </row>
    <row r="98" customFormat="false" ht="15" hidden="false" customHeight="false" outlineLevel="0" collapsed="false">
      <c r="A98" s="6" t="n">
        <v>93</v>
      </c>
      <c r="B98" s="5" t="s">
        <v>76</v>
      </c>
      <c r="C98" s="5" t="s">
        <v>30</v>
      </c>
      <c r="D98" s="11" t="n">
        <v>45608</v>
      </c>
      <c r="E98" s="11" t="n">
        <v>45618</v>
      </c>
      <c r="F98" s="5" t="s">
        <v>75</v>
      </c>
      <c r="G98" s="12" t="n">
        <v>26035.8746568299</v>
      </c>
      <c r="H98" s="13" t="n">
        <v>2.955</v>
      </c>
      <c r="I98" s="13" t="n">
        <v>3.369</v>
      </c>
      <c r="K98" s="8" t="n">
        <v>1.36791212267228</v>
      </c>
      <c r="L98" s="8" t="n">
        <v>-1323.73570873829</v>
      </c>
      <c r="M98" s="8" t="n">
        <f aca="false">M97+L98</f>
        <v>433206.563050464</v>
      </c>
      <c r="N98" s="5" t="str">
        <f aca="false">IF(L98&gt;0,"прибыль",IF(L98&lt;0,"убыток","ноль"))</f>
        <v>убыток</v>
      </c>
      <c r="O98" s="6" t="n">
        <f aca="false">IF(L98&lt;0,O97+1,0)</f>
        <v>1</v>
      </c>
      <c r="P98" s="6" t="n">
        <v>8</v>
      </c>
    </row>
    <row r="99" customFormat="false" ht="15" hidden="false" customHeight="false" outlineLevel="0" collapsed="false">
      <c r="A99" s="6" t="n">
        <v>94</v>
      </c>
      <c r="B99" s="5" t="s">
        <v>76</v>
      </c>
      <c r="C99" s="5" t="s">
        <v>30</v>
      </c>
      <c r="D99" s="11" t="n">
        <v>45618</v>
      </c>
      <c r="E99" s="11" t="n">
        <v>45635</v>
      </c>
      <c r="F99" s="5" t="s">
        <v>75</v>
      </c>
      <c r="G99" s="12" t="n">
        <v>97065.4127663215</v>
      </c>
      <c r="H99" s="13" t="n">
        <v>3.369</v>
      </c>
      <c r="I99" s="13" t="n">
        <v>3.225</v>
      </c>
      <c r="J99" s="5" t="s">
        <v>74</v>
      </c>
      <c r="K99" s="8" t="n">
        <v>9.7606952760237</v>
      </c>
      <c r="L99" s="8" t="n">
        <v>-744.123189570545</v>
      </c>
      <c r="M99" s="8" t="n">
        <f aca="false">M98+L99</f>
        <v>432462.439860894</v>
      </c>
      <c r="N99" s="5" t="str">
        <f aca="false">IF(L99&gt;0,"прибыль",IF(L99&lt;0,"убыток","ноль"))</f>
        <v>убыток</v>
      </c>
      <c r="O99" s="6" t="n">
        <f aca="false">IF(L99&lt;0,O98+1,0)</f>
        <v>2</v>
      </c>
      <c r="P99" s="6" t="n">
        <v>11</v>
      </c>
    </row>
    <row r="100" customFormat="false" ht="15" hidden="false" customHeight="false" outlineLevel="0" collapsed="false">
      <c r="A100" s="6" t="n">
        <v>95</v>
      </c>
      <c r="B100" s="5" t="s">
        <v>76</v>
      </c>
      <c r="C100" s="5" t="s">
        <v>30</v>
      </c>
      <c r="D100" s="11" t="n">
        <v>45635</v>
      </c>
      <c r="E100" s="11" t="n">
        <v>45660</v>
      </c>
      <c r="F100" s="5" t="s">
        <v>73</v>
      </c>
      <c r="G100" s="12" t="n">
        <v>21091.4122532542</v>
      </c>
      <c r="H100" s="13" t="n">
        <v>3.225</v>
      </c>
      <c r="I100" s="13" t="n">
        <v>3.666</v>
      </c>
      <c r="J100" s="5" t="s">
        <v>74</v>
      </c>
      <c r="K100" s="8" t="n">
        <v>1.30478817915137</v>
      </c>
      <c r="L100" s="8" t="n">
        <v>5003.04654159397</v>
      </c>
      <c r="M100" s="8" t="n">
        <f aca="false">M99+L100</f>
        <v>437465.486402488</v>
      </c>
      <c r="N100" s="5" t="str">
        <f aca="false">IF(L100&gt;0,"прибыль",IF(L100&lt;0,"убыток","ноль"))</f>
        <v>прибыль</v>
      </c>
      <c r="O100" s="6" t="n">
        <f aca="false">IF(L100&lt;0,O99+1,0)</f>
        <v>0</v>
      </c>
      <c r="P100" s="6" t="n">
        <v>17</v>
      </c>
    </row>
    <row r="101" customFormat="false" ht="15" hidden="false" customHeight="false" outlineLevel="0" collapsed="false">
      <c r="A101" s="6" t="n">
        <v>96</v>
      </c>
      <c r="B101" s="5" t="s">
        <v>76</v>
      </c>
      <c r="C101" s="5" t="s">
        <v>30</v>
      </c>
      <c r="D101" s="11" t="n">
        <v>45660</v>
      </c>
      <c r="E101" s="11" t="n">
        <v>45665</v>
      </c>
      <c r="F101" s="5" t="s">
        <v>73</v>
      </c>
      <c r="G101" s="12" t="n">
        <v>15843.9918892918</v>
      </c>
      <c r="H101" s="13" t="n">
        <v>3.666</v>
      </c>
      <c r="I101" s="13" t="n">
        <v>3.61</v>
      </c>
      <c r="K101" s="8" t="n">
        <v>0.964464500461596</v>
      </c>
      <c r="L101" s="8" t="n">
        <v>3444.33365543968</v>
      </c>
      <c r="M101" s="8" t="n">
        <f aca="false">M100+L101</f>
        <v>440909.820057927</v>
      </c>
      <c r="N101" s="5" t="str">
        <f aca="false">IF(L101&gt;0,"прибыль",IF(L101&lt;0,"убыток","ноль"))</f>
        <v>прибыль</v>
      </c>
      <c r="O101" s="6" t="n">
        <f aca="false">IF(L101&lt;0,O100+1,0)</f>
        <v>0</v>
      </c>
      <c r="P101" s="6" t="n">
        <v>2</v>
      </c>
    </row>
    <row r="102" customFormat="false" ht="15" hidden="false" customHeight="false" outlineLevel="0" collapsed="false">
      <c r="A102" s="6" t="n">
        <v>97</v>
      </c>
      <c r="B102" s="5" t="s">
        <v>76</v>
      </c>
      <c r="C102" s="5" t="s">
        <v>25</v>
      </c>
      <c r="D102" s="11" t="n">
        <v>45576</v>
      </c>
      <c r="E102" s="11" t="n">
        <v>45673</v>
      </c>
      <c r="F102" s="5" t="s">
        <v>75</v>
      </c>
      <c r="G102" s="12" t="n">
        <v>139068.589570621</v>
      </c>
      <c r="H102" s="13" t="n">
        <v>78.58</v>
      </c>
      <c r="I102" s="13" t="n">
        <v>82.17</v>
      </c>
      <c r="J102" s="5" t="s">
        <v>74</v>
      </c>
      <c r="K102" s="8" t="n">
        <v>22.5267833302974</v>
      </c>
      <c r="L102" s="8" t="n">
        <v>-8749.30215698503</v>
      </c>
      <c r="M102" s="8" t="n">
        <f aca="false">M101+L102</f>
        <v>432160.517900942</v>
      </c>
      <c r="N102" s="5" t="str">
        <f aca="false">IF(L102&gt;0,"прибыль",IF(L102&lt;0,"убыток","ноль"))</f>
        <v>убыток</v>
      </c>
      <c r="O102" s="6" t="n">
        <f aca="false">IF(L102&lt;0,O101+1,0)</f>
        <v>1</v>
      </c>
      <c r="P102" s="6" t="n">
        <v>66</v>
      </c>
    </row>
    <row r="103" customFormat="false" ht="15" hidden="false" customHeight="false" outlineLevel="0" collapsed="false">
      <c r="A103" s="6" t="n">
        <v>98</v>
      </c>
      <c r="B103" s="5" t="s">
        <v>76</v>
      </c>
      <c r="C103" s="5" t="s">
        <v>25</v>
      </c>
      <c r="D103" s="11" t="n">
        <v>45673</v>
      </c>
      <c r="E103" s="11" t="n">
        <v>45674</v>
      </c>
      <c r="F103" s="5" t="s">
        <v>75</v>
      </c>
      <c r="G103" s="12" t="n">
        <v>387192.061122854</v>
      </c>
      <c r="H103" s="13" t="n">
        <v>82.17</v>
      </c>
      <c r="I103" s="13" t="n">
        <v>81.42</v>
      </c>
      <c r="K103" s="8" t="n">
        <v>40.5223560922988</v>
      </c>
      <c r="L103" s="8" t="n">
        <v>-20587.5633798865</v>
      </c>
      <c r="M103" s="8" t="n">
        <f aca="false">M102+L103</f>
        <v>411572.954521056</v>
      </c>
      <c r="N103" s="5" t="str">
        <f aca="false">IF(L103&gt;0,"прибыль",IF(L103&lt;0,"убыток","ноль"))</f>
        <v>убыток</v>
      </c>
      <c r="O103" s="6" t="n">
        <f aca="false">IF(L103&lt;0,O102+1,0)</f>
        <v>2</v>
      </c>
      <c r="P103" s="6" t="n">
        <v>1</v>
      </c>
    </row>
    <row r="104" customFormat="false" ht="15" hidden="false" customHeight="false" outlineLevel="0" collapsed="false">
      <c r="A104" s="6" t="n">
        <v>99</v>
      </c>
      <c r="B104" s="5" t="s">
        <v>76</v>
      </c>
      <c r="C104" s="5" t="s">
        <v>30</v>
      </c>
      <c r="D104" s="11" t="n">
        <v>45665</v>
      </c>
      <c r="E104" s="11" t="n">
        <v>45708</v>
      </c>
      <c r="F104" s="5" t="s">
        <v>73</v>
      </c>
      <c r="G104" s="12" t="n">
        <v>15370.3496791154</v>
      </c>
      <c r="H104" s="13" t="n">
        <v>3.61</v>
      </c>
      <c r="I104" s="13" t="n">
        <v>4.364</v>
      </c>
      <c r="J104" s="5" t="s">
        <v>74</v>
      </c>
      <c r="K104" s="8" t="n">
        <v>1.96635885935084</v>
      </c>
      <c r="L104" s="8" t="n">
        <v>8160.71725307347</v>
      </c>
      <c r="M104" s="8" t="n">
        <f aca="false">M103+L104</f>
        <v>419733.671774129</v>
      </c>
      <c r="N104" s="5" t="str">
        <f aca="false">IF(L104&gt;0,"прибыль",IF(L104&lt;0,"убыток","ноль"))</f>
        <v>прибыль</v>
      </c>
      <c r="O104" s="6" t="n">
        <f aca="false">IF(L104&lt;0,O103+1,0)</f>
        <v>0</v>
      </c>
      <c r="P104" s="6" t="n">
        <v>31</v>
      </c>
    </row>
    <row r="105" customFormat="false" ht="15" hidden="false" customHeight="false" outlineLevel="0" collapsed="false">
      <c r="A105" s="6" t="n">
        <v>100</v>
      </c>
      <c r="B105" s="5" t="s">
        <v>76</v>
      </c>
      <c r="C105" s="5" t="s">
        <v>25</v>
      </c>
      <c r="D105" s="11" t="n">
        <v>45674</v>
      </c>
      <c r="E105" s="11" t="n">
        <v>45722</v>
      </c>
      <c r="F105" s="5" t="s">
        <v>73</v>
      </c>
      <c r="G105" s="12" t="n">
        <v>402708.019699329</v>
      </c>
      <c r="H105" s="13" t="n">
        <v>81.42</v>
      </c>
      <c r="I105" s="13" t="n">
        <v>69.52</v>
      </c>
      <c r="J105" s="5" t="s">
        <v>74</v>
      </c>
      <c r="K105" s="8" t="n">
        <v>35.9032332408918</v>
      </c>
      <c r="L105" s="8" t="n">
        <v>-42388.3138656748</v>
      </c>
      <c r="M105" s="8" t="n">
        <f aca="false">M104+L105</f>
        <v>377345.357908455</v>
      </c>
      <c r="N105" s="5" t="str">
        <f aca="false">IF(L105&gt;0,"прибыль",IF(L105&lt;0,"убыток","ноль"))</f>
        <v>убыток</v>
      </c>
      <c r="O105" s="6" t="n">
        <f aca="false">IF(L105&lt;0,O104+1,0)</f>
        <v>1</v>
      </c>
      <c r="P105" s="6" t="n">
        <v>34</v>
      </c>
    </row>
    <row r="106" customFormat="false" ht="15" hidden="false" customHeight="false" outlineLevel="0" collapsed="false">
      <c r="A106" s="6" t="n">
        <v>101</v>
      </c>
      <c r="B106" s="5" t="s">
        <v>76</v>
      </c>
      <c r="C106" s="5" t="s">
        <v>25</v>
      </c>
      <c r="D106" s="11" t="n">
        <v>45722</v>
      </c>
      <c r="E106" s="11" t="n">
        <v>45751</v>
      </c>
      <c r="F106" s="5" t="s">
        <v>75</v>
      </c>
      <c r="G106" s="12" t="n">
        <v>170395.151105175</v>
      </c>
      <c r="H106" s="13" t="n">
        <v>69.52</v>
      </c>
      <c r="I106" s="13" t="n">
        <v>69.61</v>
      </c>
      <c r="J106" s="5" t="s">
        <v>74</v>
      </c>
      <c r="K106" s="8" t="n">
        <v>12.7072833460158</v>
      </c>
      <c r="L106" s="8" t="n">
        <v>333.261066139017</v>
      </c>
      <c r="M106" s="8" t="n">
        <f aca="false">M105+L106</f>
        <v>377678.618974594</v>
      </c>
      <c r="N106" s="5" t="str">
        <f aca="false">IF(L106&gt;0,"прибыль",IF(L106&lt;0,"убыток","ноль"))</f>
        <v>прибыль</v>
      </c>
      <c r="O106" s="6" t="n">
        <f aca="false">IF(L106&lt;0,O105+1,0)</f>
        <v>0</v>
      </c>
      <c r="P106" s="6" t="n">
        <v>21</v>
      </c>
    </row>
    <row r="107" customFormat="false" ht="15" hidden="false" customHeight="false" outlineLevel="0" collapsed="false">
      <c r="A107" s="6" t="n">
        <v>102</v>
      </c>
      <c r="B107" s="5" t="s">
        <v>76</v>
      </c>
      <c r="C107" s="5" t="s">
        <v>25</v>
      </c>
      <c r="D107" s="11" t="n">
        <v>45751</v>
      </c>
      <c r="E107" s="11" t="n">
        <v>45757</v>
      </c>
      <c r="F107" s="5" t="s">
        <v>75</v>
      </c>
      <c r="G107" s="12" t="n">
        <v>95051.1669482558</v>
      </c>
      <c r="H107" s="13" t="n">
        <v>69.61</v>
      </c>
      <c r="I107" s="13" t="n">
        <v>65.08</v>
      </c>
      <c r="K107" s="8" t="n">
        <v>4.4366619922003</v>
      </c>
      <c r="L107" s="8" t="n">
        <v>6313.49044225763</v>
      </c>
      <c r="M107" s="8" t="n">
        <f aca="false">M106+L107</f>
        <v>383992.109416851</v>
      </c>
      <c r="N107" s="5" t="str">
        <f aca="false">IF(L107&gt;0,"прибыль",IF(L107&lt;0,"убыток","ноль"))</f>
        <v>прибыль</v>
      </c>
      <c r="O107" s="6" t="n">
        <f aca="false">IF(L107&lt;0,O106+1,0)</f>
        <v>0</v>
      </c>
      <c r="P107" s="6" t="n">
        <v>4</v>
      </c>
    </row>
    <row r="108" customFormat="false" ht="15" hidden="false" customHeight="false" outlineLevel="0" collapsed="false">
      <c r="A108" s="6" t="n">
        <v>103</v>
      </c>
      <c r="B108" s="5" t="s">
        <v>76</v>
      </c>
      <c r="C108" s="5" t="s">
        <v>30</v>
      </c>
      <c r="D108" s="11" t="n">
        <v>45708</v>
      </c>
      <c r="E108" s="11" t="n">
        <v>45775</v>
      </c>
      <c r="F108" s="5" t="s">
        <v>73</v>
      </c>
      <c r="G108" s="12" t="n">
        <v>129093.296771582</v>
      </c>
      <c r="H108" s="13" t="n">
        <v>4.364</v>
      </c>
      <c r="I108" s="13" t="n">
        <v>2.937</v>
      </c>
      <c r="J108" s="5" t="s">
        <v>74</v>
      </c>
      <c r="K108" s="8" t="n">
        <v>15.9741755018723</v>
      </c>
      <c r="L108" s="8" t="n">
        <v>-9985.38675461335</v>
      </c>
      <c r="M108" s="8" t="n">
        <f aca="false">M107+L108</f>
        <v>374006.722662238</v>
      </c>
      <c r="N108" s="5" t="str">
        <f aca="false">IF(L108&gt;0,"прибыль",IF(L108&lt;0,"убыток","ноль"))</f>
        <v>убыток</v>
      </c>
      <c r="O108" s="6" t="n">
        <f aca="false">IF(L108&lt;0,O107+1,0)</f>
        <v>1</v>
      </c>
      <c r="P108" s="6" t="n">
        <v>47</v>
      </c>
    </row>
    <row r="109" customFormat="false" ht="15" hidden="false" customHeight="false" outlineLevel="0" collapsed="false">
      <c r="A109" s="6" t="n">
        <v>104</v>
      </c>
      <c r="B109" s="5" t="s">
        <v>76</v>
      </c>
      <c r="C109" s="5" t="s">
        <v>25</v>
      </c>
      <c r="D109" s="11" t="n">
        <v>45757</v>
      </c>
      <c r="E109" s="11" t="n">
        <v>45821</v>
      </c>
      <c r="F109" s="5" t="s">
        <v>75</v>
      </c>
      <c r="G109" s="12" t="n">
        <v>127858.623246541</v>
      </c>
      <c r="H109" s="13" t="n">
        <v>65.08</v>
      </c>
      <c r="I109" s="13" t="n">
        <v>73.76</v>
      </c>
      <c r="J109" s="5" t="s">
        <v>74</v>
      </c>
      <c r="K109" s="8" t="n">
        <v>18.9810950719795</v>
      </c>
      <c r="L109" s="8" t="n">
        <v>-15220.2955610469</v>
      </c>
      <c r="M109" s="8" t="n">
        <f aca="false">M108+L109</f>
        <v>358786.427101191</v>
      </c>
      <c r="N109" s="5" t="str">
        <f aca="false">IF(L109&gt;0,"прибыль",IF(L109&lt;0,"убыток","ноль"))</f>
        <v>убыток</v>
      </c>
      <c r="O109" s="6" t="n">
        <f aca="false">IF(L109&lt;0,O108+1,0)</f>
        <v>2</v>
      </c>
      <c r="P109" s="6" t="n">
        <v>43</v>
      </c>
    </row>
    <row r="110" customFormat="false" ht="15" hidden="false" customHeight="false" outlineLevel="0" collapsed="false">
      <c r="A110" s="6" t="n">
        <v>105</v>
      </c>
      <c r="B110" s="5" t="s">
        <v>76</v>
      </c>
      <c r="C110" s="5" t="s">
        <v>25</v>
      </c>
      <c r="D110" s="11" t="n">
        <v>45821</v>
      </c>
      <c r="E110" s="11" t="n">
        <v>45824</v>
      </c>
      <c r="F110" s="5" t="s">
        <v>75</v>
      </c>
      <c r="G110" s="12" t="n">
        <v>90148.9736855348</v>
      </c>
      <c r="H110" s="13" t="n">
        <v>73.76</v>
      </c>
      <c r="I110" s="13" t="n">
        <v>74.63</v>
      </c>
      <c r="K110" s="8" t="n">
        <v>5.10427205129846</v>
      </c>
      <c r="L110" s="8" t="n">
        <v>-11941.5716124858</v>
      </c>
      <c r="M110" s="8" t="n">
        <f aca="false">M109+L110</f>
        <v>346844.855488705</v>
      </c>
      <c r="N110" s="5" t="str">
        <f aca="false">IF(L110&gt;0,"прибыль",IF(L110&lt;0,"убыток","ноль"))</f>
        <v>убыток</v>
      </c>
      <c r="O110" s="6" t="n">
        <f aca="false">IF(L110&lt;0,O109+1,0)</f>
        <v>3</v>
      </c>
      <c r="P110" s="6" t="n">
        <v>1</v>
      </c>
    </row>
    <row r="111" customFormat="false" ht="15" hidden="false" customHeight="false" outlineLevel="0" collapsed="false">
      <c r="A111" s="6" t="n">
        <v>106</v>
      </c>
      <c r="B111" s="5" t="s">
        <v>76</v>
      </c>
      <c r="C111" s="5" t="s">
        <v>25</v>
      </c>
      <c r="D111" s="11" t="n">
        <v>45824</v>
      </c>
      <c r="E111" s="11" t="n">
        <v>45826</v>
      </c>
      <c r="F111" s="5" t="s">
        <v>75</v>
      </c>
      <c r="G111" s="12" t="n">
        <v>194913.588657136</v>
      </c>
      <c r="H111" s="13" t="n">
        <v>74.63</v>
      </c>
      <c r="I111" s="13" t="n">
        <v>76.18</v>
      </c>
      <c r="K111" s="8" t="n">
        <v>20.7855631242787</v>
      </c>
      <c r="L111" s="8" t="n">
        <v>-30449.8313072654</v>
      </c>
      <c r="M111" s="8" t="n">
        <f aca="false">M110+L111</f>
        <v>316395.02418144</v>
      </c>
      <c r="N111" s="5" t="str">
        <f aca="false">IF(L111&gt;0,"прибыль",IF(L111&lt;0,"убыток","ноль"))</f>
        <v>убыток</v>
      </c>
      <c r="O111" s="6" t="n">
        <f aca="false">IF(L111&lt;0,O110+1,0)</f>
        <v>4</v>
      </c>
      <c r="P111" s="6" t="n">
        <v>2</v>
      </c>
    </row>
    <row r="112" customFormat="false" ht="15" hidden="false" customHeight="false" outlineLevel="0" collapsed="false">
      <c r="A112" s="6" t="n">
        <v>107</v>
      </c>
      <c r="B112" s="5" t="s">
        <v>76</v>
      </c>
      <c r="C112" s="5" t="s">
        <v>25</v>
      </c>
      <c r="D112" s="11" t="n">
        <v>45826</v>
      </c>
      <c r="E112" s="11" t="n">
        <v>45846</v>
      </c>
      <c r="F112" s="5" t="s">
        <v>73</v>
      </c>
      <c r="G112" s="12" t="n">
        <v>38564.8217883779</v>
      </c>
      <c r="H112" s="13" t="n">
        <v>76.18</v>
      </c>
      <c r="I112" s="13" t="n">
        <v>69.02</v>
      </c>
      <c r="J112" s="5" t="s">
        <v>74</v>
      </c>
      <c r="K112" s="8" t="n">
        <v>1.75073708457119</v>
      </c>
      <c r="L112" s="8" t="n">
        <v>-3551.8308340386</v>
      </c>
      <c r="M112" s="8" t="n">
        <f aca="false">M111+L112</f>
        <v>312843.193347401</v>
      </c>
      <c r="N112" s="5" t="str">
        <f aca="false">IF(L112&gt;0,"прибыль",IF(L112&lt;0,"убыток","ноль"))</f>
        <v>убыток</v>
      </c>
      <c r="O112" s="6" t="n">
        <f aca="false">IF(L112&lt;0,O111+1,0)</f>
        <v>5</v>
      </c>
      <c r="P112" s="6" t="n">
        <v>14</v>
      </c>
    </row>
    <row r="113" customFormat="false" ht="15" hidden="false" customHeight="false" outlineLevel="0" collapsed="false">
      <c r="A113" s="6" t="n">
        <v>108</v>
      </c>
      <c r="B113" s="5" t="s">
        <v>76</v>
      </c>
      <c r="C113" s="5" t="s">
        <v>25</v>
      </c>
      <c r="D113" s="11" t="n">
        <v>45846</v>
      </c>
      <c r="E113" s="11" t="n">
        <v>45924</v>
      </c>
      <c r="F113" s="5" t="s">
        <v>73</v>
      </c>
      <c r="G113" s="12" t="n">
        <v>100798.429794978</v>
      </c>
      <c r="H113" s="13" t="n">
        <v>69.02</v>
      </c>
      <c r="I113" s="13" t="n">
        <v>67.72</v>
      </c>
      <c r="J113" s="5" t="s">
        <v>74</v>
      </c>
      <c r="K113" s="8" t="n">
        <v>22.3020616602666</v>
      </c>
      <c r="L113" s="8" t="n">
        <v>-1392.70759366675</v>
      </c>
      <c r="M113" s="8" t="n">
        <f aca="false">M112+L113</f>
        <v>311450.485753734</v>
      </c>
      <c r="N113" s="5" t="str">
        <f aca="false">IF(L113&gt;0,"прибыль",IF(L113&lt;0,"убыток","ноль"))</f>
        <v>убыток</v>
      </c>
      <c r="O113" s="6" t="n">
        <f aca="false">IF(L113&lt;0,O112+1,0)</f>
        <v>6</v>
      </c>
      <c r="P113" s="6" t="n">
        <v>66</v>
      </c>
    </row>
    <row r="114" customFormat="false" ht="15" hidden="false" customHeight="false" outlineLevel="0" collapsed="false">
      <c r="A114" s="6" t="n">
        <v>109</v>
      </c>
      <c r="B114" s="5" t="s">
        <v>76</v>
      </c>
      <c r="C114" s="5" t="s">
        <v>30</v>
      </c>
      <c r="D114" s="11" t="n">
        <v>45775</v>
      </c>
      <c r="E114" s="11" t="n">
        <v>45932</v>
      </c>
      <c r="F114" s="5" t="s">
        <v>75</v>
      </c>
      <c r="G114" s="12" t="n">
        <v>69548.020716732</v>
      </c>
      <c r="H114" s="13" t="n">
        <v>2.937</v>
      </c>
      <c r="I114" s="13" t="n">
        <v>3.445</v>
      </c>
      <c r="J114" s="5" t="s">
        <v>74</v>
      </c>
      <c r="K114" s="8" t="n">
        <v>11.4174947463891</v>
      </c>
      <c r="L114" s="8" t="n">
        <v>7854.79394215779</v>
      </c>
      <c r="M114" s="8" t="n">
        <f aca="false">M113+L114</f>
        <v>319305.279695892</v>
      </c>
      <c r="N114" s="5" t="str">
        <f aca="false">IF(L114&gt;0,"прибыль",IF(L114&lt;0,"убыток","ноль"))</f>
        <v>прибыль</v>
      </c>
      <c r="O114" s="6" t="n">
        <f aca="false">IF(L114&lt;0,O113+1,0)</f>
        <v>0</v>
      </c>
      <c r="P114" s="6" t="n">
        <v>122</v>
      </c>
    </row>
    <row r="115" customFormat="false" ht="15" hidden="false" customHeight="false" outlineLevel="0" collapsed="false">
      <c r="A115" s="6" t="n">
        <v>110</v>
      </c>
      <c r="B115" s="5" t="s">
        <v>76</v>
      </c>
      <c r="C115" s="5" t="s">
        <v>25</v>
      </c>
      <c r="D115" s="11" t="n">
        <v>45924</v>
      </c>
      <c r="E115" s="11" t="n">
        <v>45941</v>
      </c>
      <c r="F115" s="5" t="s">
        <v>73</v>
      </c>
      <c r="G115" s="12" t="n">
        <v>397618.5854433</v>
      </c>
      <c r="H115" s="13" t="n">
        <v>67.72</v>
      </c>
      <c r="I115" s="13" t="n">
        <v>62.42</v>
      </c>
      <c r="J115" s="5" t="s">
        <v>74</v>
      </c>
      <c r="K115" s="8" t="n">
        <v>33.6387160295362</v>
      </c>
      <c r="L115" s="8" t="n">
        <v>-29104.0302442575</v>
      </c>
      <c r="M115" s="8" t="n">
        <f aca="false">M114+L115</f>
        <v>290201.249451635</v>
      </c>
      <c r="N115" s="5" t="str">
        <f aca="false">IF(L115&gt;0,"прибыль",IF(L115&lt;0,"убыток","ноль"))</f>
        <v>убыток</v>
      </c>
      <c r="O115" s="6" t="n">
        <f aca="false">IF(L115&lt;0,O114+1,0)</f>
        <v>1</v>
      </c>
      <c r="P115" s="6" t="n">
        <v>17</v>
      </c>
    </row>
    <row r="116" customFormat="false" ht="15" hidden="false" customHeight="false" outlineLevel="0" collapsed="false">
      <c r="A116" s="6" t="n">
        <v>111</v>
      </c>
      <c r="B116" s="5" t="s">
        <v>76</v>
      </c>
      <c r="C116" s="5" t="s">
        <v>30</v>
      </c>
      <c r="D116" s="11" t="n">
        <v>45932</v>
      </c>
      <c r="E116" s="11" t="n">
        <v>45951</v>
      </c>
      <c r="F116" s="5" t="s">
        <v>75</v>
      </c>
      <c r="G116" s="12" t="n">
        <v>74226.669094204</v>
      </c>
      <c r="H116" s="13" t="n">
        <v>3.445</v>
      </c>
      <c r="I116" s="13" t="n">
        <v>3.388</v>
      </c>
      <c r="K116" s="8" t="n">
        <v>3.23897167948934</v>
      </c>
      <c r="L116" s="8" t="n">
        <v>9443.99653273776</v>
      </c>
      <c r="M116" s="8" t="n">
        <f aca="false">M115+L116</f>
        <v>299645.245984372</v>
      </c>
      <c r="N116" s="5" t="str">
        <f aca="false">IF(L116&gt;0,"прибыль",IF(L116&lt;0,"убыток","ноль"))</f>
        <v>прибыль</v>
      </c>
      <c r="O116" s="6" t="n">
        <f aca="false">IF(L116&lt;0,O115+1,0)</f>
        <v>0</v>
      </c>
      <c r="P116" s="6" t="n">
        <v>19</v>
      </c>
    </row>
    <row r="117" customFormat="false" ht="15" hidden="false" customHeight="false" outlineLevel="0" collapsed="false">
      <c r="A117" s="6" t="n">
        <v>112</v>
      </c>
      <c r="B117" s="5" t="s">
        <v>76</v>
      </c>
      <c r="C117" s="5" t="s">
        <v>30</v>
      </c>
      <c r="D117" s="11" t="n">
        <v>45951</v>
      </c>
      <c r="E117" s="11" t="n">
        <v>45970</v>
      </c>
      <c r="F117" s="5" t="s">
        <v>75</v>
      </c>
      <c r="G117" s="12" t="n">
        <v>155062.245244577</v>
      </c>
      <c r="H117" s="13" t="n">
        <v>3.388</v>
      </c>
      <c r="I117" s="13" t="n">
        <v>4.328</v>
      </c>
      <c r="J117" s="5" t="s">
        <v>74</v>
      </c>
      <c r="K117" s="8" t="n">
        <v>14.4909711740641</v>
      </c>
      <c r="L117" s="8" t="n">
        <v>4304.12891282828</v>
      </c>
      <c r="M117" s="8" t="n">
        <f aca="false">M116+L117</f>
        <v>303949.374897201</v>
      </c>
      <c r="N117" s="5" t="str">
        <f aca="false">IF(L117&gt;0,"прибыль",IF(L117&lt;0,"убыток","ноль"))</f>
        <v>прибыль</v>
      </c>
      <c r="O117" s="6" t="n">
        <f aca="false">IF(L117&lt;0,O116+1,0)</f>
        <v>0</v>
      </c>
      <c r="P117" s="6" t="n">
        <v>15</v>
      </c>
    </row>
    <row r="118" customFormat="false" ht="15" hidden="false" customHeight="false" outlineLevel="0" collapsed="false">
      <c r="A118" s="6" t="n">
        <v>113</v>
      </c>
      <c r="B118" s="5" t="s">
        <v>76</v>
      </c>
      <c r="C118" s="5" t="s">
        <v>30</v>
      </c>
      <c r="D118" s="11" t="n">
        <v>45970</v>
      </c>
      <c r="E118" s="11" t="n">
        <v>46000</v>
      </c>
      <c r="F118" s="5" t="s">
        <v>73</v>
      </c>
      <c r="G118" s="12" t="n">
        <v>57753.9400019776</v>
      </c>
      <c r="H118" s="13" t="n">
        <v>4.328</v>
      </c>
      <c r="I118" s="13" t="n">
        <v>4.846</v>
      </c>
      <c r="J118" s="5" t="s">
        <v>74</v>
      </c>
      <c r="K118" s="8" t="n">
        <v>6.1453242697511</v>
      </c>
      <c r="L118" s="8" t="n">
        <v>6419.95813649869</v>
      </c>
      <c r="M118" s="8" t="n">
        <f aca="false">M117+L118</f>
        <v>310369.333033699</v>
      </c>
      <c r="N118" s="5" t="str">
        <f aca="false">IF(L118&gt;0,"прибыль",IF(L118&lt;0,"убыток","ноль"))</f>
        <v>прибыль</v>
      </c>
      <c r="O118" s="6" t="n">
        <f aca="false">IF(L118&lt;0,O117+1,0)</f>
        <v>0</v>
      </c>
      <c r="P118" s="6" t="n">
        <v>26</v>
      </c>
    </row>
    <row r="119" customFormat="false" ht="15" hidden="false" customHeight="false" outlineLevel="0" collapsed="false">
      <c r="A119" s="6" t="n">
        <v>114</v>
      </c>
      <c r="B119" s="5" t="s">
        <v>76</v>
      </c>
      <c r="C119" s="5" t="s">
        <v>25</v>
      </c>
      <c r="D119" s="11" t="n">
        <v>45941</v>
      </c>
      <c r="E119" s="11" t="n">
        <v>46014</v>
      </c>
      <c r="F119" s="5" t="s">
        <v>75</v>
      </c>
      <c r="G119" s="12" t="n">
        <v>104592.684529026</v>
      </c>
      <c r="H119" s="13" t="n">
        <v>62.42</v>
      </c>
      <c r="I119" s="13" t="n">
        <v>61.89</v>
      </c>
      <c r="J119" s="5" t="s">
        <v>74</v>
      </c>
      <c r="K119" s="8" t="n">
        <v>13.0284728740498</v>
      </c>
      <c r="L119" s="8" t="n">
        <v>888.975129482049</v>
      </c>
      <c r="M119" s="8" t="n">
        <f aca="false">M118+L119</f>
        <v>311258.308163181</v>
      </c>
      <c r="N119" s="5" t="str">
        <f aca="false">IF(L119&gt;0,"прибыль",IF(L119&lt;0,"убыток","ноль"))</f>
        <v>прибыль</v>
      </c>
      <c r="O119" s="6" t="n">
        <f aca="false">IF(L119&lt;0,O118+1,0)</f>
        <v>0</v>
      </c>
      <c r="P119" s="6" t="n">
        <v>65</v>
      </c>
    </row>
    <row r="120" customFormat="false" ht="15" hidden="false" customHeight="false" outlineLevel="0" collapsed="false">
      <c r="A120" s="6" t="n">
        <v>115</v>
      </c>
      <c r="B120" s="5" t="s">
        <v>76</v>
      </c>
      <c r="C120" s="5" t="s">
        <v>30</v>
      </c>
      <c r="D120" s="11" t="n">
        <v>46000</v>
      </c>
      <c r="E120" s="11" t="n">
        <v>46015</v>
      </c>
      <c r="F120" s="5" t="s">
        <v>73</v>
      </c>
      <c r="G120" s="12" t="n">
        <v>42432.7356529756</v>
      </c>
      <c r="H120" s="13" t="n">
        <v>4.846</v>
      </c>
      <c r="I120" s="13" t="n">
        <v>4.41</v>
      </c>
      <c r="K120" s="8" t="n">
        <v>2.14377757155875</v>
      </c>
      <c r="L120" s="8" t="n">
        <v>440.672000627781</v>
      </c>
      <c r="M120" s="8" t="n">
        <f aca="false">M119+L120</f>
        <v>311698.980163809</v>
      </c>
      <c r="N120" s="5" t="str">
        <f aca="false">IF(L120&gt;0,"прибыль",IF(L120&lt;0,"убыток","ноль"))</f>
        <v>прибыль</v>
      </c>
      <c r="O120" s="6" t="n">
        <f aca="false">IF(L120&lt;0,O119+1,0)</f>
        <v>0</v>
      </c>
      <c r="P120" s="6" t="n">
        <v>15</v>
      </c>
    </row>
    <row r="121" customFormat="false" ht="15" hidden="false" customHeight="false" outlineLevel="0" collapsed="false">
      <c r="A121" s="6" t="n">
        <v>116</v>
      </c>
      <c r="B121" s="5" t="s">
        <v>76</v>
      </c>
      <c r="C121" s="5" t="s">
        <v>30</v>
      </c>
      <c r="D121" s="11" t="n">
        <v>46015</v>
      </c>
      <c r="E121" s="11" t="n">
        <v>46034</v>
      </c>
      <c r="F121" s="5" t="s">
        <v>73</v>
      </c>
      <c r="G121" s="12" t="n">
        <v>116889.618189619</v>
      </c>
      <c r="H121" s="13" t="n">
        <v>4.41</v>
      </c>
      <c r="I121" s="13" t="n">
        <v>3.222</v>
      </c>
      <c r="J121" s="5" t="s">
        <v>74</v>
      </c>
      <c r="K121" s="8" t="n">
        <v>10.8751080813379</v>
      </c>
      <c r="L121" s="8" t="n">
        <v>-19753.6247176286</v>
      </c>
      <c r="M121" s="8" t="n">
        <f aca="false">M120+L121</f>
        <v>291945.355446181</v>
      </c>
      <c r="N121" s="5" t="str">
        <f aca="false">IF(L121&gt;0,"прибыль",IF(L121&lt;0,"убыток","ноль"))</f>
        <v>убыток</v>
      </c>
      <c r="O121" s="6" t="n">
        <f aca="false">IF(L121&lt;0,O120+1,0)</f>
        <v>1</v>
      </c>
      <c r="P121" s="6" t="n">
        <v>11</v>
      </c>
    </row>
    <row r="122" customFormat="false" ht="15" hidden="false" customHeight="false" outlineLevel="0" collapsed="false">
      <c r="A122" s="6" t="n">
        <v>117</v>
      </c>
      <c r="B122" s="5" t="s">
        <v>76</v>
      </c>
      <c r="C122" s="5" t="s">
        <v>30</v>
      </c>
      <c r="D122" s="11" t="n">
        <v>46034</v>
      </c>
      <c r="E122" s="11" t="n">
        <v>46042</v>
      </c>
      <c r="F122" s="5" t="s">
        <v>75</v>
      </c>
      <c r="G122" s="12" t="n">
        <v>28949.1805672845</v>
      </c>
      <c r="H122" s="13" t="n">
        <v>3.222</v>
      </c>
      <c r="I122" s="13" t="n">
        <v>3.672</v>
      </c>
      <c r="K122" s="8" t="n">
        <v>1.65913807366355</v>
      </c>
      <c r="L122" s="8" t="n">
        <v>-4235.24004406016</v>
      </c>
      <c r="M122" s="8" t="n">
        <f aca="false">M121+L122</f>
        <v>287710.11540212</v>
      </c>
      <c r="N122" s="5" t="str">
        <f aca="false">IF(L122&gt;0,"прибыль",IF(L122&lt;0,"убыток","ноль"))</f>
        <v>убыток</v>
      </c>
      <c r="O122" s="6" t="n">
        <f aca="false">IF(L122&lt;0,O121+1,0)</f>
        <v>2</v>
      </c>
      <c r="P122" s="6" t="n">
        <v>8</v>
      </c>
    </row>
    <row r="123" customFormat="false" ht="15" hidden="false" customHeight="false" outlineLevel="0" collapsed="false">
      <c r="A123" s="6" t="n">
        <v>118</v>
      </c>
      <c r="B123" s="5" t="s">
        <v>76</v>
      </c>
      <c r="C123" s="5" t="s">
        <v>25</v>
      </c>
      <c r="D123" s="11" t="n">
        <v>46014</v>
      </c>
      <c r="E123" s="11" t="n">
        <v>46044</v>
      </c>
      <c r="F123" s="5" t="s">
        <v>75</v>
      </c>
      <c r="G123" s="12" t="n">
        <v>356512.218700952</v>
      </c>
      <c r="H123" s="13" t="n">
        <v>61.89</v>
      </c>
      <c r="I123" s="13" t="n">
        <v>65.31</v>
      </c>
      <c r="J123" s="5" t="s">
        <v>74</v>
      </c>
      <c r="K123" s="8" t="n">
        <v>34.7349340065597</v>
      </c>
      <c r="L123" s="8" t="n">
        <v>-18697.6987231471</v>
      </c>
      <c r="M123" s="8" t="n">
        <f aca="false">M122+L123</f>
        <v>269012.416678973</v>
      </c>
      <c r="N123" s="5" t="str">
        <f aca="false">IF(L123&gt;0,"прибыль",IF(L123&lt;0,"убыток","ноль"))</f>
        <v>убыток</v>
      </c>
      <c r="O123" s="6" t="n">
        <f aca="false">IF(L123&lt;0,O122+1,0)</f>
        <v>3</v>
      </c>
      <c r="P123" s="6" t="n">
        <v>22</v>
      </c>
    </row>
    <row r="124" customFormat="false" ht="15" hidden="false" customHeight="false" outlineLevel="0" collapsed="false">
      <c r="A124" s="6" t="n">
        <v>119</v>
      </c>
      <c r="B124" s="5" t="s">
        <v>76</v>
      </c>
      <c r="C124" s="5" t="s">
        <v>30</v>
      </c>
      <c r="D124" s="11" t="n">
        <v>46042</v>
      </c>
      <c r="E124" s="11" t="n">
        <v>46044</v>
      </c>
      <c r="F124" s="5" t="s">
        <v>75</v>
      </c>
      <c r="G124" s="12" t="n">
        <v>35372.07899427</v>
      </c>
      <c r="H124" s="13" t="n">
        <v>3.672</v>
      </c>
      <c r="I124" s="13" t="n">
        <v>5.341</v>
      </c>
      <c r="K124" s="8" t="n">
        <v>2.95216649078734</v>
      </c>
      <c r="L124" s="8" t="n">
        <v>-23674.2029879675</v>
      </c>
      <c r="M124" s="8" t="n">
        <f aca="false">M123+L124</f>
        <v>245338.213691006</v>
      </c>
      <c r="N124" s="5" t="str">
        <f aca="false">IF(L124&gt;0,"прибыль",IF(L124&lt;0,"убыток","ноль"))</f>
        <v>убыток</v>
      </c>
      <c r="O124" s="6" t="n">
        <f aca="false">IF(L124&lt;0,O123+1,0)</f>
        <v>4</v>
      </c>
      <c r="P124" s="6" t="n">
        <v>2</v>
      </c>
    </row>
    <row r="125" customFormat="false" ht="15" hidden="false" customHeight="false" outlineLevel="0" collapsed="false">
      <c r="A125" s="6" t="n">
        <v>120</v>
      </c>
      <c r="B125" s="5" t="s">
        <v>76</v>
      </c>
      <c r="C125" s="5" t="s">
        <v>30</v>
      </c>
      <c r="D125" s="11" t="n">
        <v>46044</v>
      </c>
      <c r="E125" s="11" t="n">
        <v>46047</v>
      </c>
      <c r="F125" s="5" t="s">
        <v>75</v>
      </c>
      <c r="G125" s="12" t="n">
        <v>36759.9796935439</v>
      </c>
      <c r="H125" s="13" t="n">
        <v>5.341</v>
      </c>
      <c r="I125" s="13" t="n">
        <v>5.533</v>
      </c>
      <c r="K125" s="8" t="n">
        <v>5.9252578695012</v>
      </c>
      <c r="L125" s="8" t="n">
        <v>-26822.4658235454</v>
      </c>
      <c r="M125" s="8" t="n">
        <f aca="false">M124+L125</f>
        <v>218515.74786746</v>
      </c>
      <c r="N125" s="5" t="str">
        <f aca="false">IF(L125&gt;0,"прибыль",IF(L125&lt;0,"убыток","ноль"))</f>
        <v>убыток</v>
      </c>
      <c r="O125" s="6" t="n">
        <f aca="false">IF(L125&lt;0,O124+1,0)</f>
        <v>5</v>
      </c>
      <c r="P125" s="6" t="n">
        <v>3</v>
      </c>
    </row>
    <row r="126" customFormat="false" ht="15" hidden="false" customHeight="false" outlineLevel="0" collapsed="false">
      <c r="A126" s="6" t="n">
        <v>121</v>
      </c>
      <c r="B126" s="5" t="s">
        <v>76</v>
      </c>
      <c r="C126" s="5" t="s">
        <v>30</v>
      </c>
      <c r="D126" s="11" t="n">
        <v>46047</v>
      </c>
      <c r="E126" s="11" t="n">
        <v>46049</v>
      </c>
      <c r="F126" s="5" t="s">
        <v>73</v>
      </c>
      <c r="G126" s="12" t="n">
        <v>13131.0570768044</v>
      </c>
      <c r="H126" s="13" t="n">
        <v>5.533</v>
      </c>
      <c r="I126" s="13" t="n">
        <v>6.546</v>
      </c>
      <c r="K126" s="8" t="n">
        <v>0.76946819402172</v>
      </c>
      <c r="L126" s="8" t="n">
        <v>2257.53733543597</v>
      </c>
      <c r="M126" s="8" t="n">
        <f aca="false">M125+L126</f>
        <v>220773.285202896</v>
      </c>
      <c r="N126" s="5" t="str">
        <f aca="false">IF(L126&gt;0,"прибыль",IF(L126&lt;0,"убыток","ноль"))</f>
        <v>прибыль</v>
      </c>
      <c r="O126" s="6" t="n">
        <f aca="false">IF(L126&lt;0,O125+1,0)</f>
        <v>0</v>
      </c>
      <c r="P126" s="6" t="n">
        <v>2</v>
      </c>
    </row>
    <row r="127" customFormat="false" ht="15" hidden="false" customHeight="false" outlineLevel="0" collapsed="false">
      <c r="A127" s="6" t="n">
        <v>122</v>
      </c>
      <c r="B127" s="5" t="s">
        <v>76</v>
      </c>
      <c r="C127" s="5" t="s">
        <v>25</v>
      </c>
      <c r="D127" s="11" t="n">
        <v>46044</v>
      </c>
      <c r="E127" s="11" t="n">
        <v>46072</v>
      </c>
      <c r="F127" s="5" t="s">
        <v>73</v>
      </c>
      <c r="G127" s="12" t="n">
        <v>97493.0965343805</v>
      </c>
      <c r="H127" s="13" t="n">
        <v>65.31</v>
      </c>
      <c r="I127" s="13" t="n">
        <v>70.54</v>
      </c>
      <c r="J127" s="5" t="s">
        <v>74</v>
      </c>
      <c r="K127" s="8" t="n">
        <v>5.62051695568237</v>
      </c>
      <c r="L127" s="8" t="n">
        <v>14911.6220623112</v>
      </c>
      <c r="M127" s="8" t="n">
        <f aca="false">M126+L127</f>
        <v>235684.907265208</v>
      </c>
      <c r="N127" s="5" t="str">
        <f aca="false">IF(L127&gt;0,"прибыль",IF(L127&lt;0,"убыток","ноль"))</f>
        <v>прибыль</v>
      </c>
      <c r="O127" s="6" t="n">
        <f aca="false">IF(L127&lt;0,O126+1,0)</f>
        <v>0</v>
      </c>
      <c r="P127" s="6" t="n">
        <v>26</v>
      </c>
    </row>
    <row r="128" customFormat="false" ht="15" hidden="false" customHeight="false" outlineLevel="0" collapsed="false">
      <c r="A128" s="6" t="n">
        <v>123</v>
      </c>
      <c r="B128" s="5" t="s">
        <v>76</v>
      </c>
      <c r="C128" s="5" t="s">
        <v>25</v>
      </c>
      <c r="D128" s="11" t="n">
        <v>46072</v>
      </c>
      <c r="E128" s="11" t="n">
        <v>46090</v>
      </c>
      <c r="F128" s="5" t="s">
        <v>73</v>
      </c>
      <c r="G128" s="12" t="n">
        <v>74694.616105718</v>
      </c>
      <c r="H128" s="13" t="n">
        <v>70.54</v>
      </c>
      <c r="I128" s="13" t="n">
        <v>105.61</v>
      </c>
      <c r="J128" s="5" t="s">
        <v>74</v>
      </c>
      <c r="K128" s="8" t="n">
        <v>5.8191334522708</v>
      </c>
      <c r="L128" s="8" t="n">
        <v>41682.2338062458</v>
      </c>
      <c r="M128" s="8" t="n">
        <f aca="false">M127+L128</f>
        <v>277367.141071453</v>
      </c>
      <c r="N128" s="5" t="str">
        <f aca="false">IF(L128&gt;0,"прибыль",IF(L128&lt;0,"убыток","ноль"))</f>
        <v>прибыль</v>
      </c>
      <c r="O128" s="6" t="n">
        <f aca="false">IF(L128&lt;0,O127+1,0)</f>
        <v>0</v>
      </c>
      <c r="P128" s="6" t="n">
        <v>16</v>
      </c>
    </row>
    <row r="129" customFormat="false" ht="15" hidden="false" customHeight="false" outlineLevel="0" collapsed="false">
      <c r="A129" s="6" t="n">
        <v>124</v>
      </c>
      <c r="B129" s="5" t="s">
        <v>76</v>
      </c>
      <c r="C129" s="5" t="s">
        <v>30</v>
      </c>
      <c r="D129" s="11" t="n">
        <v>46049</v>
      </c>
      <c r="E129" s="11" t="n">
        <v>46093</v>
      </c>
      <c r="F129" s="5" t="s">
        <v>73</v>
      </c>
      <c r="G129" s="12" t="n">
        <v>46469.2098281337</v>
      </c>
      <c r="H129" s="13" t="n">
        <v>6.546</v>
      </c>
      <c r="I129" s="13" t="n">
        <v>3.284</v>
      </c>
      <c r="J129" s="5" t="s">
        <v>74</v>
      </c>
      <c r="K129" s="8" t="n">
        <v>10.0624882778716</v>
      </c>
      <c r="L129" s="8" t="n">
        <v>5564.17326034782</v>
      </c>
      <c r="M129" s="8" t="n">
        <f aca="false">M128+L129</f>
        <v>282931.314331801</v>
      </c>
      <c r="N129" s="5" t="str">
        <f aca="false">IF(L129&gt;0,"прибыль",IF(L129&lt;0,"убыток","ноль"))</f>
        <v>прибыль</v>
      </c>
      <c r="O129" s="6" t="n">
        <f aca="false">IF(L129&lt;0,O128+1,0)</f>
        <v>0</v>
      </c>
      <c r="P129" s="6" t="n">
        <v>40</v>
      </c>
    </row>
    <row r="130" customFormat="false" ht="15" hidden="false" customHeight="false" outlineLevel="0" collapsed="false">
      <c r="A130" s="6" t="n">
        <v>125</v>
      </c>
      <c r="B130" s="5" t="s">
        <v>76</v>
      </c>
      <c r="C130" s="5" t="s">
        <v>25</v>
      </c>
      <c r="D130" s="11" t="n">
        <v>46090</v>
      </c>
      <c r="E130" s="11" t="n">
        <v>46094</v>
      </c>
      <c r="F130" s="5" t="s">
        <v>73</v>
      </c>
      <c r="G130" s="12" t="n">
        <v>48924.2074987072</v>
      </c>
      <c r="H130" s="13" t="n">
        <v>105.61</v>
      </c>
      <c r="I130" s="13" t="n">
        <v>101.16</v>
      </c>
      <c r="K130" s="8" t="n">
        <v>3.6493740747297</v>
      </c>
      <c r="L130" s="8" t="n">
        <v>24059.6246218122</v>
      </c>
      <c r="M130" s="8" t="n">
        <f aca="false">M129+L130</f>
        <v>306990.938953613</v>
      </c>
      <c r="N130" s="5" t="str">
        <f aca="false">IF(L130&gt;0,"прибыль",IF(L130&lt;0,"убыток","ноль"))</f>
        <v>прибыль</v>
      </c>
      <c r="O130" s="6" t="n">
        <f aca="false">IF(L130&lt;0,O129+1,0)</f>
        <v>0</v>
      </c>
      <c r="P130" s="6" t="n">
        <v>4</v>
      </c>
    </row>
    <row r="131" customFormat="false" ht="15" hidden="false" customHeight="false" outlineLevel="0" collapsed="false">
      <c r="A131" s="6" t="n">
        <v>126</v>
      </c>
      <c r="B131" s="5" t="s">
        <v>76</v>
      </c>
      <c r="C131" s="5" t="s">
        <v>25</v>
      </c>
      <c r="D131" s="11" t="n">
        <v>46094</v>
      </c>
      <c r="E131" s="11" t="n">
        <v>46105</v>
      </c>
      <c r="F131" s="5" t="s">
        <v>73</v>
      </c>
      <c r="G131" s="12" t="n">
        <v>23640.1430896323</v>
      </c>
      <c r="H131" s="13" t="n">
        <v>101.16</v>
      </c>
      <c r="I131" s="13" t="n">
        <v>103.95</v>
      </c>
      <c r="K131" s="8" t="n">
        <v>1.81105858196488</v>
      </c>
      <c r="L131" s="8" t="n">
        <v>12579.2174910834</v>
      </c>
      <c r="M131" s="8" t="n">
        <f aca="false">M130+L131</f>
        <v>319570.156444697</v>
      </c>
      <c r="N131" s="5" t="str">
        <f aca="false">IF(L131&gt;0,"прибыль",IF(L131&lt;0,"убыток","ноль"))</f>
        <v>прибыль</v>
      </c>
      <c r="O131" s="6" t="n">
        <f aca="false">IF(L131&lt;0,O130+1,0)</f>
        <v>0</v>
      </c>
      <c r="P131" s="6" t="n">
        <v>9</v>
      </c>
    </row>
    <row r="132" customFormat="false" ht="15" hidden="false" customHeight="false" outlineLevel="0" collapsed="false">
      <c r="A132" s="6" t="n">
        <v>127</v>
      </c>
      <c r="B132" s="5" t="s">
        <v>76</v>
      </c>
      <c r="C132" s="5" t="s">
        <v>30</v>
      </c>
      <c r="D132" s="11" t="n">
        <v>46093</v>
      </c>
      <c r="E132" s="11" t="n">
        <v>46125</v>
      </c>
      <c r="F132" s="5" t="s">
        <v>73</v>
      </c>
      <c r="G132" s="12" t="n">
        <v>234843.386736348</v>
      </c>
      <c r="H132" s="13" t="n">
        <v>3.284</v>
      </c>
      <c r="I132" s="13" t="n">
        <v>2.718</v>
      </c>
      <c r="J132" s="5" t="s">
        <v>74</v>
      </c>
      <c r="K132" s="8" t="n">
        <v>27.8831754752871</v>
      </c>
      <c r="L132" s="8" t="n">
        <v>-17189.1158619163</v>
      </c>
      <c r="M132" s="8" t="n">
        <f aca="false">M131+L132</f>
        <v>302381.04058278</v>
      </c>
      <c r="N132" s="5" t="str">
        <f aca="false">IF(L132&gt;0,"прибыль",IF(L132&lt;0,"убыток","ноль"))</f>
        <v>убыток</v>
      </c>
      <c r="O132" s="6" t="n">
        <f aca="false">IF(L132&lt;0,O131+1,0)</f>
        <v>1</v>
      </c>
      <c r="P132" s="6" t="n">
        <v>30</v>
      </c>
    </row>
    <row r="133" customFormat="false" ht="15" hidden="false" customHeight="false" outlineLevel="0" collapsed="false">
      <c r="A133" s="6" t="n">
        <v>128</v>
      </c>
      <c r="B133" s="5" t="s">
        <v>76</v>
      </c>
      <c r="C133" s="5" t="s">
        <v>30</v>
      </c>
      <c r="D133" s="11" t="n">
        <v>46125</v>
      </c>
      <c r="E133" s="11" t="n">
        <v>46154</v>
      </c>
      <c r="F133" s="5" t="s">
        <v>75</v>
      </c>
      <c r="G133" s="12" t="n">
        <v>66665.7491387443</v>
      </c>
      <c r="H133" s="13" t="n">
        <v>2.718</v>
      </c>
      <c r="I133" s="13" t="n">
        <v>2.946</v>
      </c>
      <c r="J133" s="5" t="s">
        <v>74</v>
      </c>
      <c r="K133" s="8" t="n">
        <v>3.40129642619896</v>
      </c>
      <c r="L133" s="8" t="n">
        <v>-1363.58068166118</v>
      </c>
      <c r="M133" s="8" t="n">
        <f aca="false">M132+L133</f>
        <v>301017.459901119</v>
      </c>
      <c r="N133" s="5" t="str">
        <f aca="false">IF(L133&gt;0,"прибыль",IF(L133&lt;0,"убыток","ноль"))</f>
        <v>убыток</v>
      </c>
      <c r="O133" s="6" t="n">
        <f aca="false">IF(L133&lt;0,O132+1,0)</f>
        <v>2</v>
      </c>
      <c r="P133" s="6" t="n">
        <v>27</v>
      </c>
    </row>
    <row r="134" customFormat="false" ht="15" hidden="false" customHeight="false" outlineLevel="0" collapsed="false">
      <c r="A134" s="6" t="n">
        <v>129</v>
      </c>
      <c r="B134" s="5" t="s">
        <v>76</v>
      </c>
      <c r="C134" s="5" t="s">
        <v>25</v>
      </c>
      <c r="D134" s="11" t="n">
        <v>46105</v>
      </c>
      <c r="E134" s="11" t="n">
        <v>46181</v>
      </c>
      <c r="F134" s="5" t="s">
        <v>73</v>
      </c>
      <c r="G134" s="12" t="n">
        <v>139270.540209105</v>
      </c>
      <c r="H134" s="13" t="n">
        <v>103.95</v>
      </c>
      <c r="I134" s="13" t="n">
        <v>97.82</v>
      </c>
      <c r="J134" s="5" t="s">
        <v>74</v>
      </c>
      <c r="K134" s="8" t="n">
        <v>21.9242613010292</v>
      </c>
      <c r="L134" s="8" t="n">
        <v>37150.2349589946</v>
      </c>
      <c r="M134" s="8" t="n">
        <f aca="false">M133+L134</f>
        <v>338167.694860114</v>
      </c>
      <c r="N134" s="5" t="str">
        <f aca="false">IF(L134&gt;0,"прибыль",IF(L134&lt;0,"убыток","ноль"))</f>
        <v>прибыль</v>
      </c>
      <c r="O134" s="6" t="n">
        <f aca="false">IF(L134&lt;0,O133+1,0)</f>
        <v>0</v>
      </c>
      <c r="P134" s="6" t="n">
        <v>74</v>
      </c>
    </row>
    <row r="135" customFormat="false" ht="15" hidden="false" customHeight="false" outlineLevel="0" collapsed="false">
      <c r="A135" s="6" t="n">
        <v>130</v>
      </c>
      <c r="B135" s="5" t="s">
        <v>76</v>
      </c>
      <c r="C135" s="5" t="s">
        <v>30</v>
      </c>
      <c r="D135" s="11" t="n">
        <v>46154</v>
      </c>
      <c r="E135" s="11" t="n">
        <v>46202</v>
      </c>
      <c r="F135" s="5" t="s">
        <v>75</v>
      </c>
      <c r="G135" s="12" t="n">
        <v>183006.909787283</v>
      </c>
      <c r="H135" s="13" t="n">
        <v>2.946</v>
      </c>
      <c r="I135" s="13" t="n">
        <v>3.305</v>
      </c>
      <c r="J135" s="5" t="s">
        <v>74</v>
      </c>
      <c r="K135" s="8" t="n">
        <v>21.6204930562922</v>
      </c>
      <c r="L135" s="8" t="n">
        <v>-14783.4264516523</v>
      </c>
      <c r="M135" s="8" t="n">
        <f aca="false">M134+L135</f>
        <v>323384.268408461</v>
      </c>
      <c r="N135" s="5" t="str">
        <f aca="false">IF(L135&gt;0,"прибыль",IF(L135&lt;0,"убыток","ноль"))</f>
        <v>убыток</v>
      </c>
      <c r="O135" s="6" t="n">
        <f aca="false">IF(L135&lt;0,O134+1,0)</f>
        <v>1</v>
      </c>
      <c r="P135" s="6" t="n">
        <v>46</v>
      </c>
    </row>
    <row r="136" customFormat="false" ht="15" hidden="false" customHeight="false" outlineLevel="0" collapsed="false">
      <c r="A136" s="6" t="n">
        <v>131</v>
      </c>
      <c r="B136" s="5" t="s">
        <v>76</v>
      </c>
      <c r="C136" s="5" t="s">
        <v>25</v>
      </c>
      <c r="D136" s="11" t="n">
        <v>46181</v>
      </c>
      <c r="E136" s="11" t="n">
        <v>46217</v>
      </c>
      <c r="F136" s="5" t="s">
        <v>75</v>
      </c>
      <c r="G136" s="12" t="n">
        <v>51966.8581775731</v>
      </c>
      <c r="H136" s="13" t="n">
        <v>97.82</v>
      </c>
      <c r="I136" s="13" t="n">
        <v>84.72</v>
      </c>
      <c r="J136" s="5" t="s">
        <v>74</v>
      </c>
      <c r="K136" s="8" t="n">
        <v>4.35518536449234</v>
      </c>
      <c r="L136" s="8" t="n">
        <v>4440.26218854927</v>
      </c>
      <c r="M136" s="8" t="n">
        <f aca="false">M135+L136</f>
        <v>327824.530597011</v>
      </c>
      <c r="N136" s="5" t="str">
        <f aca="false">IF(L136&gt;0,"прибыль",IF(L136&lt;0,"убыток","ноль"))</f>
        <v>прибыль</v>
      </c>
      <c r="O136" s="6" t="n">
        <f aca="false">IF(L136&lt;0,O135+1,0)</f>
        <v>0</v>
      </c>
      <c r="P136" s="6" t="n">
        <v>34</v>
      </c>
    </row>
    <row r="137" customFormat="false" ht="15" hidden="false" customHeight="false" outlineLevel="0" collapsed="false">
      <c r="A137" s="6" t="n">
        <v>132</v>
      </c>
      <c r="B137" s="5" t="s">
        <v>76</v>
      </c>
      <c r="C137" s="5" t="s">
        <v>30</v>
      </c>
      <c r="D137" s="11" t="n">
        <v>46202</v>
      </c>
      <c r="E137" s="11" t="n">
        <v>46222</v>
      </c>
      <c r="F137" s="5" t="s">
        <v>73</v>
      </c>
      <c r="G137" s="12" t="n">
        <v>234641.145379965</v>
      </c>
      <c r="H137" s="13" t="n">
        <v>3.305</v>
      </c>
      <c r="I137" s="13" t="n">
        <v>2.92</v>
      </c>
      <c r="K137" s="8" t="n">
        <v>21.4461758274159</v>
      </c>
      <c r="L137" s="8" t="n">
        <v>-27893.2358393996</v>
      </c>
      <c r="M137" s="8" t="n">
        <f aca="false">M136+L137</f>
        <v>299931.294757611</v>
      </c>
      <c r="N137" s="5" t="str">
        <f aca="false">IF(L137&gt;0,"прибыль",IF(L137&lt;0,"убыток","ноль"))</f>
        <v>убыток</v>
      </c>
      <c r="O137" s="6" t="n">
        <f aca="false">IF(L137&lt;0,O136+1,0)</f>
        <v>1</v>
      </c>
      <c r="P137" s="6" t="n">
        <v>20</v>
      </c>
    </row>
    <row r="138" customFormat="false" ht="15" hidden="false" customHeight="false" outlineLevel="0" collapsed="false">
      <c r="A138" s="6" t="n">
        <v>133</v>
      </c>
      <c r="B138" s="5" t="s">
        <v>76</v>
      </c>
      <c r="C138" s="5" t="s">
        <v>30</v>
      </c>
      <c r="D138" s="11" t="n">
        <v>46222</v>
      </c>
      <c r="E138" s="11" t="n">
        <v>46223</v>
      </c>
      <c r="F138" s="5" t="s">
        <v>75</v>
      </c>
      <c r="G138" s="12" t="n">
        <v>4.44380684181086E-011</v>
      </c>
      <c r="H138" s="13" t="n">
        <v>2.92</v>
      </c>
      <c r="I138" s="13" t="n">
        <v>2.893</v>
      </c>
      <c r="K138" s="8" t="n">
        <v>2.2070101806092E-015</v>
      </c>
      <c r="L138" s="8" t="n">
        <v>2.95657795743907E-013</v>
      </c>
      <c r="M138" s="8" t="n">
        <f aca="false">M137+L138</f>
        <v>299931.294757611</v>
      </c>
      <c r="N138" s="5" t="str">
        <f aca="false">IF(L138&gt;0,"прибыль",IF(L138&lt;0,"убыток","ноль"))</f>
        <v>прибыль</v>
      </c>
      <c r="O138" s="6" t="n">
        <f aca="false">IF(L138&lt;0,O137+1,0)</f>
        <v>0</v>
      </c>
      <c r="P138" s="6" t="n">
        <v>1</v>
      </c>
    </row>
    <row r="139" customFormat="false" ht="15" hidden="false" customHeight="false" outlineLevel="0" collapsed="false">
      <c r="A139" s="6" t="n">
        <v>134</v>
      </c>
      <c r="B139" s="5" t="s">
        <v>76</v>
      </c>
      <c r="C139" s="5" t="s">
        <v>25</v>
      </c>
      <c r="D139" s="11" t="n">
        <v>46217</v>
      </c>
      <c r="E139" s="11" t="n">
        <v>46230</v>
      </c>
      <c r="F139" s="5" t="s">
        <v>75</v>
      </c>
      <c r="G139" s="12" t="n">
        <v>38692.2493993808</v>
      </c>
      <c r="H139" s="13" t="n">
        <v>84.72</v>
      </c>
      <c r="I139" s="13" t="n">
        <v>92.48</v>
      </c>
      <c r="K139" s="8" t="n">
        <v>1.93159091381002</v>
      </c>
      <c r="L139" s="8" t="n">
        <v>58.4995322665943</v>
      </c>
      <c r="M139" s="8" t="n">
        <f aca="false">M138+L139</f>
        <v>299989.794289878</v>
      </c>
      <c r="N139" s="5" t="str">
        <f aca="false">IF(L139&gt;0,"прибыль",IF(L139&lt;0,"убыток","ноль"))</f>
        <v>прибыль</v>
      </c>
      <c r="O139" s="6" t="n">
        <f aca="false">IF(L139&lt;0,O138+1,0)</f>
        <v>0</v>
      </c>
      <c r="P139" s="6" t="n">
        <v>13</v>
      </c>
    </row>
    <row r="140" customFormat="false" ht="15" hidden="false" customHeight="false" outlineLevel="0" collapsed="false">
      <c r="A140" s="6" t="n">
        <v>135</v>
      </c>
      <c r="B140" s="5" t="s">
        <v>76</v>
      </c>
      <c r="C140" s="5" t="s">
        <v>25</v>
      </c>
      <c r="D140" s="11" t="n">
        <v>46230</v>
      </c>
      <c r="E140" s="11" t="n">
        <v>46245</v>
      </c>
      <c r="F140" s="5" t="s">
        <v>75</v>
      </c>
      <c r="G140" s="12" t="n">
        <v>32625.8409910506</v>
      </c>
      <c r="H140" s="13" t="n">
        <v>92.48</v>
      </c>
      <c r="I140" s="13" t="n">
        <v>87.88</v>
      </c>
      <c r="J140" s="5" t="s">
        <v>74</v>
      </c>
      <c r="K140" s="8" t="n">
        <v>1.63343163373028</v>
      </c>
      <c r="L140" s="8" t="n">
        <v>-44.425115188793</v>
      </c>
      <c r="M140" s="8" t="n">
        <f aca="false">M139+L140</f>
        <v>299945.369174689</v>
      </c>
      <c r="N140" s="5" t="str">
        <f aca="false">IF(L140&gt;0,"прибыль",IF(L140&lt;0,"убыток","ноль"))</f>
        <v>убыток</v>
      </c>
      <c r="O140" s="6" t="n">
        <f aca="false">IF(L140&lt;0,O139+1,0)</f>
        <v>1</v>
      </c>
      <c r="P140" s="6" t="n">
        <v>13</v>
      </c>
    </row>
    <row r="141" customFormat="false" ht="15" hidden="false" customHeight="false" outlineLevel="0" collapsed="false">
      <c r="A141" s="6" t="n">
        <v>136</v>
      </c>
      <c r="B141" s="5" t="s">
        <v>76</v>
      </c>
      <c r="C141" s="5" t="s">
        <v>25</v>
      </c>
      <c r="D141" s="11" t="n">
        <v>46245</v>
      </c>
      <c r="E141" s="11" t="n">
        <v>46254</v>
      </c>
      <c r="F141" s="5" t="s">
        <v>75</v>
      </c>
      <c r="G141" s="12" t="n">
        <v>113839.938712925</v>
      </c>
      <c r="H141" s="13" t="n">
        <v>87.88</v>
      </c>
      <c r="I141" s="13" t="n">
        <v>91.86</v>
      </c>
      <c r="K141" s="8" t="n">
        <v>12.5628767377158</v>
      </c>
      <c r="L141" s="8" t="n">
        <v>-5291.97390767595</v>
      </c>
      <c r="M141" s="8" t="n">
        <f aca="false">M140+L141</f>
        <v>294653.395267013</v>
      </c>
      <c r="N141" s="5" t="str">
        <f aca="false">IF(L141&gt;0,"прибыль",IF(L141&lt;0,"убыток","ноль"))</f>
        <v>убыток</v>
      </c>
      <c r="O141" s="6" t="n">
        <f aca="false">IF(L141&lt;0,O140+1,0)</f>
        <v>2</v>
      </c>
      <c r="P141" s="6" t="n">
        <v>7</v>
      </c>
    </row>
    <row r="142" customFormat="false" ht="15" hidden="false" customHeight="false" outlineLevel="0" collapsed="false">
      <c r="A142" s="6" t="n">
        <v>137</v>
      </c>
      <c r="B142" s="5" t="s">
        <v>76</v>
      </c>
      <c r="C142" s="5" t="s">
        <v>25</v>
      </c>
      <c r="D142" s="11" t="n">
        <v>46254</v>
      </c>
      <c r="E142" s="11" t="n">
        <v>46276</v>
      </c>
      <c r="F142" s="5" t="s">
        <v>73</v>
      </c>
      <c r="G142" s="12" t="n">
        <v>48703.3458409703</v>
      </c>
      <c r="H142" s="13" t="n">
        <v>91.86</v>
      </c>
      <c r="I142" s="13" t="n">
        <v>108.66</v>
      </c>
      <c r="J142" s="5" t="s">
        <v>74</v>
      </c>
      <c r="K142" s="8" t="n">
        <v>6.91998097481354</v>
      </c>
      <c r="L142" s="8" t="n">
        <v>7498.21079363466</v>
      </c>
      <c r="M142" s="8" t="n">
        <f aca="false">M141+L142</f>
        <v>302151.606060648</v>
      </c>
      <c r="N142" s="5" t="str">
        <f aca="false">IF(L142&gt;0,"прибыль",IF(L142&lt;0,"убыток","ноль"))</f>
        <v>прибыль</v>
      </c>
      <c r="O142" s="6" t="n">
        <f aca="false">IF(L142&lt;0,O141+1,0)</f>
        <v>0</v>
      </c>
      <c r="P142" s="6" t="n">
        <v>22</v>
      </c>
    </row>
    <row r="143" customFormat="false" ht="15" hidden="false" customHeight="false" outlineLevel="0" collapsed="false">
      <c r="A143" s="6" t="n">
        <v>138</v>
      </c>
      <c r="B143" s="5" t="s">
        <v>76</v>
      </c>
      <c r="C143" s="5" t="s">
        <v>30</v>
      </c>
      <c r="D143" s="11" t="n">
        <v>46223</v>
      </c>
      <c r="E143" s="11" t="n">
        <v>46288</v>
      </c>
      <c r="F143" s="5" t="s">
        <v>75</v>
      </c>
      <c r="G143" s="12" t="n">
        <v>146373.826551112</v>
      </c>
      <c r="H143" s="13" t="n">
        <v>2.893</v>
      </c>
      <c r="I143" s="13" t="n">
        <v>3.023</v>
      </c>
      <c r="J143" s="5" t="s">
        <v>74</v>
      </c>
      <c r="K143" s="8" t="n">
        <v>13.688444445497</v>
      </c>
      <c r="L143" s="8" t="n">
        <v>-354.231197651536</v>
      </c>
      <c r="M143" s="8" t="n">
        <f aca="false">M142+L143</f>
        <v>301797.374862996</v>
      </c>
      <c r="N143" s="5" t="str">
        <f aca="false">IF(L143&gt;0,"прибыль",IF(L143&lt;0,"убыток","ноль"))</f>
        <v>убыток</v>
      </c>
      <c r="O143" s="6" t="n">
        <f aca="false">IF(L143&lt;0,O142+1,0)</f>
        <v>1</v>
      </c>
      <c r="P143" s="6" t="n">
        <v>59</v>
      </c>
    </row>
    <row r="144" customFormat="false" ht="15" hidden="false" customHeight="false" outlineLevel="0" collapsed="false">
      <c r="A144" s="6" t="n">
        <v>139</v>
      </c>
      <c r="B144" s="5" t="s">
        <v>76</v>
      </c>
      <c r="C144" s="5" t="s">
        <v>30</v>
      </c>
      <c r="D144" s="11" t="n">
        <v>46288</v>
      </c>
      <c r="E144" s="11" t="n">
        <v>46290</v>
      </c>
      <c r="F144" s="5" t="s">
        <v>75</v>
      </c>
      <c r="G144" s="12" t="n">
        <v>42443.1497719476</v>
      </c>
      <c r="H144" s="13" t="n">
        <v>3.023</v>
      </c>
      <c r="I144" s="13" t="n">
        <v>3.183</v>
      </c>
      <c r="K144" s="8" t="n">
        <v>2.24013141961511</v>
      </c>
      <c r="L144" s="8" t="n">
        <v>-2361.71875177413</v>
      </c>
      <c r="M144" s="8" t="n">
        <f aca="false">M143+L144</f>
        <v>299435.656111222</v>
      </c>
      <c r="N144" s="5" t="str">
        <f aca="false">IF(L144&gt;0,"прибыль",IF(L144&lt;0,"убыток","ноль"))</f>
        <v>убыток</v>
      </c>
      <c r="O144" s="6" t="n">
        <f aca="false">IF(L144&lt;0,O143+1,0)</f>
        <v>2</v>
      </c>
      <c r="P144" s="6" t="n">
        <v>2</v>
      </c>
    </row>
    <row r="145" customFormat="false" ht="15" hidden="false" customHeight="false" outlineLevel="0" collapsed="false">
      <c r="A145" s="6" t="n">
        <v>140</v>
      </c>
      <c r="B145" s="5" t="s">
        <v>76</v>
      </c>
      <c r="C145" s="5" t="s">
        <v>25</v>
      </c>
      <c r="E145" s="11" t="n">
        <v>46298</v>
      </c>
      <c r="F145" s="5" t="s">
        <v>73</v>
      </c>
      <c r="I145" s="13" t="n">
        <v>102.44</v>
      </c>
      <c r="L145" s="8" t="n">
        <v>17024.3296861588</v>
      </c>
      <c r="M145" s="8" t="n">
        <f aca="false">M144+L145</f>
        <v>316459.985797381</v>
      </c>
      <c r="N145" s="5" t="str">
        <f aca="false">IF(L145&gt;0,"прибыль",IF(L145&lt;0,"убыток","ноль"))</f>
        <v>прибыль</v>
      </c>
      <c r="O145" s="6" t="n">
        <f aca="false">IF(L145&lt;0,O144+1,0)</f>
        <v>0</v>
      </c>
      <c r="Q145" s="5" t="s">
        <v>77</v>
      </c>
    </row>
    <row r="146" customFormat="false" ht="15" hidden="false" customHeight="false" outlineLevel="0" collapsed="false">
      <c r="A146" s="6" t="n">
        <v>141</v>
      </c>
      <c r="B146" s="5" t="s">
        <v>76</v>
      </c>
      <c r="C146" s="5" t="s">
        <v>30</v>
      </c>
      <c r="E146" s="11" t="n">
        <v>46298</v>
      </c>
      <c r="F146" s="5" t="s">
        <v>75</v>
      </c>
      <c r="I146" s="13" t="n">
        <v>3.043</v>
      </c>
      <c r="L146" s="8" t="n">
        <v>-3773.93809126689</v>
      </c>
      <c r="M146" s="8" t="n">
        <f aca="false">M145+L146</f>
        <v>312686.047706114</v>
      </c>
      <c r="N146" s="5" t="str">
        <f aca="false">IF(L146&gt;0,"прибыль",IF(L146&lt;0,"убыток","ноль"))</f>
        <v>убыток</v>
      </c>
      <c r="O146" s="6" t="n">
        <f aca="false">IF(L146&lt;0,O145+1,0)</f>
        <v>1</v>
      </c>
      <c r="Q146" s="5" t="s">
        <v>77</v>
      </c>
    </row>
  </sheetData>
  <autoFilter ref="A5:Q1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5" min="4" style="0" width="17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9" min="8" style="0" width="12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7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60"/>
  </cols>
  <sheetData>
    <row r="1" customFormat="false" ht="15" hidden="false" customHeight="false" outlineLevel="0" collapsed="false">
      <c r="A1" s="10" t="s">
        <v>50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A3" s="2" t="s">
        <v>54</v>
      </c>
    </row>
    <row r="5" customFormat="false" ht="30" hidden="false" customHeight="true" outlineLevel="0" collapsed="false">
      <c r="A5" s="3" t="s">
        <v>55</v>
      </c>
      <c r="B5" s="3" t="s">
        <v>56</v>
      </c>
      <c r="C5" s="3" t="s">
        <v>57</v>
      </c>
      <c r="D5" s="3" t="s">
        <v>58</v>
      </c>
      <c r="E5" s="3" t="s">
        <v>59</v>
      </c>
      <c r="F5" s="3" t="s">
        <v>60</v>
      </c>
      <c r="G5" s="3" t="s">
        <v>61</v>
      </c>
      <c r="H5" s="3" t="s">
        <v>62</v>
      </c>
      <c r="I5" s="3" t="s">
        <v>63</v>
      </c>
      <c r="J5" s="3" t="s">
        <v>64</v>
      </c>
      <c r="K5" s="3" t="s">
        <v>65</v>
      </c>
      <c r="L5" s="3" t="s">
        <v>66</v>
      </c>
      <c r="M5" s="3" t="s">
        <v>67</v>
      </c>
      <c r="N5" s="3" t="s">
        <v>68</v>
      </c>
      <c r="O5" s="3" t="s">
        <v>69</v>
      </c>
      <c r="P5" s="3" t="s">
        <v>70</v>
      </c>
      <c r="Q5" s="3" t="s">
        <v>71</v>
      </c>
    </row>
    <row r="6" customFormat="false" ht="15" hidden="false" customHeight="false" outlineLevel="0" collapsed="false">
      <c r="A6" s="6" t="n">
        <v>1</v>
      </c>
      <c r="B6" s="5" t="s">
        <v>72</v>
      </c>
      <c r="C6" s="5" t="s">
        <v>25</v>
      </c>
      <c r="D6" s="11" t="n">
        <v>40984</v>
      </c>
      <c r="E6" s="11" t="n">
        <v>41034</v>
      </c>
      <c r="F6" s="5" t="s">
        <v>73</v>
      </c>
      <c r="G6" s="12" t="n">
        <v>477706.811089756</v>
      </c>
      <c r="H6" s="13" t="n">
        <v>123.77</v>
      </c>
      <c r="I6" s="13" t="n">
        <v>113.26</v>
      </c>
      <c r="J6" s="5" t="s">
        <v>74</v>
      </c>
      <c r="K6" s="8" t="n">
        <v>68.8330274746113</v>
      </c>
      <c r="L6" s="8" t="n">
        <v>-34046.5005044037</v>
      </c>
      <c r="M6" s="8" t="n">
        <f aca="false">L6</f>
        <v>-34046.5005044037</v>
      </c>
      <c r="N6" s="5" t="str">
        <f aca="false">IF(L6&gt;0,"прибыль",IF(L6&lt;0,"убыток","ноль"))</f>
        <v>убыток</v>
      </c>
      <c r="O6" s="6" t="n">
        <f aca="false">IF(L6&lt;0,1,0)</f>
        <v>1</v>
      </c>
      <c r="P6" s="6" t="n">
        <v>35</v>
      </c>
    </row>
    <row r="7" customFormat="false" ht="15" hidden="false" customHeight="false" outlineLevel="0" collapsed="false">
      <c r="A7" s="6" t="n">
        <v>2</v>
      </c>
      <c r="B7" s="5" t="s">
        <v>72</v>
      </c>
      <c r="C7" s="5" t="s">
        <v>25</v>
      </c>
      <c r="D7" s="11" t="n">
        <v>41034</v>
      </c>
      <c r="E7" s="11" t="n">
        <v>41060</v>
      </c>
      <c r="F7" s="5" t="s">
        <v>75</v>
      </c>
      <c r="G7" s="12" t="n">
        <v>155617.804815801</v>
      </c>
      <c r="H7" s="13" t="n">
        <v>113.26</v>
      </c>
      <c r="I7" s="13" t="n">
        <v>103.4</v>
      </c>
      <c r="J7" s="5" t="s">
        <v>74</v>
      </c>
      <c r="K7" s="8" t="n">
        <v>13.7622738339026</v>
      </c>
      <c r="L7" s="8" t="n">
        <v>6520.44480512667</v>
      </c>
      <c r="M7" s="8" t="n">
        <f aca="false">M6+L7</f>
        <v>-27526.055699277</v>
      </c>
      <c r="N7" s="5" t="str">
        <f aca="false">IF(L7&gt;0,"прибыль",IF(L7&lt;0,"убыток","ноль"))</f>
        <v>прибыль</v>
      </c>
      <c r="O7" s="6" t="n">
        <f aca="false">IF(L7&lt;0,O6+1,0)</f>
        <v>0</v>
      </c>
      <c r="P7" s="6" t="n">
        <v>19</v>
      </c>
    </row>
    <row r="8" customFormat="false" ht="15" hidden="false" customHeight="false" outlineLevel="0" collapsed="false">
      <c r="A8" s="6" t="n">
        <v>3</v>
      </c>
      <c r="B8" s="5" t="s">
        <v>72</v>
      </c>
      <c r="C8" s="5" t="s">
        <v>25</v>
      </c>
      <c r="D8" s="11" t="n">
        <v>41060</v>
      </c>
      <c r="E8" s="11" t="n">
        <v>41085</v>
      </c>
      <c r="F8" s="5" t="s">
        <v>75</v>
      </c>
      <c r="G8" s="12" t="n">
        <v>120173.525945639</v>
      </c>
      <c r="H8" s="13" t="n">
        <v>103.4</v>
      </c>
      <c r="I8" s="13" t="n">
        <v>90.81</v>
      </c>
      <c r="J8" s="5" t="s">
        <v>74</v>
      </c>
      <c r="K8" s="8" t="n">
        <v>5.01475476824804</v>
      </c>
      <c r="L8" s="8" t="n">
        <v>19873.4158259099</v>
      </c>
      <c r="M8" s="8" t="n">
        <f aca="false">M7+L8</f>
        <v>-7652.63987336708</v>
      </c>
      <c r="N8" s="5" t="str">
        <f aca="false">IF(L8&gt;0,"прибыль",IF(L8&lt;0,"убыток","ноль"))</f>
        <v>прибыль</v>
      </c>
      <c r="O8" s="6" t="n">
        <f aca="false">IF(L8&lt;0,O7+1,0)</f>
        <v>0</v>
      </c>
      <c r="P8" s="6" t="n">
        <v>16</v>
      </c>
    </row>
    <row r="9" customFormat="false" ht="15" hidden="false" customHeight="false" outlineLevel="0" collapsed="false">
      <c r="A9" s="6" t="n">
        <v>4</v>
      </c>
      <c r="B9" s="5" t="s">
        <v>72</v>
      </c>
      <c r="C9" s="5" t="s">
        <v>25</v>
      </c>
      <c r="D9" s="11" t="n">
        <v>41085</v>
      </c>
      <c r="E9" s="11" t="n">
        <v>41092</v>
      </c>
      <c r="F9" s="5" t="s">
        <v>75</v>
      </c>
      <c r="G9" s="12" t="n">
        <v>79803.6846610845</v>
      </c>
      <c r="H9" s="13" t="n">
        <v>90.81</v>
      </c>
      <c r="I9" s="13" t="n">
        <v>97.03</v>
      </c>
      <c r="K9" s="8" t="n">
        <v>3.55912051018704</v>
      </c>
      <c r="L9" s="8" t="n">
        <v>8617.71533683348</v>
      </c>
      <c r="M9" s="8" t="n">
        <f aca="false">M8+L9</f>
        <v>965.075463466397</v>
      </c>
      <c r="N9" s="5" t="str">
        <f aca="false">IF(L9&gt;0,"прибыль",IF(L9&lt;0,"убыток","ноль"))</f>
        <v>прибыль</v>
      </c>
      <c r="O9" s="6" t="n">
        <f aca="false">IF(L9&lt;0,O8+1,0)</f>
        <v>0</v>
      </c>
      <c r="P9" s="6" t="n">
        <v>5</v>
      </c>
    </row>
    <row r="10" customFormat="false" ht="15" hidden="false" customHeight="false" outlineLevel="0" collapsed="false">
      <c r="A10" s="6" t="n">
        <v>5</v>
      </c>
      <c r="B10" s="5" t="s">
        <v>72</v>
      </c>
      <c r="C10" s="5" t="s">
        <v>25</v>
      </c>
      <c r="D10" s="11" t="n">
        <v>41092</v>
      </c>
      <c r="E10" s="11" t="n">
        <v>41127</v>
      </c>
      <c r="F10" s="5" t="s">
        <v>75</v>
      </c>
      <c r="G10" s="12" t="n">
        <v>275928.241931354</v>
      </c>
      <c r="H10" s="13" t="n">
        <v>97.03</v>
      </c>
      <c r="I10" s="13" t="n">
        <v>108.55</v>
      </c>
      <c r="J10" s="5" t="s">
        <v>74</v>
      </c>
      <c r="K10" s="8" t="n">
        <v>31.4375461998361</v>
      </c>
      <c r="L10" s="8" t="n">
        <v>-475.923984175148</v>
      </c>
      <c r="M10" s="8" t="n">
        <f aca="false">M9+L10</f>
        <v>489.15147929125</v>
      </c>
      <c r="N10" s="5" t="str">
        <f aca="false">IF(L10&gt;0,"прибыль",IF(L10&lt;0,"убыток","ноль"))</f>
        <v>убыток</v>
      </c>
      <c r="O10" s="6" t="n">
        <f aca="false">IF(L10&lt;0,O9+1,0)</f>
        <v>1</v>
      </c>
      <c r="P10" s="6" t="n">
        <v>25</v>
      </c>
    </row>
    <row r="11" customFormat="false" ht="15" hidden="false" customHeight="false" outlineLevel="0" collapsed="false">
      <c r="A11" s="6" t="n">
        <v>6</v>
      </c>
      <c r="B11" s="5" t="s">
        <v>72</v>
      </c>
      <c r="C11" s="5" t="s">
        <v>25</v>
      </c>
      <c r="D11" s="11" t="n">
        <v>41127</v>
      </c>
      <c r="E11" s="11" t="n">
        <v>41172</v>
      </c>
      <c r="F11" s="5" t="s">
        <v>73</v>
      </c>
      <c r="G11" s="12" t="n">
        <v>189482.202269511</v>
      </c>
      <c r="H11" s="13" t="n">
        <v>108.55</v>
      </c>
      <c r="I11" s="13" t="n">
        <v>107.9</v>
      </c>
      <c r="J11" s="5" t="s">
        <v>74</v>
      </c>
      <c r="K11" s="8" t="n">
        <v>21.3389784697119</v>
      </c>
      <c r="L11" s="8" t="n">
        <v>-2713.7131844448</v>
      </c>
      <c r="M11" s="8" t="n">
        <f aca="false">M10+L11</f>
        <v>-2224.56170515355</v>
      </c>
      <c r="N11" s="5" t="str">
        <f aca="false">IF(L11&gt;0,"прибыль",IF(L11&lt;0,"убыток","ноль"))</f>
        <v>убыток</v>
      </c>
      <c r="O11" s="6" t="n">
        <f aca="false">IF(L11&lt;0,O10+1,0)</f>
        <v>2</v>
      </c>
      <c r="P11" s="6" t="n">
        <v>33</v>
      </c>
    </row>
    <row r="12" customFormat="false" ht="15" hidden="false" customHeight="false" outlineLevel="0" collapsed="false">
      <c r="A12" s="6" t="n">
        <v>7</v>
      </c>
      <c r="B12" s="5" t="s">
        <v>72</v>
      </c>
      <c r="C12" s="5" t="s">
        <v>25</v>
      </c>
      <c r="D12" s="11" t="n">
        <v>41172</v>
      </c>
      <c r="E12" s="11" t="n">
        <v>41180</v>
      </c>
      <c r="F12" s="5" t="s">
        <v>73</v>
      </c>
      <c r="G12" s="12" t="n">
        <v>82826.131751382</v>
      </c>
      <c r="H12" s="13" t="n">
        <v>107.9</v>
      </c>
      <c r="I12" s="13" t="n">
        <v>112.42</v>
      </c>
      <c r="K12" s="8" t="n">
        <v>4.25271754850543</v>
      </c>
      <c r="L12" s="8" t="n">
        <v>2223.96650117808</v>
      </c>
      <c r="M12" s="8" t="n">
        <f aca="false">M11+L12</f>
        <v>-0.595203975471577</v>
      </c>
      <c r="N12" s="5" t="str">
        <f aca="false">IF(L12&gt;0,"прибыль",IF(L12&lt;0,"убыток","ноль"))</f>
        <v>прибыль</v>
      </c>
      <c r="O12" s="6" t="n">
        <f aca="false">IF(L12&lt;0,O11+1,0)</f>
        <v>0</v>
      </c>
      <c r="P12" s="6" t="n">
        <v>6</v>
      </c>
    </row>
    <row r="13" customFormat="false" ht="15" hidden="false" customHeight="false" outlineLevel="0" collapsed="false">
      <c r="A13" s="6" t="n">
        <v>8</v>
      </c>
      <c r="B13" s="5" t="s">
        <v>72</v>
      </c>
      <c r="C13" s="5" t="s">
        <v>25</v>
      </c>
      <c r="D13" s="11" t="n">
        <v>41180</v>
      </c>
      <c r="E13" s="11" t="n">
        <v>41215</v>
      </c>
      <c r="F13" s="5" t="s">
        <v>73</v>
      </c>
      <c r="G13" s="12" t="n">
        <v>337108.679974236</v>
      </c>
      <c r="H13" s="13" t="n">
        <v>112.42</v>
      </c>
      <c r="I13" s="13" t="n">
        <v>108.15</v>
      </c>
      <c r="J13" s="5" t="s">
        <v>74</v>
      </c>
      <c r="K13" s="8" t="n">
        <v>43.013358975465</v>
      </c>
      <c r="L13" s="8" t="n">
        <v>37.2007838283859</v>
      </c>
      <c r="M13" s="8" t="n">
        <f aca="false">M12+L13</f>
        <v>36.6055798529143</v>
      </c>
      <c r="N13" s="5" t="str">
        <f aca="false">IF(L13&gt;0,"прибыль",IF(L13&lt;0,"убыток","ноль"))</f>
        <v>прибыль</v>
      </c>
      <c r="O13" s="6" t="n">
        <f aca="false">IF(L13&lt;0,O12+1,0)</f>
        <v>0</v>
      </c>
      <c r="P13" s="6" t="n">
        <v>25</v>
      </c>
    </row>
    <row r="14" customFormat="false" ht="15" hidden="false" customHeight="false" outlineLevel="0" collapsed="false">
      <c r="A14" s="6" t="n">
        <v>9</v>
      </c>
      <c r="B14" s="5" t="s">
        <v>72</v>
      </c>
      <c r="C14" s="5" t="s">
        <v>25</v>
      </c>
      <c r="D14" s="11" t="n">
        <v>41215</v>
      </c>
      <c r="E14" s="11" t="n">
        <v>41220</v>
      </c>
      <c r="F14" s="5" t="s">
        <v>75</v>
      </c>
      <c r="G14" s="12" t="n">
        <v>455892.424732201</v>
      </c>
      <c r="H14" s="13" t="n">
        <v>108.15</v>
      </c>
      <c r="I14" s="13" t="n">
        <v>110.7</v>
      </c>
      <c r="K14" s="8" t="n">
        <v>38.3699408165778</v>
      </c>
      <c r="L14" s="8" t="n">
        <v>-11669.3867857906</v>
      </c>
      <c r="M14" s="8" t="n">
        <f aca="false">M13+L14</f>
        <v>-11632.7812059377</v>
      </c>
      <c r="N14" s="5" t="str">
        <f aca="false">IF(L14&gt;0,"прибыль",IF(L14&lt;0,"убыток","ноль"))</f>
        <v>убыток</v>
      </c>
      <c r="O14" s="6" t="n">
        <f aca="false">IF(L14&lt;0,O13+1,0)</f>
        <v>1</v>
      </c>
      <c r="P14" s="6" t="n">
        <v>2</v>
      </c>
    </row>
    <row r="15" customFormat="false" ht="15" hidden="false" customHeight="false" outlineLevel="0" collapsed="false">
      <c r="A15" s="6" t="n">
        <v>10</v>
      </c>
      <c r="B15" s="5" t="s">
        <v>72</v>
      </c>
      <c r="C15" s="5" t="s">
        <v>25</v>
      </c>
      <c r="D15" s="11" t="n">
        <v>41220</v>
      </c>
      <c r="E15" s="11" t="n">
        <v>41221</v>
      </c>
      <c r="F15" s="5" t="s">
        <v>73</v>
      </c>
      <c r="G15" s="12" t="n">
        <v>299875.37475438</v>
      </c>
      <c r="H15" s="13" t="n">
        <v>110.7</v>
      </c>
      <c r="I15" s="13" t="n">
        <v>107.33</v>
      </c>
      <c r="K15" s="8" t="n">
        <v>28.5916144356669</v>
      </c>
      <c r="L15" s="8" t="n">
        <v>-9798.03341724005</v>
      </c>
      <c r="M15" s="8" t="n">
        <f aca="false">M14+L15</f>
        <v>-21430.8146231777</v>
      </c>
      <c r="N15" s="5" t="str">
        <f aca="false">IF(L15&gt;0,"прибыль",IF(L15&lt;0,"убыток","ноль"))</f>
        <v>убыток</v>
      </c>
      <c r="O15" s="6" t="n">
        <f aca="false">IF(L15&lt;0,O14+1,0)</f>
        <v>2</v>
      </c>
      <c r="P15" s="6" t="n">
        <v>1</v>
      </c>
    </row>
    <row r="16" customFormat="false" ht="15" hidden="false" customHeight="false" outlineLevel="0" collapsed="false">
      <c r="A16" s="6" t="n">
        <v>11</v>
      </c>
      <c r="B16" s="5" t="s">
        <v>72</v>
      </c>
      <c r="C16" s="5" t="s">
        <v>25</v>
      </c>
      <c r="D16" s="11" t="n">
        <v>41221</v>
      </c>
      <c r="E16" s="11" t="n">
        <v>41233</v>
      </c>
      <c r="F16" s="5" t="s">
        <v>75</v>
      </c>
      <c r="G16" s="12" t="n">
        <v>281726.355761761</v>
      </c>
      <c r="H16" s="13" t="n">
        <v>107.33</v>
      </c>
      <c r="I16" s="13" t="n">
        <v>111.59</v>
      </c>
      <c r="J16" s="5" t="s">
        <v>74</v>
      </c>
      <c r="K16" s="8" t="n">
        <v>27.7338025447122</v>
      </c>
      <c r="L16" s="8" t="n">
        <v>-16634.1364306947</v>
      </c>
      <c r="M16" s="8" t="n">
        <f aca="false">M15+L16</f>
        <v>-38064.9510538724</v>
      </c>
      <c r="N16" s="5" t="str">
        <f aca="false">IF(L16&gt;0,"прибыль",IF(L16&lt;0,"убыток","ноль"))</f>
        <v>убыток</v>
      </c>
      <c r="O16" s="6" t="n">
        <f aca="false">IF(L16&lt;0,O15+1,0)</f>
        <v>3</v>
      </c>
      <c r="P16" s="6" t="n">
        <v>8</v>
      </c>
    </row>
    <row r="17" customFormat="false" ht="15" hidden="false" customHeight="false" outlineLevel="0" collapsed="false">
      <c r="A17" s="6" t="n">
        <v>12</v>
      </c>
      <c r="B17" s="5" t="s">
        <v>72</v>
      </c>
      <c r="C17" s="5" t="s">
        <v>25</v>
      </c>
      <c r="D17" s="11" t="n">
        <v>41233</v>
      </c>
      <c r="E17" s="11" t="n">
        <v>41240</v>
      </c>
      <c r="F17" s="5" t="s">
        <v>73</v>
      </c>
      <c r="G17" s="12" t="n">
        <v>256343.292504333</v>
      </c>
      <c r="H17" s="13" t="n">
        <v>111.59</v>
      </c>
      <c r="I17" s="13" t="n">
        <v>110.97</v>
      </c>
      <c r="K17" s="8" t="n">
        <v>26.5663227961988</v>
      </c>
      <c r="L17" s="8" t="n">
        <v>-2051.06171105562</v>
      </c>
      <c r="M17" s="8" t="n">
        <f aca="false">M16+L17</f>
        <v>-40116.0127649281</v>
      </c>
      <c r="N17" s="5" t="str">
        <f aca="false">IF(L17&gt;0,"прибыль",IF(L17&lt;0,"убыток","ноль"))</f>
        <v>убыток</v>
      </c>
      <c r="O17" s="6" t="n">
        <f aca="false">IF(L17&lt;0,O16+1,0)</f>
        <v>4</v>
      </c>
      <c r="P17" s="6" t="n">
        <v>5</v>
      </c>
    </row>
    <row r="18" customFormat="false" ht="15" hidden="false" customHeight="false" outlineLevel="0" collapsed="false">
      <c r="A18" s="6" t="n">
        <v>13</v>
      </c>
      <c r="B18" s="5" t="s">
        <v>72</v>
      </c>
      <c r="C18" s="5" t="s">
        <v>25</v>
      </c>
      <c r="D18" s="11" t="n">
        <v>41240</v>
      </c>
      <c r="E18" s="11" t="n">
        <v>41243</v>
      </c>
      <c r="F18" s="5" t="s">
        <v>75</v>
      </c>
      <c r="G18" s="12" t="n">
        <v>277007.658807901</v>
      </c>
      <c r="H18" s="13" t="n">
        <v>110.97</v>
      </c>
      <c r="I18" s="13" t="n">
        <v>110.65</v>
      </c>
      <c r="K18" s="8" t="n">
        <v>27.4736843524639</v>
      </c>
      <c r="L18" s="8" t="n">
        <v>136.060238822185</v>
      </c>
      <c r="M18" s="8" t="n">
        <f aca="false">M17+L18</f>
        <v>-39979.9525261059</v>
      </c>
      <c r="N18" s="5" t="str">
        <f aca="false">IF(L18&gt;0,"прибыль",IF(L18&lt;0,"убыток","ноль"))</f>
        <v>прибыль</v>
      </c>
      <c r="O18" s="6" t="n">
        <f aca="false">IF(L18&lt;0,O17+1,0)</f>
        <v>0</v>
      </c>
      <c r="P18" s="6" t="n">
        <v>3</v>
      </c>
    </row>
    <row r="19" customFormat="false" ht="15" hidden="false" customHeight="false" outlineLevel="0" collapsed="false">
      <c r="A19" s="6" t="n">
        <v>14</v>
      </c>
      <c r="B19" s="5" t="s">
        <v>72</v>
      </c>
      <c r="C19" s="5" t="s">
        <v>25</v>
      </c>
      <c r="D19" s="11" t="n">
        <v>41243</v>
      </c>
      <c r="E19" s="11" t="n">
        <v>41246</v>
      </c>
      <c r="F19" s="5" t="s">
        <v>73</v>
      </c>
      <c r="G19" s="12" t="n">
        <v>272629.562164551</v>
      </c>
      <c r="H19" s="13" t="n">
        <v>110.65</v>
      </c>
      <c r="I19" s="13" t="n">
        <v>111.06</v>
      </c>
      <c r="K19" s="8" t="n">
        <v>27.28654519641</v>
      </c>
      <c r="L19" s="8" t="n">
        <v>351.724680282441</v>
      </c>
      <c r="M19" s="8" t="n">
        <f aca="false">M18+L19</f>
        <v>-39628.2278458234</v>
      </c>
      <c r="N19" s="5" t="str">
        <f aca="false">IF(L19&gt;0,"прибыль",IF(L19&lt;0,"убыток","ноль"))</f>
        <v>прибыль</v>
      </c>
      <c r="O19" s="6" t="n">
        <f aca="false">IF(L19&lt;0,O18+1,0)</f>
        <v>0</v>
      </c>
      <c r="P19" s="6" t="n">
        <v>1</v>
      </c>
    </row>
    <row r="20" customFormat="false" ht="15" hidden="false" customHeight="false" outlineLevel="0" collapsed="false">
      <c r="A20" s="6" t="n">
        <v>15</v>
      </c>
      <c r="B20" s="5" t="s">
        <v>72</v>
      </c>
      <c r="C20" s="5" t="s">
        <v>25</v>
      </c>
      <c r="D20" s="11" t="n">
        <v>41246</v>
      </c>
      <c r="E20" s="11" t="n">
        <v>41247</v>
      </c>
      <c r="F20" s="5" t="s">
        <v>75</v>
      </c>
      <c r="G20" s="12" t="n">
        <v>272722.33053817</v>
      </c>
      <c r="H20" s="13" t="n">
        <v>111.06</v>
      </c>
      <c r="I20" s="13" t="n">
        <v>110.75</v>
      </c>
      <c r="K20" s="8" t="n">
        <v>27.9808798179752</v>
      </c>
      <c r="L20" s="8" t="n">
        <v>116.330031767916</v>
      </c>
      <c r="M20" s="8" t="n">
        <f aca="false">M19+L20</f>
        <v>-39511.8978140555</v>
      </c>
      <c r="N20" s="5" t="str">
        <f aca="false">IF(L20&gt;0,"прибыль",IF(L20&lt;0,"убыток","ноль"))</f>
        <v>прибыль</v>
      </c>
      <c r="O20" s="6" t="n">
        <f aca="false">IF(L20&lt;0,O19+1,0)</f>
        <v>0</v>
      </c>
      <c r="P20" s="6" t="n">
        <v>1</v>
      </c>
    </row>
    <row r="21" customFormat="false" ht="15" hidden="false" customHeight="false" outlineLevel="0" collapsed="false">
      <c r="A21" s="6" t="n">
        <v>16</v>
      </c>
      <c r="B21" s="5" t="s">
        <v>72</v>
      </c>
      <c r="C21" s="5" t="s">
        <v>25</v>
      </c>
      <c r="D21" s="11" t="n">
        <v>41247</v>
      </c>
      <c r="E21" s="11" t="n">
        <v>41248</v>
      </c>
      <c r="F21" s="5" t="s">
        <v>73</v>
      </c>
      <c r="G21" s="12" t="n">
        <v>287039.576732919</v>
      </c>
      <c r="H21" s="13" t="n">
        <v>110.75</v>
      </c>
      <c r="I21" s="13" t="n">
        <v>110</v>
      </c>
      <c r="K21" s="8" t="n">
        <v>32.461309231412</v>
      </c>
      <c r="L21" s="8" t="n">
        <v>-2560.39733792914</v>
      </c>
      <c r="M21" s="8" t="n">
        <f aca="false">M20+L21</f>
        <v>-42072.2951519847</v>
      </c>
      <c r="N21" s="5" t="str">
        <f aca="false">IF(L21&gt;0,"прибыль",IF(L21&lt;0,"убыток","ноль"))</f>
        <v>убыток</v>
      </c>
      <c r="O21" s="6" t="n">
        <f aca="false">IF(L21&lt;0,O20+1,0)</f>
        <v>1</v>
      </c>
      <c r="P21" s="6" t="n">
        <v>1</v>
      </c>
    </row>
    <row r="22" customFormat="false" ht="15" hidden="false" customHeight="false" outlineLevel="0" collapsed="false">
      <c r="A22" s="6" t="n">
        <v>17</v>
      </c>
      <c r="B22" s="5" t="s">
        <v>72</v>
      </c>
      <c r="C22" s="5" t="s">
        <v>25</v>
      </c>
      <c r="D22" s="11" t="n">
        <v>41248</v>
      </c>
      <c r="E22" s="11" t="n">
        <v>41257</v>
      </c>
      <c r="F22" s="5" t="s">
        <v>75</v>
      </c>
      <c r="G22" s="12" t="n">
        <v>452902.752767717</v>
      </c>
      <c r="H22" s="13" t="n">
        <v>110</v>
      </c>
      <c r="I22" s="13" t="n">
        <v>108.18</v>
      </c>
      <c r="K22" s="8" t="n">
        <v>53.8508423285919</v>
      </c>
      <c r="L22" s="8" t="n">
        <v>5788.88888993928</v>
      </c>
      <c r="M22" s="8" t="n">
        <f aca="false">M21+L22</f>
        <v>-36283.4062620454</v>
      </c>
      <c r="N22" s="5" t="str">
        <f aca="false">IF(L22&gt;0,"прибыль",IF(L22&lt;0,"убыток","ноль"))</f>
        <v>прибыль</v>
      </c>
      <c r="O22" s="6" t="n">
        <f aca="false">IF(L22&lt;0,O21+1,0)</f>
        <v>0</v>
      </c>
      <c r="P22" s="6" t="n">
        <v>7</v>
      </c>
    </row>
    <row r="23" customFormat="false" ht="15" hidden="false" customHeight="false" outlineLevel="0" collapsed="false">
      <c r="A23" s="6" t="n">
        <v>18</v>
      </c>
      <c r="B23" s="5" t="s">
        <v>72</v>
      </c>
      <c r="C23" s="5" t="s">
        <v>25</v>
      </c>
      <c r="D23" s="11" t="n">
        <v>41257</v>
      </c>
      <c r="E23" s="11" t="n">
        <v>41290</v>
      </c>
      <c r="F23" s="5" t="s">
        <v>73</v>
      </c>
      <c r="G23" s="12" t="n">
        <v>114398.966773374</v>
      </c>
      <c r="H23" s="13" t="n">
        <v>108.18</v>
      </c>
      <c r="I23" s="13" t="n">
        <v>110.5</v>
      </c>
      <c r="J23" s="5" t="s">
        <v>74</v>
      </c>
      <c r="K23" s="8" t="n">
        <v>5.89401427770627</v>
      </c>
      <c r="L23" s="8" t="n">
        <v>3475.42476647339</v>
      </c>
      <c r="M23" s="8" t="n">
        <f aca="false">M22+L23</f>
        <v>-32807.981495572</v>
      </c>
      <c r="N23" s="5" t="str">
        <f aca="false">IF(L23&gt;0,"прибыль",IF(L23&lt;0,"убыток","ноль"))</f>
        <v>прибыль</v>
      </c>
      <c r="O23" s="6" t="n">
        <f aca="false">IF(L23&lt;0,O22+1,0)</f>
        <v>0</v>
      </c>
      <c r="P23" s="6" t="n">
        <v>17</v>
      </c>
    </row>
    <row r="24" customFormat="false" ht="15" hidden="false" customHeight="false" outlineLevel="0" collapsed="false">
      <c r="A24" s="6" t="n">
        <v>19</v>
      </c>
      <c r="B24" s="5" t="s">
        <v>72</v>
      </c>
      <c r="C24" s="5" t="s">
        <v>25</v>
      </c>
      <c r="D24" s="11" t="n">
        <v>41290</v>
      </c>
      <c r="E24" s="11" t="n">
        <v>41291</v>
      </c>
      <c r="F24" s="5" t="s">
        <v>73</v>
      </c>
      <c r="G24" s="12" t="n">
        <v>427369.657919316</v>
      </c>
      <c r="H24" s="13" t="n">
        <v>110.5</v>
      </c>
      <c r="I24" s="13" t="n">
        <v>110.54</v>
      </c>
      <c r="K24" s="8" t="n">
        <v>44.1385463630258</v>
      </c>
      <c r="L24" s="8" t="n">
        <v>13122.0823269149</v>
      </c>
      <c r="M24" s="8" t="n">
        <f aca="false">M23+L24</f>
        <v>-19685.8991686571</v>
      </c>
      <c r="N24" s="5" t="str">
        <f aca="false">IF(L24&gt;0,"прибыль",IF(L24&lt;0,"убыток","ноль"))</f>
        <v>прибыль</v>
      </c>
      <c r="O24" s="6" t="n">
        <f aca="false">IF(L24&lt;0,O23+1,0)</f>
        <v>0</v>
      </c>
      <c r="P24" s="6" t="n">
        <v>1</v>
      </c>
    </row>
    <row r="25" customFormat="false" ht="15" hidden="false" customHeight="false" outlineLevel="0" collapsed="false">
      <c r="A25" s="6" t="n">
        <v>20</v>
      </c>
      <c r="B25" s="5" t="s">
        <v>72</v>
      </c>
      <c r="C25" s="5" t="s">
        <v>25</v>
      </c>
      <c r="D25" s="11" t="n">
        <v>41291</v>
      </c>
      <c r="E25" s="11" t="n">
        <v>41292</v>
      </c>
      <c r="F25" s="5" t="s">
        <v>75</v>
      </c>
      <c r="G25" s="12" t="n">
        <v>442235.048467922</v>
      </c>
      <c r="H25" s="13" t="n">
        <v>110.54</v>
      </c>
      <c r="I25" s="13" t="n">
        <v>111.19</v>
      </c>
      <c r="J25" s="5" t="s">
        <v>74</v>
      </c>
      <c r="K25" s="8" t="n">
        <v>45.331529125989</v>
      </c>
      <c r="L25" s="8" t="n">
        <v>-1007.10458701407</v>
      </c>
      <c r="M25" s="8" t="n">
        <f aca="false">M24+L25</f>
        <v>-20693.0037556712</v>
      </c>
      <c r="N25" s="5" t="str">
        <f aca="false">IF(L25&gt;0,"прибыль",IF(L25&lt;0,"убыток","ноль"))</f>
        <v>убыток</v>
      </c>
      <c r="O25" s="6" t="n">
        <f aca="false">IF(L25&lt;0,O24+1,0)</f>
        <v>1</v>
      </c>
      <c r="P25" s="6" t="n">
        <v>1</v>
      </c>
    </row>
    <row r="26" customFormat="false" ht="15" hidden="false" customHeight="false" outlineLevel="0" collapsed="false">
      <c r="A26" s="6" t="n">
        <v>21</v>
      </c>
      <c r="B26" s="5" t="s">
        <v>72</v>
      </c>
      <c r="C26" s="5" t="s">
        <v>25</v>
      </c>
      <c r="D26" s="11" t="n">
        <v>41292</v>
      </c>
      <c r="E26" s="11" t="n">
        <v>41326</v>
      </c>
      <c r="F26" s="5" t="s">
        <v>73</v>
      </c>
      <c r="G26" s="12" t="n">
        <v>195687.940370682</v>
      </c>
      <c r="H26" s="13" t="n">
        <v>111.19</v>
      </c>
      <c r="I26" s="13" t="n">
        <v>115.2</v>
      </c>
      <c r="J26" s="5" t="s">
        <v>74</v>
      </c>
      <c r="K26" s="8" t="n">
        <v>29.6528567141045</v>
      </c>
      <c r="L26" s="8" t="n">
        <v>2114.21855102102</v>
      </c>
      <c r="M26" s="8" t="n">
        <f aca="false">M25+L26</f>
        <v>-18578.7852046502</v>
      </c>
      <c r="N26" s="5" t="str">
        <f aca="false">IF(L26&gt;0,"прибыль",IF(L26&lt;0,"убыток","ноль"))</f>
        <v>прибыль</v>
      </c>
      <c r="O26" s="6" t="n">
        <f aca="false">IF(L26&lt;0,O25+1,0)</f>
        <v>0</v>
      </c>
      <c r="P26" s="6" t="n">
        <v>24</v>
      </c>
    </row>
    <row r="27" customFormat="false" ht="15" hidden="false" customHeight="false" outlineLevel="0" collapsed="false">
      <c r="A27" s="6" t="n">
        <v>22</v>
      </c>
      <c r="B27" s="5" t="s">
        <v>72</v>
      </c>
      <c r="C27" s="5" t="s">
        <v>25</v>
      </c>
      <c r="D27" s="11" t="n">
        <v>41326</v>
      </c>
      <c r="E27" s="11" t="n">
        <v>41354</v>
      </c>
      <c r="F27" s="5" t="s">
        <v>73</v>
      </c>
      <c r="G27" s="12" t="n">
        <v>662971.143126961</v>
      </c>
      <c r="H27" s="13" t="n">
        <v>115.2</v>
      </c>
      <c r="I27" s="13" t="n">
        <v>108.65</v>
      </c>
      <c r="J27" s="5" t="s">
        <v>74</v>
      </c>
      <c r="K27" s="8" t="n">
        <v>62.8880689183741</v>
      </c>
      <c r="L27" s="8" t="n">
        <v>-33628.129949195</v>
      </c>
      <c r="M27" s="8" t="n">
        <f aca="false">M26+L27</f>
        <v>-52206.9151538452</v>
      </c>
      <c r="N27" s="5" t="str">
        <f aca="false">IF(L27&gt;0,"прибыль",IF(L27&lt;0,"убыток","ноль"))</f>
        <v>убыток</v>
      </c>
      <c r="O27" s="6" t="n">
        <f aca="false">IF(L27&lt;0,O26+1,0)</f>
        <v>1</v>
      </c>
      <c r="P27" s="6" t="n">
        <v>19</v>
      </c>
    </row>
    <row r="28" customFormat="false" ht="15" hidden="false" customHeight="false" outlineLevel="0" collapsed="false">
      <c r="A28" s="6" t="n">
        <v>23</v>
      </c>
      <c r="B28" s="5" t="s">
        <v>72</v>
      </c>
      <c r="C28" s="5" t="s">
        <v>25</v>
      </c>
      <c r="D28" s="11" t="n">
        <v>41354</v>
      </c>
      <c r="E28" s="11" t="n">
        <v>41360</v>
      </c>
      <c r="F28" s="5" t="s">
        <v>75</v>
      </c>
      <c r="G28" s="12" t="n">
        <v>628355.477120797</v>
      </c>
      <c r="H28" s="13" t="n">
        <v>108.65</v>
      </c>
      <c r="I28" s="13" t="n">
        <v>109.28</v>
      </c>
      <c r="K28" s="8" t="n">
        <v>64.4298576503453</v>
      </c>
      <c r="L28" s="8" t="n">
        <v>-4548.0110478851</v>
      </c>
      <c r="M28" s="8" t="n">
        <f aca="false">M27+L28</f>
        <v>-56754.9262017303</v>
      </c>
      <c r="N28" s="5" t="str">
        <f aca="false">IF(L28&gt;0,"прибыль",IF(L28&lt;0,"убыток","ноль"))</f>
        <v>убыток</v>
      </c>
      <c r="O28" s="6" t="n">
        <f aca="false">IF(L28&lt;0,O27+1,0)</f>
        <v>2</v>
      </c>
      <c r="P28" s="6" t="n">
        <v>4</v>
      </c>
    </row>
    <row r="29" customFormat="false" ht="15" hidden="false" customHeight="false" outlineLevel="0" collapsed="false">
      <c r="A29" s="6" t="n">
        <v>24</v>
      </c>
      <c r="B29" s="5" t="s">
        <v>72</v>
      </c>
      <c r="C29" s="5" t="s">
        <v>25</v>
      </c>
      <c r="D29" s="11" t="n">
        <v>41360</v>
      </c>
      <c r="E29" s="11" t="n">
        <v>41365</v>
      </c>
      <c r="F29" s="5" t="s">
        <v>73</v>
      </c>
      <c r="G29" s="12" t="n">
        <v>655758.094695874</v>
      </c>
      <c r="H29" s="13" t="n">
        <v>109.28</v>
      </c>
      <c r="I29" s="13" t="n">
        <v>109.98</v>
      </c>
      <c r="K29" s="8" t="n">
        <v>69.6446326964262</v>
      </c>
      <c r="L29" s="8" t="n">
        <v>3291.34576164399</v>
      </c>
      <c r="M29" s="8" t="n">
        <f aca="false">M28+L29</f>
        <v>-53463.5804400863</v>
      </c>
      <c r="N29" s="5" t="str">
        <f aca="false">IF(L29&gt;0,"прибыль",IF(L29&lt;0,"убыток","ноль"))</f>
        <v>прибыль</v>
      </c>
      <c r="O29" s="6" t="n">
        <f aca="false">IF(L29&lt;0,O28+1,0)</f>
        <v>0</v>
      </c>
      <c r="P29" s="6" t="n">
        <v>3</v>
      </c>
    </row>
    <row r="30" customFormat="false" ht="15" hidden="false" customHeight="false" outlineLevel="0" collapsed="false">
      <c r="A30" s="6" t="n">
        <v>25</v>
      </c>
      <c r="B30" s="5" t="s">
        <v>72</v>
      </c>
      <c r="C30" s="5" t="s">
        <v>25</v>
      </c>
      <c r="D30" s="11" t="n">
        <v>41365</v>
      </c>
      <c r="E30" s="11" t="n">
        <v>41368</v>
      </c>
      <c r="F30" s="5" t="s">
        <v>75</v>
      </c>
      <c r="G30" s="12" t="n">
        <v>174794.456893507</v>
      </c>
      <c r="H30" s="13" t="n">
        <v>109.98</v>
      </c>
      <c r="I30" s="13" t="n">
        <v>107.3</v>
      </c>
      <c r="K30" s="8" t="n">
        <v>8.53822995554507</v>
      </c>
      <c r="L30" s="8" t="n">
        <v>4021.31955264968</v>
      </c>
      <c r="M30" s="8" t="n">
        <f aca="false">M29+L30</f>
        <v>-49442.2608874366</v>
      </c>
      <c r="N30" s="5" t="str">
        <f aca="false">IF(L30&gt;0,"прибыль",IF(L30&lt;0,"убыток","ноль"))</f>
        <v>прибыль</v>
      </c>
      <c r="O30" s="6" t="n">
        <f aca="false">IF(L30&lt;0,O29+1,0)</f>
        <v>0</v>
      </c>
      <c r="P30" s="6" t="n">
        <v>3</v>
      </c>
    </row>
    <row r="31" customFormat="false" ht="15" hidden="false" customHeight="false" outlineLevel="0" collapsed="false">
      <c r="A31" s="6" t="n">
        <v>26</v>
      </c>
      <c r="B31" s="5" t="s">
        <v>72</v>
      </c>
      <c r="C31" s="5" t="s">
        <v>25</v>
      </c>
      <c r="D31" s="11" t="n">
        <v>41368</v>
      </c>
      <c r="E31" s="11" t="n">
        <v>41380</v>
      </c>
      <c r="F31" s="5" t="s">
        <v>75</v>
      </c>
      <c r="G31" s="12" t="n">
        <v>120280.666195334</v>
      </c>
      <c r="H31" s="13" t="n">
        <v>107.3</v>
      </c>
      <c r="I31" s="13" t="n">
        <v>100.27</v>
      </c>
      <c r="K31" s="8" t="n">
        <v>5.49127663210868</v>
      </c>
      <c r="L31" s="8" t="n">
        <v>10449.6422765279</v>
      </c>
      <c r="M31" s="8" t="n">
        <f aca="false">M30+L31</f>
        <v>-38992.6186109088</v>
      </c>
      <c r="N31" s="5" t="str">
        <f aca="false">IF(L31&gt;0,"прибыль",IF(L31&lt;0,"убыток","ноль"))</f>
        <v>прибыль</v>
      </c>
      <c r="O31" s="6" t="n">
        <f aca="false">IF(L31&lt;0,O30+1,0)</f>
        <v>0</v>
      </c>
      <c r="P31" s="6" t="n">
        <v>8</v>
      </c>
    </row>
    <row r="32" customFormat="false" ht="15" hidden="false" customHeight="false" outlineLevel="0" collapsed="false">
      <c r="A32" s="6" t="n">
        <v>27</v>
      </c>
      <c r="B32" s="5" t="s">
        <v>72</v>
      </c>
      <c r="C32" s="5" t="s">
        <v>25</v>
      </c>
      <c r="D32" s="11" t="n">
        <v>41380</v>
      </c>
      <c r="E32" s="11" t="n">
        <v>41438</v>
      </c>
      <c r="F32" s="5" t="s">
        <v>75</v>
      </c>
      <c r="G32" s="12" t="n">
        <v>114830.271734354</v>
      </c>
      <c r="H32" s="13" t="n">
        <v>100.27</v>
      </c>
      <c r="I32" s="13" t="n">
        <v>103.14</v>
      </c>
      <c r="J32" s="5" t="s">
        <v>74</v>
      </c>
      <c r="K32" s="8" t="n">
        <v>12.0115568994216</v>
      </c>
      <c r="L32" s="8" t="n">
        <v>6118.49669506976</v>
      </c>
      <c r="M32" s="8" t="n">
        <f aca="false">M31+L32</f>
        <v>-32874.121915839</v>
      </c>
      <c r="N32" s="5" t="str">
        <f aca="false">IF(L32&gt;0,"прибыль",IF(L32&lt;0,"убыток","ноль"))</f>
        <v>прибыль</v>
      </c>
      <c r="O32" s="6" t="n">
        <f aca="false">IF(L32&lt;0,O31+1,0)</f>
        <v>0</v>
      </c>
      <c r="P32" s="6" t="n">
        <v>39</v>
      </c>
    </row>
    <row r="33" customFormat="false" ht="15" hidden="false" customHeight="false" outlineLevel="0" collapsed="false">
      <c r="A33" s="6" t="n">
        <v>28</v>
      </c>
      <c r="B33" s="5" t="s">
        <v>72</v>
      </c>
      <c r="C33" s="5" t="s">
        <v>25</v>
      </c>
      <c r="D33" s="11" t="n">
        <v>41438</v>
      </c>
      <c r="E33" s="11" t="n">
        <v>41465</v>
      </c>
      <c r="F33" s="5" t="s">
        <v>75</v>
      </c>
      <c r="G33" s="12" t="n">
        <v>455399.548521161</v>
      </c>
      <c r="H33" s="13" t="n">
        <v>103.14</v>
      </c>
      <c r="I33" s="13" t="n">
        <v>107.83</v>
      </c>
      <c r="J33" s="5" t="s">
        <v>74</v>
      </c>
      <c r="K33" s="8" t="n">
        <v>43.0291867673957</v>
      </c>
      <c r="L33" s="8" t="n">
        <v>10499.9482901113</v>
      </c>
      <c r="M33" s="8" t="n">
        <f aca="false">M32+L33</f>
        <v>-22374.1736257277</v>
      </c>
      <c r="N33" s="5" t="str">
        <f aca="false">IF(L33&gt;0,"прибыль",IF(L33&lt;0,"убыток","ноль"))</f>
        <v>прибыль</v>
      </c>
      <c r="O33" s="6" t="n">
        <f aca="false">IF(L33&lt;0,O32+1,0)</f>
        <v>0</v>
      </c>
      <c r="P33" s="6" t="n">
        <v>19</v>
      </c>
    </row>
    <row r="34" customFormat="false" ht="15" hidden="false" customHeight="false" outlineLevel="0" collapsed="false">
      <c r="A34" s="6" t="n">
        <v>29</v>
      </c>
      <c r="B34" s="5" t="s">
        <v>72</v>
      </c>
      <c r="C34" s="5" t="s">
        <v>25</v>
      </c>
      <c r="D34" s="11" t="n">
        <v>41465</v>
      </c>
      <c r="E34" s="11" t="n">
        <v>41514</v>
      </c>
      <c r="F34" s="5" t="s">
        <v>73</v>
      </c>
      <c r="G34" s="12" t="n">
        <v>267346.969567796</v>
      </c>
      <c r="H34" s="13" t="n">
        <v>107.83</v>
      </c>
      <c r="I34" s="13" t="n">
        <v>114.35</v>
      </c>
      <c r="J34" s="5" t="s">
        <v>74</v>
      </c>
      <c r="K34" s="8" t="n">
        <v>29.6596997012757</v>
      </c>
      <c r="L34" s="8" t="n">
        <v>18189.6011841458</v>
      </c>
      <c r="M34" s="8" t="n">
        <f aca="false">M33+L34</f>
        <v>-4184.57244158184</v>
      </c>
      <c r="N34" s="5" t="str">
        <f aca="false">IF(L34&gt;0,"прибыль",IF(L34&lt;0,"убыток","ноль"))</f>
        <v>прибыль</v>
      </c>
      <c r="O34" s="6" t="n">
        <f aca="false">IF(L34&lt;0,O33+1,0)</f>
        <v>0</v>
      </c>
      <c r="P34" s="6" t="n">
        <v>35</v>
      </c>
    </row>
    <row r="35" customFormat="false" ht="15" hidden="false" customHeight="false" outlineLevel="0" collapsed="false">
      <c r="A35" s="6" t="n">
        <v>30</v>
      </c>
      <c r="B35" s="5" t="s">
        <v>72</v>
      </c>
      <c r="C35" s="5" t="s">
        <v>25</v>
      </c>
      <c r="D35" s="11" t="n">
        <v>41514</v>
      </c>
      <c r="E35" s="11" t="n">
        <v>41535</v>
      </c>
      <c r="F35" s="5" t="s">
        <v>73</v>
      </c>
      <c r="G35" s="12" t="n">
        <v>92282.2199891384</v>
      </c>
      <c r="H35" s="13" t="n">
        <v>114.35</v>
      </c>
      <c r="I35" s="13" t="n">
        <v>107.81</v>
      </c>
      <c r="J35" s="5" t="s">
        <v>74</v>
      </c>
      <c r="K35" s="8" t="n">
        <v>4.74929910847767</v>
      </c>
      <c r="L35" s="8" t="n">
        <v>2699.0128813065</v>
      </c>
      <c r="M35" s="8" t="n">
        <f aca="false">M34+L35</f>
        <v>-1485.55956027534</v>
      </c>
      <c r="N35" s="5" t="str">
        <f aca="false">IF(L35&gt;0,"прибыль",IF(L35&lt;0,"убыток","ноль"))</f>
        <v>прибыль</v>
      </c>
      <c r="O35" s="6" t="n">
        <f aca="false">IF(L35&lt;0,O34+1,0)</f>
        <v>0</v>
      </c>
      <c r="P35" s="6" t="n">
        <v>15</v>
      </c>
    </row>
    <row r="36" customFormat="false" ht="15" hidden="false" customHeight="false" outlineLevel="0" collapsed="false">
      <c r="A36" s="6" t="n">
        <v>31</v>
      </c>
      <c r="B36" s="5" t="s">
        <v>72</v>
      </c>
      <c r="C36" s="5" t="s">
        <v>25</v>
      </c>
      <c r="D36" s="11" t="n">
        <v>41535</v>
      </c>
      <c r="E36" s="11" t="n">
        <v>41586</v>
      </c>
      <c r="F36" s="5" t="s">
        <v>73</v>
      </c>
      <c r="G36" s="12" t="n">
        <v>486262.991496525</v>
      </c>
      <c r="H36" s="13" t="n">
        <v>107.81</v>
      </c>
      <c r="I36" s="13" t="n">
        <v>103.71</v>
      </c>
      <c r="J36" s="5" t="s">
        <v>74</v>
      </c>
      <c r="K36" s="8" t="n">
        <v>51.669672199005</v>
      </c>
      <c r="L36" s="8" t="n">
        <v>-4109.9739633791</v>
      </c>
      <c r="M36" s="8" t="n">
        <f aca="false">M35+L36</f>
        <v>-5595.53352365443</v>
      </c>
      <c r="N36" s="5" t="str">
        <f aca="false">IF(L36&gt;0,"прибыль",IF(L36&lt;0,"убыток","ноль"))</f>
        <v>убыток</v>
      </c>
      <c r="O36" s="6" t="n">
        <f aca="false">IF(L36&lt;0,O35+1,0)</f>
        <v>1</v>
      </c>
      <c r="P36" s="6" t="n">
        <v>34</v>
      </c>
    </row>
    <row r="37" customFormat="false" ht="15" hidden="false" customHeight="false" outlineLevel="0" collapsed="false">
      <c r="A37" s="6" t="n">
        <v>32</v>
      </c>
      <c r="B37" s="5" t="s">
        <v>72</v>
      </c>
      <c r="C37" s="5" t="s">
        <v>25</v>
      </c>
      <c r="D37" s="11" t="n">
        <v>41586</v>
      </c>
      <c r="E37" s="11" t="n">
        <v>41589</v>
      </c>
      <c r="F37" s="5" t="s">
        <v>75</v>
      </c>
      <c r="G37" s="12" t="n">
        <v>428651.503598798</v>
      </c>
      <c r="H37" s="13" t="n">
        <v>103.71</v>
      </c>
      <c r="I37" s="13" t="n">
        <v>105.26</v>
      </c>
      <c r="K37" s="8" t="n">
        <v>42.4372621566657</v>
      </c>
      <c r="L37" s="8" t="n">
        <v>-7193.28439241175</v>
      </c>
      <c r="M37" s="8" t="n">
        <f aca="false">M36+L37</f>
        <v>-12788.8179160662</v>
      </c>
      <c r="N37" s="5" t="str">
        <f aca="false">IF(L37&gt;0,"прибыль",IF(L37&lt;0,"убыток","ноль"))</f>
        <v>убыток</v>
      </c>
      <c r="O37" s="6" t="n">
        <f aca="false">IF(L37&lt;0,O36+1,0)</f>
        <v>2</v>
      </c>
      <c r="P37" s="6" t="n">
        <v>1</v>
      </c>
    </row>
    <row r="38" customFormat="false" ht="15" hidden="false" customHeight="false" outlineLevel="0" collapsed="false">
      <c r="A38" s="6" t="n">
        <v>33</v>
      </c>
      <c r="B38" s="5" t="s">
        <v>72</v>
      </c>
      <c r="C38" s="5" t="s">
        <v>25</v>
      </c>
      <c r="D38" s="11" t="n">
        <v>41589</v>
      </c>
      <c r="E38" s="11" t="n">
        <v>41604</v>
      </c>
      <c r="F38" s="5" t="s">
        <v>73</v>
      </c>
      <c r="G38" s="12" t="n">
        <v>412942.892404261</v>
      </c>
      <c r="H38" s="13" t="n">
        <v>105.26</v>
      </c>
      <c r="I38" s="13" t="n">
        <v>111.02</v>
      </c>
      <c r="J38" s="5" t="s">
        <v>74</v>
      </c>
      <c r="K38" s="8" t="n">
        <v>40.7508910040422</v>
      </c>
      <c r="L38" s="8" t="n">
        <v>22905.6930252068</v>
      </c>
      <c r="M38" s="8" t="n">
        <f aca="false">M37+L38</f>
        <v>10116.8751091407</v>
      </c>
      <c r="N38" s="5" t="str">
        <f aca="false">IF(L38&gt;0,"прибыль",IF(L38&lt;0,"убыток","ноль"))</f>
        <v>прибыль</v>
      </c>
      <c r="O38" s="6" t="n">
        <f aca="false">IF(L38&lt;0,O37+1,0)</f>
        <v>0</v>
      </c>
      <c r="P38" s="6" t="n">
        <v>11</v>
      </c>
    </row>
    <row r="39" customFormat="false" ht="15" hidden="false" customHeight="false" outlineLevel="0" collapsed="false">
      <c r="A39" s="6" t="n">
        <v>34</v>
      </c>
      <c r="B39" s="5" t="s">
        <v>72</v>
      </c>
      <c r="C39" s="5" t="s">
        <v>25</v>
      </c>
      <c r="D39" s="11" t="n">
        <v>41604</v>
      </c>
      <c r="E39" s="11" t="n">
        <v>41605</v>
      </c>
      <c r="F39" s="5" t="s">
        <v>75</v>
      </c>
      <c r="G39" s="12" t="n">
        <v>379128.483760372</v>
      </c>
      <c r="H39" s="13" t="n">
        <v>111.02</v>
      </c>
      <c r="I39" s="13" t="n">
        <v>111.04</v>
      </c>
      <c r="K39" s="8" t="n">
        <v>39.3749935986599</v>
      </c>
      <c r="L39" s="8" t="n">
        <v>-785.939290327786</v>
      </c>
      <c r="M39" s="8" t="n">
        <f aca="false">M38+L39</f>
        <v>9330.93581881287</v>
      </c>
      <c r="N39" s="5" t="str">
        <f aca="false">IF(L39&gt;0,"прибыль",IF(L39&lt;0,"убыток","ноль"))</f>
        <v>убыток</v>
      </c>
      <c r="O39" s="6" t="n">
        <f aca="false">IF(L39&lt;0,O38+1,0)</f>
        <v>1</v>
      </c>
      <c r="P39" s="6" t="n">
        <v>1</v>
      </c>
    </row>
    <row r="40" customFormat="false" ht="15" hidden="false" customHeight="false" outlineLevel="0" collapsed="false">
      <c r="A40" s="6" t="n">
        <v>35</v>
      </c>
      <c r="B40" s="5" t="s">
        <v>72</v>
      </c>
      <c r="C40" s="5" t="s">
        <v>25</v>
      </c>
      <c r="D40" s="11" t="n">
        <v>41605</v>
      </c>
      <c r="E40" s="11" t="n">
        <v>41610</v>
      </c>
      <c r="F40" s="5" t="s">
        <v>73</v>
      </c>
      <c r="G40" s="12" t="n">
        <v>407624.823916098</v>
      </c>
      <c r="H40" s="13" t="n">
        <v>111.04</v>
      </c>
      <c r="I40" s="13" t="n">
        <v>110.05</v>
      </c>
      <c r="K40" s="8" t="n">
        <v>41.0075874279807</v>
      </c>
      <c r="L40" s="8" t="n">
        <v>-4374.26433042571</v>
      </c>
      <c r="M40" s="8" t="n">
        <f aca="false">M39+L40</f>
        <v>4956.67148838717</v>
      </c>
      <c r="N40" s="5" t="str">
        <f aca="false">IF(L40&gt;0,"прибыль",IF(L40&lt;0,"убыток","ноль"))</f>
        <v>убыток</v>
      </c>
      <c r="O40" s="6" t="n">
        <f aca="false">IF(L40&lt;0,O39+1,0)</f>
        <v>2</v>
      </c>
      <c r="P40" s="6" t="n">
        <v>3</v>
      </c>
    </row>
    <row r="41" customFormat="false" ht="15" hidden="false" customHeight="false" outlineLevel="0" collapsed="false">
      <c r="A41" s="6" t="n">
        <v>36</v>
      </c>
      <c r="B41" s="5" t="s">
        <v>72</v>
      </c>
      <c r="C41" s="5" t="s">
        <v>25</v>
      </c>
      <c r="D41" s="11" t="n">
        <v>41610</v>
      </c>
      <c r="E41" s="11" t="n">
        <v>41611</v>
      </c>
      <c r="F41" s="5" t="s">
        <v>75</v>
      </c>
      <c r="G41" s="12" t="n">
        <v>416860.181386514</v>
      </c>
      <c r="H41" s="13" t="n">
        <v>110.05</v>
      </c>
      <c r="I41" s="13" t="n">
        <v>111.42</v>
      </c>
      <c r="K41" s="8" t="n">
        <v>44.9829807546901</v>
      </c>
      <c r="L41" s="8" t="n">
        <v>-5930.47113446469</v>
      </c>
      <c r="M41" s="8" t="n">
        <f aca="false">M40+L41</f>
        <v>-973.799646077524</v>
      </c>
      <c r="N41" s="5" t="str">
        <f aca="false">IF(L41&gt;0,"прибыль",IF(L41&lt;0,"убыток","ноль"))</f>
        <v>убыток</v>
      </c>
      <c r="O41" s="6" t="n">
        <f aca="false">IF(L41&lt;0,O40+1,0)</f>
        <v>3</v>
      </c>
      <c r="P41" s="6" t="n">
        <v>1</v>
      </c>
    </row>
    <row r="42" customFormat="false" ht="15" hidden="false" customHeight="false" outlineLevel="0" collapsed="false">
      <c r="A42" s="6" t="n">
        <v>37</v>
      </c>
      <c r="B42" s="5" t="s">
        <v>72</v>
      </c>
      <c r="C42" s="5" t="s">
        <v>25</v>
      </c>
      <c r="D42" s="11" t="n">
        <v>41611</v>
      </c>
      <c r="E42" s="11" t="n">
        <v>41653</v>
      </c>
      <c r="F42" s="5" t="s">
        <v>73</v>
      </c>
      <c r="G42" s="12" t="n">
        <v>476913.945553577</v>
      </c>
      <c r="H42" s="13" t="n">
        <v>111.42</v>
      </c>
      <c r="I42" s="13" t="n">
        <v>106.65</v>
      </c>
      <c r="J42" s="5" t="s">
        <v>74</v>
      </c>
      <c r="K42" s="8" t="n">
        <v>45.0937000446635</v>
      </c>
      <c r="L42" s="8" t="n">
        <v>-13797.9065478954</v>
      </c>
      <c r="M42" s="8" t="n">
        <f aca="false">M41+L42</f>
        <v>-14771.7061939729</v>
      </c>
      <c r="N42" s="5" t="str">
        <f aca="false">IF(L42&gt;0,"прибыль",IF(L42&lt;0,"убыток","ноль"))</f>
        <v>убыток</v>
      </c>
      <c r="O42" s="6" t="n">
        <f aca="false">IF(L42&lt;0,O41+1,0)</f>
        <v>4</v>
      </c>
      <c r="P42" s="6" t="n">
        <v>25</v>
      </c>
    </row>
    <row r="43" customFormat="false" ht="15" hidden="false" customHeight="false" outlineLevel="0" collapsed="false">
      <c r="A43" s="6" t="n">
        <v>38</v>
      </c>
      <c r="B43" s="5" t="s">
        <v>72</v>
      </c>
      <c r="C43" s="5" t="s">
        <v>25</v>
      </c>
      <c r="D43" s="11" t="n">
        <v>41653</v>
      </c>
      <c r="E43" s="11" t="n">
        <v>41655</v>
      </c>
      <c r="F43" s="5" t="s">
        <v>75</v>
      </c>
      <c r="G43" s="12" t="n">
        <v>438712.868187543</v>
      </c>
      <c r="H43" s="13" t="n">
        <v>106.65</v>
      </c>
      <c r="I43" s="13" t="n">
        <v>106.92</v>
      </c>
      <c r="K43" s="8" t="n">
        <v>43.5420058980242</v>
      </c>
      <c r="L43" s="8" t="n">
        <v>-1890.17304882066</v>
      </c>
      <c r="M43" s="8" t="n">
        <f aca="false">M42+L43</f>
        <v>-16661.8792427936</v>
      </c>
      <c r="N43" s="5" t="str">
        <f aca="false">IF(L43&gt;0,"прибыль",IF(L43&lt;0,"убыток","ноль"))</f>
        <v>убыток</v>
      </c>
      <c r="O43" s="6" t="n">
        <f aca="false">IF(L43&lt;0,O42+1,0)</f>
        <v>5</v>
      </c>
      <c r="P43" s="6" t="n">
        <v>2</v>
      </c>
    </row>
    <row r="44" customFormat="false" ht="15" hidden="false" customHeight="false" outlineLevel="0" collapsed="false">
      <c r="A44" s="6" t="n">
        <v>39</v>
      </c>
      <c r="B44" s="5" t="s">
        <v>72</v>
      </c>
      <c r="C44" s="5" t="s">
        <v>25</v>
      </c>
      <c r="D44" s="11" t="n">
        <v>41655</v>
      </c>
      <c r="E44" s="11" t="n">
        <v>41656</v>
      </c>
      <c r="F44" s="5" t="s">
        <v>73</v>
      </c>
      <c r="G44" s="12" t="n">
        <v>430280.618730019</v>
      </c>
      <c r="H44" s="13" t="n">
        <v>106.92</v>
      </c>
      <c r="I44" s="13" t="n">
        <v>107.06</v>
      </c>
      <c r="K44" s="8" t="n">
        <v>43.4435325261797</v>
      </c>
      <c r="L44" s="8" t="n">
        <v>-199.713756328105</v>
      </c>
      <c r="M44" s="8" t="n">
        <f aca="false">M43+L44</f>
        <v>-16861.5929991217</v>
      </c>
      <c r="N44" s="5" t="str">
        <f aca="false">IF(L44&gt;0,"прибыль",IF(L44&lt;0,"убыток","ноль"))</f>
        <v>убыток</v>
      </c>
      <c r="O44" s="6" t="n">
        <f aca="false">IF(L44&lt;0,O43+1,0)</f>
        <v>6</v>
      </c>
      <c r="P44" s="6" t="n">
        <v>1</v>
      </c>
    </row>
    <row r="45" customFormat="false" ht="15" hidden="false" customHeight="false" outlineLevel="0" collapsed="false">
      <c r="A45" s="6" t="n">
        <v>40</v>
      </c>
      <c r="B45" s="5" t="s">
        <v>72</v>
      </c>
      <c r="C45" s="5" t="s">
        <v>25</v>
      </c>
      <c r="D45" s="11" t="n">
        <v>41656</v>
      </c>
      <c r="E45" s="11" t="n">
        <v>41659</v>
      </c>
      <c r="F45" s="5" t="s">
        <v>75</v>
      </c>
      <c r="G45" s="12" t="n">
        <v>438746.302017377</v>
      </c>
      <c r="H45" s="13" t="n">
        <v>107.06</v>
      </c>
      <c r="I45" s="13" t="n">
        <v>106.38</v>
      </c>
      <c r="J45" s="5" t="s">
        <v>74</v>
      </c>
      <c r="K45" s="8" t="n">
        <v>43.9548351810855</v>
      </c>
      <c r="L45" s="8" t="n">
        <v>-732.501459601093</v>
      </c>
      <c r="M45" s="8" t="n">
        <f aca="false">M44+L45</f>
        <v>-17594.0944587228</v>
      </c>
      <c r="N45" s="5" t="str">
        <f aca="false">IF(L45&gt;0,"прибыль",IF(L45&lt;0,"убыток","ноль"))</f>
        <v>убыток</v>
      </c>
      <c r="O45" s="6" t="n">
        <f aca="false">IF(L45&lt;0,O44+1,0)</f>
        <v>7</v>
      </c>
      <c r="P45" s="6" t="n">
        <v>1</v>
      </c>
    </row>
    <row r="46" customFormat="false" ht="15" hidden="false" customHeight="false" outlineLevel="0" collapsed="false">
      <c r="A46" s="6" t="n">
        <v>41</v>
      </c>
      <c r="B46" s="5" t="s">
        <v>72</v>
      </c>
      <c r="C46" s="5" t="s">
        <v>25</v>
      </c>
      <c r="D46" s="11" t="n">
        <v>41659</v>
      </c>
      <c r="E46" s="11" t="n">
        <v>41660</v>
      </c>
      <c r="F46" s="5" t="s">
        <v>73</v>
      </c>
      <c r="G46" s="12" t="n">
        <v>439661.854979913</v>
      </c>
      <c r="H46" s="13" t="n">
        <v>106.38</v>
      </c>
      <c r="I46" s="13" t="n">
        <v>106.4</v>
      </c>
      <c r="K46" s="8" t="n">
        <v>45.0806548766796</v>
      </c>
      <c r="L46" s="8" t="n">
        <v>-680.532241052336</v>
      </c>
      <c r="M46" s="8" t="n">
        <f aca="false">M45+L46</f>
        <v>-18274.6266997751</v>
      </c>
      <c r="N46" s="5" t="str">
        <f aca="false">IF(L46&gt;0,"прибыль",IF(L46&lt;0,"убыток","ноль"))</f>
        <v>убыток</v>
      </c>
      <c r="O46" s="6" t="n">
        <f aca="false">IF(L46&lt;0,O45+1,0)</f>
        <v>8</v>
      </c>
      <c r="P46" s="6" t="n">
        <v>1</v>
      </c>
    </row>
    <row r="47" customFormat="false" ht="15" hidden="false" customHeight="false" outlineLevel="0" collapsed="false">
      <c r="A47" s="6" t="n">
        <v>42</v>
      </c>
      <c r="B47" s="5" t="s">
        <v>72</v>
      </c>
      <c r="C47" s="5" t="s">
        <v>25</v>
      </c>
      <c r="D47" s="11" t="n">
        <v>41660</v>
      </c>
      <c r="E47" s="11" t="n">
        <v>41662</v>
      </c>
      <c r="F47" s="5" t="s">
        <v>75</v>
      </c>
      <c r="G47" s="12" t="n">
        <v>462586.694139856</v>
      </c>
      <c r="H47" s="13" t="n">
        <v>106.4</v>
      </c>
      <c r="I47" s="13" t="n">
        <v>108.23</v>
      </c>
      <c r="K47" s="8" t="n">
        <v>46.2376394654165</v>
      </c>
      <c r="L47" s="8" t="n">
        <v>-8764.32859215803</v>
      </c>
      <c r="M47" s="8" t="n">
        <f aca="false">M46+L47</f>
        <v>-27038.9552919332</v>
      </c>
      <c r="N47" s="5" t="str">
        <f aca="false">IF(L47&gt;0,"прибыль",IF(L47&lt;0,"убыток","ноль"))</f>
        <v>убыток</v>
      </c>
      <c r="O47" s="6" t="n">
        <f aca="false">IF(L47&lt;0,O46+1,0)</f>
        <v>9</v>
      </c>
      <c r="P47" s="6" t="n">
        <v>2</v>
      </c>
    </row>
    <row r="48" customFormat="false" ht="15" hidden="false" customHeight="false" outlineLevel="0" collapsed="false">
      <c r="A48" s="6" t="n">
        <v>43</v>
      </c>
      <c r="B48" s="5" t="s">
        <v>72</v>
      </c>
      <c r="C48" s="5" t="s">
        <v>25</v>
      </c>
      <c r="D48" s="11" t="n">
        <v>41662</v>
      </c>
      <c r="E48" s="11" t="n">
        <v>41680</v>
      </c>
      <c r="F48" s="5" t="s">
        <v>73</v>
      </c>
      <c r="G48" s="12" t="n">
        <v>148144.208332809</v>
      </c>
      <c r="H48" s="13" t="n">
        <v>108.23</v>
      </c>
      <c r="I48" s="13" t="n">
        <v>109.38</v>
      </c>
      <c r="K48" s="8" t="n">
        <v>20.7567824606649</v>
      </c>
      <c r="L48" s="8" t="n">
        <v>2495.50254354025</v>
      </c>
      <c r="M48" s="8" t="n">
        <f aca="false">M47+L48</f>
        <v>-24543.4527483929</v>
      </c>
      <c r="N48" s="5" t="str">
        <f aca="false">IF(L48&gt;0,"прибыль",IF(L48&lt;0,"убыток","ноль"))</f>
        <v>прибыль</v>
      </c>
      <c r="O48" s="6" t="n">
        <f aca="false">IF(L48&lt;0,O47+1,0)</f>
        <v>0</v>
      </c>
      <c r="P48" s="6" t="n">
        <v>12</v>
      </c>
    </row>
    <row r="49" customFormat="false" ht="15" hidden="false" customHeight="false" outlineLevel="0" collapsed="false">
      <c r="A49" s="6" t="n">
        <v>44</v>
      </c>
      <c r="B49" s="5" t="s">
        <v>72</v>
      </c>
      <c r="C49" s="5" t="s">
        <v>25</v>
      </c>
      <c r="D49" s="11" t="n">
        <v>41680</v>
      </c>
      <c r="E49" s="11" t="n">
        <v>41703</v>
      </c>
      <c r="F49" s="5" t="s">
        <v>73</v>
      </c>
      <c r="G49" s="12" t="n">
        <v>569778.97743746</v>
      </c>
      <c r="H49" s="13" t="n">
        <v>109.38</v>
      </c>
      <c r="I49" s="13" t="n">
        <v>109.18</v>
      </c>
      <c r="J49" s="5" t="s">
        <v>74</v>
      </c>
      <c r="K49" s="8" t="n">
        <v>54.9917662976788</v>
      </c>
      <c r="L49" s="8" t="n">
        <v>6788.24963009269</v>
      </c>
      <c r="M49" s="8" t="n">
        <f aca="false">M48+L49</f>
        <v>-17755.2031183002</v>
      </c>
      <c r="N49" s="5" t="str">
        <f aca="false">IF(L49&gt;0,"прибыль",IF(L49&lt;0,"убыток","ноль"))</f>
        <v>прибыль</v>
      </c>
      <c r="O49" s="6" t="n">
        <f aca="false">IF(L49&lt;0,O48+1,0)</f>
        <v>0</v>
      </c>
      <c r="P49" s="6" t="n">
        <v>17</v>
      </c>
    </row>
    <row r="50" customFormat="false" ht="15" hidden="false" customHeight="false" outlineLevel="0" collapsed="false">
      <c r="A50" s="6" t="n">
        <v>45</v>
      </c>
      <c r="B50" s="5" t="s">
        <v>72</v>
      </c>
      <c r="C50" s="5" t="s">
        <v>25</v>
      </c>
      <c r="D50" s="11" t="n">
        <v>41703</v>
      </c>
      <c r="E50" s="11" t="n">
        <v>41710</v>
      </c>
      <c r="F50" s="5" t="s">
        <v>75</v>
      </c>
      <c r="G50" s="12" t="n">
        <v>523213.107119725</v>
      </c>
      <c r="H50" s="13" t="n">
        <v>109.18</v>
      </c>
      <c r="I50" s="13" t="n">
        <v>108.41</v>
      </c>
      <c r="K50" s="8" t="n">
        <v>54.7526742617</v>
      </c>
      <c r="L50" s="8" t="n">
        <v>2881.33407027227</v>
      </c>
      <c r="M50" s="8" t="n">
        <f aca="false">M49+L50</f>
        <v>-14873.8690480279</v>
      </c>
      <c r="N50" s="5" t="str">
        <f aca="false">IF(L50&gt;0,"прибыль",IF(L50&lt;0,"убыток","ноль"))</f>
        <v>прибыль</v>
      </c>
      <c r="O50" s="6" t="n">
        <f aca="false">IF(L50&lt;0,O49+1,0)</f>
        <v>0</v>
      </c>
      <c r="P50" s="6" t="n">
        <v>4</v>
      </c>
    </row>
    <row r="51" customFormat="false" ht="15" hidden="false" customHeight="false" outlineLevel="0" collapsed="false">
      <c r="A51" s="6" t="n">
        <v>46</v>
      </c>
      <c r="B51" s="5" t="s">
        <v>72</v>
      </c>
      <c r="C51" s="5" t="s">
        <v>25</v>
      </c>
      <c r="D51" s="11" t="n">
        <v>41710</v>
      </c>
      <c r="E51" s="11" t="n">
        <v>41712</v>
      </c>
      <c r="F51" s="5" t="s">
        <v>73</v>
      </c>
      <c r="G51" s="12" t="n">
        <v>574776.464858809</v>
      </c>
      <c r="H51" s="13" t="n">
        <v>108.41</v>
      </c>
      <c r="I51" s="13" t="n">
        <v>107.41</v>
      </c>
      <c r="K51" s="8" t="n">
        <v>55.9732507730484</v>
      </c>
      <c r="L51" s="8" t="n">
        <v>-6170.61759220415</v>
      </c>
      <c r="M51" s="8" t="n">
        <f aca="false">M50+L51</f>
        <v>-21044.4866402321</v>
      </c>
      <c r="N51" s="5" t="str">
        <f aca="false">IF(L51&gt;0,"прибыль",IF(L51&lt;0,"убыток","ноль"))</f>
        <v>убыток</v>
      </c>
      <c r="O51" s="6" t="n">
        <f aca="false">IF(L51&lt;0,O50+1,0)</f>
        <v>1</v>
      </c>
      <c r="P51" s="6" t="n">
        <v>2</v>
      </c>
    </row>
    <row r="52" customFormat="false" ht="15" hidden="false" customHeight="false" outlineLevel="0" collapsed="false">
      <c r="A52" s="6" t="n">
        <v>47</v>
      </c>
      <c r="B52" s="5" t="s">
        <v>72</v>
      </c>
      <c r="C52" s="5" t="s">
        <v>25</v>
      </c>
      <c r="D52" s="11" t="n">
        <v>41712</v>
      </c>
      <c r="E52" s="11" t="n">
        <v>41715</v>
      </c>
      <c r="F52" s="5" t="s">
        <v>75</v>
      </c>
      <c r="G52" s="12" t="n">
        <v>550803.19494359</v>
      </c>
      <c r="H52" s="13" t="n">
        <v>107.41</v>
      </c>
      <c r="I52" s="13" t="n">
        <v>108.59</v>
      </c>
      <c r="K52" s="8" t="n">
        <v>54.2645557190193</v>
      </c>
      <c r="L52" s="8" t="n">
        <v>-6922.06807401087</v>
      </c>
      <c r="M52" s="8" t="n">
        <f aca="false">M51+L52</f>
        <v>-27966.554714243</v>
      </c>
      <c r="N52" s="5" t="str">
        <f aca="false">IF(L52&gt;0,"прибыль",IF(L52&lt;0,"убыток","ноль"))</f>
        <v>убыток</v>
      </c>
      <c r="O52" s="6" t="n">
        <f aca="false">IF(L52&lt;0,O51+1,0)</f>
        <v>2</v>
      </c>
      <c r="P52" s="6" t="n">
        <v>1</v>
      </c>
    </row>
    <row r="53" customFormat="false" ht="15" hidden="false" customHeight="false" outlineLevel="0" collapsed="false">
      <c r="A53" s="6" t="n">
        <v>48</v>
      </c>
      <c r="B53" s="5" t="s">
        <v>72</v>
      </c>
      <c r="C53" s="5" t="s">
        <v>25</v>
      </c>
      <c r="D53" s="11" t="n">
        <v>41715</v>
      </c>
      <c r="E53" s="11" t="n">
        <v>41719</v>
      </c>
      <c r="F53" s="5" t="s">
        <v>73</v>
      </c>
      <c r="G53" s="12" t="n">
        <v>527620.115918504</v>
      </c>
      <c r="H53" s="13" t="n">
        <v>108.59</v>
      </c>
      <c r="I53" s="13" t="n">
        <v>106.28</v>
      </c>
      <c r="J53" s="5" t="s">
        <v>74</v>
      </c>
      <c r="K53" s="8" t="n">
        <v>53.9000432418173</v>
      </c>
      <c r="L53" s="8" t="n">
        <v>-1316.24709131597</v>
      </c>
      <c r="M53" s="8" t="n">
        <f aca="false">M52+L53</f>
        <v>-29282.8018055589</v>
      </c>
      <c r="N53" s="5" t="str">
        <f aca="false">IF(L53&gt;0,"прибыль",IF(L53&lt;0,"убыток","ноль"))</f>
        <v>убыток</v>
      </c>
      <c r="O53" s="6" t="n">
        <f aca="false">IF(L53&lt;0,O52+1,0)</f>
        <v>3</v>
      </c>
      <c r="P53" s="6" t="n">
        <v>4</v>
      </c>
    </row>
    <row r="54" customFormat="false" ht="15" hidden="false" customHeight="false" outlineLevel="0" collapsed="false">
      <c r="A54" s="6" t="n">
        <v>49</v>
      </c>
      <c r="B54" s="5" t="s">
        <v>72</v>
      </c>
      <c r="C54" s="5" t="s">
        <v>25</v>
      </c>
      <c r="D54" s="11" t="n">
        <v>41719</v>
      </c>
      <c r="E54" s="11" t="n">
        <v>41733</v>
      </c>
      <c r="F54" s="5" t="s">
        <v>75</v>
      </c>
      <c r="G54" s="12" t="n">
        <v>551643.095965916</v>
      </c>
      <c r="H54" s="13" t="n">
        <v>106.28</v>
      </c>
      <c r="I54" s="13" t="n">
        <v>106.28</v>
      </c>
      <c r="K54" s="8" t="n">
        <v>56.0952646301672</v>
      </c>
      <c r="L54" s="8" t="n">
        <v>-846.506159177202</v>
      </c>
      <c r="M54" s="8" t="n">
        <f aca="false">M53+L54</f>
        <v>-30129.3079647361</v>
      </c>
      <c r="N54" s="5" t="str">
        <f aca="false">IF(L54&gt;0,"прибыль",IF(L54&lt;0,"убыток","ноль"))</f>
        <v>убыток</v>
      </c>
      <c r="O54" s="6" t="n">
        <f aca="false">IF(L54&lt;0,O53+1,0)</f>
        <v>4</v>
      </c>
      <c r="P54" s="6" t="n">
        <v>10</v>
      </c>
    </row>
    <row r="55" customFormat="false" ht="15" hidden="false" customHeight="false" outlineLevel="0" collapsed="false">
      <c r="A55" s="6" t="n">
        <v>50</v>
      </c>
      <c r="B55" s="5" t="s">
        <v>72</v>
      </c>
      <c r="C55" s="5" t="s">
        <v>25</v>
      </c>
      <c r="D55" s="11" t="n">
        <v>41733</v>
      </c>
      <c r="E55" s="11" t="n">
        <v>41766</v>
      </c>
      <c r="F55" s="5" t="s">
        <v>73</v>
      </c>
      <c r="G55" s="12" t="n">
        <v>569471.785742881</v>
      </c>
      <c r="H55" s="13" t="n">
        <v>106.28</v>
      </c>
      <c r="I55" s="13" t="n">
        <v>107.47</v>
      </c>
      <c r="J55" s="5" t="s">
        <v>74</v>
      </c>
      <c r="K55" s="8" t="n">
        <v>60.5512220153179</v>
      </c>
      <c r="L55" s="8" t="n">
        <v>1482.85836660815</v>
      </c>
      <c r="M55" s="8" t="n">
        <f aca="false">M54+L55</f>
        <v>-28646.449598128</v>
      </c>
      <c r="N55" s="5" t="str">
        <f aca="false">IF(L55&gt;0,"прибыль",IF(L55&lt;0,"убыток","ноль"))</f>
        <v>прибыль</v>
      </c>
      <c r="O55" s="6" t="n">
        <f aca="false">IF(L55&lt;0,O54+1,0)</f>
        <v>0</v>
      </c>
      <c r="P55" s="6" t="n">
        <v>22</v>
      </c>
    </row>
    <row r="56" customFormat="false" ht="15" hidden="false" customHeight="false" outlineLevel="0" collapsed="false">
      <c r="A56" s="6" t="n">
        <v>51</v>
      </c>
      <c r="B56" s="5" t="s">
        <v>72</v>
      </c>
      <c r="C56" s="5" t="s">
        <v>25</v>
      </c>
      <c r="D56" s="11" t="n">
        <v>41766</v>
      </c>
      <c r="E56" s="11" t="n">
        <v>41767</v>
      </c>
      <c r="F56" s="5" t="s">
        <v>75</v>
      </c>
      <c r="G56" s="12" t="n">
        <v>640009.244974852</v>
      </c>
      <c r="H56" s="13" t="n">
        <v>107.47</v>
      </c>
      <c r="I56" s="13" t="n">
        <v>108.4</v>
      </c>
      <c r="K56" s="8" t="n">
        <v>66.3852066272942</v>
      </c>
      <c r="L56" s="8" t="n">
        <v>-6449.06042538149</v>
      </c>
      <c r="M56" s="8" t="n">
        <f aca="false">M55+L56</f>
        <v>-35095.5100235095</v>
      </c>
      <c r="N56" s="5" t="str">
        <f aca="false">IF(L56&gt;0,"прибыль",IF(L56&lt;0,"убыток","ноль"))</f>
        <v>убыток</v>
      </c>
      <c r="O56" s="6" t="n">
        <f aca="false">IF(L56&lt;0,O55+1,0)</f>
        <v>1</v>
      </c>
      <c r="P56" s="6" t="n">
        <v>1</v>
      </c>
    </row>
    <row r="57" customFormat="false" ht="15" hidden="false" customHeight="false" outlineLevel="0" collapsed="false">
      <c r="A57" s="6" t="n">
        <v>52</v>
      </c>
      <c r="B57" s="5" t="s">
        <v>72</v>
      </c>
      <c r="C57" s="5" t="s">
        <v>25</v>
      </c>
      <c r="D57" s="11" t="n">
        <v>41767</v>
      </c>
      <c r="E57" s="11" t="n">
        <v>41806</v>
      </c>
      <c r="F57" s="5" t="s">
        <v>73</v>
      </c>
      <c r="G57" s="12" t="n">
        <v>544052.364203675</v>
      </c>
      <c r="H57" s="13" t="n">
        <v>108.4</v>
      </c>
      <c r="I57" s="13" t="n">
        <v>113.37</v>
      </c>
      <c r="J57" s="5" t="s">
        <v>74</v>
      </c>
      <c r="K57" s="8" t="n">
        <v>50.0803553192931</v>
      </c>
      <c r="L57" s="8" t="n">
        <v>23894.7791109444</v>
      </c>
      <c r="M57" s="8" t="n">
        <f aca="false">M56+L57</f>
        <v>-11200.730912565</v>
      </c>
      <c r="N57" s="5" t="str">
        <f aca="false">IF(L57&gt;0,"прибыль",IF(L57&lt;0,"убыток","ноль"))</f>
        <v>прибыль</v>
      </c>
      <c r="O57" s="6" t="n">
        <f aca="false">IF(L57&lt;0,O56+1,0)</f>
        <v>0</v>
      </c>
      <c r="P57" s="6" t="n">
        <v>25</v>
      </c>
    </row>
    <row r="58" customFormat="false" ht="15" hidden="false" customHeight="false" outlineLevel="0" collapsed="false">
      <c r="A58" s="6" t="n">
        <v>53</v>
      </c>
      <c r="B58" s="5" t="s">
        <v>72</v>
      </c>
      <c r="C58" s="5" t="s">
        <v>25</v>
      </c>
      <c r="D58" s="11" t="n">
        <v>41806</v>
      </c>
      <c r="E58" s="11" t="n">
        <v>41831</v>
      </c>
      <c r="F58" s="5" t="s">
        <v>73</v>
      </c>
      <c r="G58" s="12" t="n">
        <v>570869.730864524</v>
      </c>
      <c r="H58" s="13" t="n">
        <v>113.37</v>
      </c>
      <c r="I58" s="13" t="n">
        <v>108.66</v>
      </c>
      <c r="J58" s="5" t="s">
        <v>74</v>
      </c>
      <c r="K58" s="8" t="n">
        <v>54.4244204607382</v>
      </c>
      <c r="L58" s="8" t="n">
        <v>1742.17024920383</v>
      </c>
      <c r="M58" s="8" t="n">
        <f aca="false">M57+L58</f>
        <v>-9458.56066336122</v>
      </c>
      <c r="N58" s="5" t="str">
        <f aca="false">IF(L58&gt;0,"прибыль",IF(L58&lt;0,"убыток","ноль"))</f>
        <v>прибыль</v>
      </c>
      <c r="O58" s="6" t="n">
        <f aca="false">IF(L58&lt;0,O57+1,0)</f>
        <v>0</v>
      </c>
      <c r="P58" s="6" t="n">
        <v>19</v>
      </c>
    </row>
    <row r="59" customFormat="false" ht="15" hidden="false" customHeight="false" outlineLevel="0" collapsed="false">
      <c r="A59" s="6" t="n">
        <v>54</v>
      </c>
      <c r="B59" s="5" t="s">
        <v>72</v>
      </c>
      <c r="C59" s="5" t="s">
        <v>25</v>
      </c>
      <c r="D59" s="11" t="n">
        <v>41831</v>
      </c>
      <c r="E59" s="11" t="n">
        <v>41886</v>
      </c>
      <c r="F59" s="5" t="s">
        <v>75</v>
      </c>
      <c r="G59" s="12" t="n">
        <v>192479.319961246</v>
      </c>
      <c r="H59" s="13" t="n">
        <v>108.66</v>
      </c>
      <c r="I59" s="13" t="n">
        <v>102.33</v>
      </c>
      <c r="J59" s="5" t="s">
        <v>74</v>
      </c>
      <c r="K59" s="8" t="n">
        <v>18.7210221050322</v>
      </c>
      <c r="L59" s="8" t="n">
        <v>15734.2653627858</v>
      </c>
      <c r="M59" s="8" t="n">
        <f aca="false">M58+L59</f>
        <v>6275.70469942457</v>
      </c>
      <c r="N59" s="5" t="str">
        <f aca="false">IF(L59&gt;0,"прибыль",IF(L59&lt;0,"убыток","ноль"))</f>
        <v>прибыль</v>
      </c>
      <c r="O59" s="6" t="n">
        <f aca="false">IF(L59&lt;0,O58+1,0)</f>
        <v>0</v>
      </c>
      <c r="P59" s="6" t="n">
        <v>39</v>
      </c>
    </row>
    <row r="60" customFormat="false" ht="15" hidden="false" customHeight="false" outlineLevel="0" collapsed="false">
      <c r="A60" s="6" t="n">
        <v>55</v>
      </c>
      <c r="B60" s="5" t="s">
        <v>72</v>
      </c>
      <c r="C60" s="5" t="s">
        <v>25</v>
      </c>
      <c r="D60" s="11" t="n">
        <v>41886</v>
      </c>
      <c r="E60" s="11" t="n">
        <v>41927</v>
      </c>
      <c r="F60" s="5" t="s">
        <v>75</v>
      </c>
      <c r="G60" s="12" t="n">
        <v>197676.267473239</v>
      </c>
      <c r="H60" s="13" t="n">
        <v>102.33</v>
      </c>
      <c r="I60" s="13" t="n">
        <v>85.21</v>
      </c>
      <c r="J60" s="5" t="s">
        <v>74</v>
      </c>
      <c r="K60" s="8" t="n">
        <v>18.9286655845998</v>
      </c>
      <c r="L60" s="8" t="n">
        <v>42319.6604263091</v>
      </c>
      <c r="M60" s="8" t="n">
        <f aca="false">M59+L60</f>
        <v>48595.3651257336</v>
      </c>
      <c r="N60" s="5" t="str">
        <f aca="false">IF(L60&gt;0,"прибыль",IF(L60&lt;0,"убыток","ноль"))</f>
        <v>прибыль</v>
      </c>
      <c r="O60" s="6" t="n">
        <f aca="false">IF(L60&lt;0,O59+1,0)</f>
        <v>0</v>
      </c>
      <c r="P60" s="6" t="n">
        <v>29</v>
      </c>
    </row>
    <row r="61" customFormat="false" ht="15" hidden="false" customHeight="false" outlineLevel="0" collapsed="false">
      <c r="A61" s="6" t="n">
        <v>56</v>
      </c>
      <c r="B61" s="5" t="s">
        <v>72</v>
      </c>
      <c r="C61" s="5" t="s">
        <v>25</v>
      </c>
      <c r="D61" s="11" t="n">
        <v>41927</v>
      </c>
      <c r="E61" s="11" t="n">
        <v>41942</v>
      </c>
      <c r="F61" s="5" t="s">
        <v>75</v>
      </c>
      <c r="G61" s="12" t="n">
        <v>112399.73475103</v>
      </c>
      <c r="H61" s="13" t="n">
        <v>85.21</v>
      </c>
      <c r="I61" s="13" t="n">
        <v>87.03</v>
      </c>
      <c r="J61" s="5" t="s">
        <v>74</v>
      </c>
      <c r="K61" s="8" t="n">
        <v>4.42025555536884</v>
      </c>
      <c r="L61" s="8" t="n">
        <v>23990.2033880977</v>
      </c>
      <c r="M61" s="8" t="n">
        <f aca="false">M60+L61</f>
        <v>72585.5685138314</v>
      </c>
      <c r="N61" s="5" t="str">
        <f aca="false">IF(L61&gt;0,"прибыль",IF(L61&lt;0,"убыток","ноль"))</f>
        <v>прибыль</v>
      </c>
      <c r="O61" s="6" t="n">
        <f aca="false">IF(L61&lt;0,O60+1,0)</f>
        <v>0</v>
      </c>
      <c r="P61" s="6" t="n">
        <v>11</v>
      </c>
    </row>
    <row r="62" customFormat="false" ht="15" hidden="false" customHeight="false" outlineLevel="0" collapsed="false">
      <c r="A62" s="6" t="n">
        <v>57</v>
      </c>
      <c r="B62" s="5" t="s">
        <v>72</v>
      </c>
      <c r="C62" s="5" t="s">
        <v>25</v>
      </c>
      <c r="D62" s="11" t="n">
        <v>41942</v>
      </c>
      <c r="E62" s="11" t="n">
        <v>41971</v>
      </c>
      <c r="F62" s="5" t="s">
        <v>75</v>
      </c>
      <c r="G62" s="12" t="n">
        <v>116704.570788276</v>
      </c>
      <c r="H62" s="13" t="n">
        <v>87.03</v>
      </c>
      <c r="I62" s="13" t="n">
        <v>72.51</v>
      </c>
      <c r="J62" s="5" t="s">
        <v>74</v>
      </c>
      <c r="K62" s="8" t="n">
        <v>8.85297131125983</v>
      </c>
      <c r="L62" s="8" t="n">
        <v>36697.504691254</v>
      </c>
      <c r="M62" s="8" t="n">
        <f aca="false">M61+L62</f>
        <v>109283.073205085</v>
      </c>
      <c r="N62" s="5" t="str">
        <f aca="false">IF(L62&gt;0,"прибыль",IF(L62&lt;0,"убыток","ноль"))</f>
        <v>прибыль</v>
      </c>
      <c r="O62" s="6" t="n">
        <f aca="false">IF(L62&lt;0,O61+1,0)</f>
        <v>0</v>
      </c>
      <c r="P62" s="6" t="n">
        <v>20</v>
      </c>
    </row>
    <row r="63" customFormat="false" ht="15" hidden="false" customHeight="false" outlineLevel="0" collapsed="false">
      <c r="A63" s="6" t="n">
        <v>58</v>
      </c>
      <c r="B63" s="5" t="s">
        <v>72</v>
      </c>
      <c r="C63" s="5" t="s">
        <v>25</v>
      </c>
      <c r="D63" s="11" t="n">
        <v>41971</v>
      </c>
      <c r="E63" s="11" t="n">
        <v>41985</v>
      </c>
      <c r="F63" s="5" t="s">
        <v>75</v>
      </c>
      <c r="G63" s="12" t="n">
        <v>414553.145641209</v>
      </c>
      <c r="H63" s="13" t="n">
        <v>72.51</v>
      </c>
      <c r="I63" s="13" t="n">
        <v>63.62</v>
      </c>
      <c r="K63" s="8" t="n">
        <v>12.4690218433844</v>
      </c>
      <c r="L63" s="8" t="n">
        <v>165160.239751679</v>
      </c>
      <c r="M63" s="8" t="n">
        <f aca="false">M62+L63</f>
        <v>274443.312956764</v>
      </c>
      <c r="N63" s="5" t="str">
        <f aca="false">IF(L63&gt;0,"прибыль",IF(L63&lt;0,"убыток","ноль"))</f>
        <v>прибыль</v>
      </c>
      <c r="O63" s="6" t="n">
        <f aca="false">IF(L63&lt;0,O62+1,0)</f>
        <v>0</v>
      </c>
      <c r="P63" s="6" t="n">
        <v>10</v>
      </c>
    </row>
    <row r="64" customFormat="false" ht="15" hidden="false" customHeight="false" outlineLevel="0" collapsed="false">
      <c r="A64" s="6" t="n">
        <v>59</v>
      </c>
      <c r="B64" s="5" t="s">
        <v>72</v>
      </c>
      <c r="C64" s="5" t="s">
        <v>25</v>
      </c>
      <c r="D64" s="11" t="n">
        <v>42101</v>
      </c>
      <c r="E64" s="11" t="n">
        <v>42144</v>
      </c>
      <c r="F64" s="5" t="s">
        <v>73</v>
      </c>
      <c r="G64" s="12" t="n">
        <v>586853.462224368</v>
      </c>
      <c r="H64" s="13" t="n">
        <v>57.83</v>
      </c>
      <c r="I64" s="13" t="n">
        <v>64.38</v>
      </c>
      <c r="J64" s="5" t="s">
        <v>74</v>
      </c>
      <c r="K64" s="8" t="n">
        <v>58.9865022727016</v>
      </c>
      <c r="L64" s="8" t="n">
        <v>5964.13450302191</v>
      </c>
      <c r="M64" s="8" t="n">
        <f aca="false">M63+L64</f>
        <v>280407.447459786</v>
      </c>
      <c r="N64" s="5" t="str">
        <f aca="false">IF(L64&gt;0,"прибыль",IF(L64&lt;0,"убыток","ноль"))</f>
        <v>прибыль</v>
      </c>
      <c r="O64" s="6" t="n">
        <f aca="false">IF(L64&lt;0,O63+1,0)</f>
        <v>0</v>
      </c>
      <c r="P64" s="6" t="n">
        <v>28</v>
      </c>
    </row>
    <row r="65" customFormat="false" ht="15" hidden="false" customHeight="false" outlineLevel="0" collapsed="false">
      <c r="A65" s="6" t="n">
        <v>60</v>
      </c>
      <c r="B65" s="5" t="s">
        <v>72</v>
      </c>
      <c r="C65" s="5" t="s">
        <v>25</v>
      </c>
      <c r="D65" s="11" t="n">
        <v>42145</v>
      </c>
      <c r="E65" s="11" t="n">
        <v>42151</v>
      </c>
      <c r="F65" s="5" t="s">
        <v>73</v>
      </c>
      <c r="G65" s="12" t="n">
        <v>561554.168028755</v>
      </c>
      <c r="H65" s="13" t="n">
        <v>64.92</v>
      </c>
      <c r="I65" s="13" t="n">
        <v>63.99</v>
      </c>
      <c r="K65" s="8" t="n">
        <v>55.6909155957914</v>
      </c>
      <c r="L65" s="8" t="n">
        <v>-9345.71505727843</v>
      </c>
      <c r="M65" s="8" t="n">
        <f aca="false">M64+L65</f>
        <v>271061.732402507</v>
      </c>
      <c r="N65" s="5" t="str">
        <f aca="false">IF(L65&gt;0,"прибыль",IF(L65&lt;0,"убыток","ноль"))</f>
        <v>убыток</v>
      </c>
      <c r="O65" s="6" t="n">
        <f aca="false">IF(L65&lt;0,O64+1,0)</f>
        <v>1</v>
      </c>
      <c r="P65" s="6" t="n">
        <v>4</v>
      </c>
    </row>
    <row r="66" customFormat="false" ht="15" hidden="false" customHeight="false" outlineLevel="0" collapsed="false">
      <c r="A66" s="6" t="n">
        <v>61</v>
      </c>
      <c r="B66" s="5" t="s">
        <v>72</v>
      </c>
      <c r="C66" s="5" t="s">
        <v>25</v>
      </c>
      <c r="D66" s="11" t="n">
        <v>42156</v>
      </c>
      <c r="E66" s="11" t="n">
        <v>42159</v>
      </c>
      <c r="F66" s="5" t="s">
        <v>73</v>
      </c>
      <c r="G66" s="12" t="n">
        <v>480390.029697859</v>
      </c>
      <c r="H66" s="13" t="n">
        <v>65.33</v>
      </c>
      <c r="I66" s="13" t="n">
        <v>63.78</v>
      </c>
      <c r="K66" s="8" t="n">
        <v>47.4098204662808</v>
      </c>
      <c r="L66" s="8" t="n">
        <v>-12631.0598905685</v>
      </c>
      <c r="M66" s="8" t="n">
        <f aca="false">M65+L66</f>
        <v>258430.672511939</v>
      </c>
      <c r="N66" s="5" t="str">
        <f aca="false">IF(L66&gt;0,"прибыль",IF(L66&lt;0,"убыток","ноль"))</f>
        <v>убыток</v>
      </c>
      <c r="O66" s="6" t="n">
        <f aca="false">IF(L66&lt;0,O65+1,0)</f>
        <v>2</v>
      </c>
      <c r="P66" s="6" t="n">
        <v>3</v>
      </c>
    </row>
    <row r="67" customFormat="false" ht="15" hidden="false" customHeight="false" outlineLevel="0" collapsed="false">
      <c r="A67" s="6" t="n">
        <v>62</v>
      </c>
      <c r="B67" s="5" t="s">
        <v>72</v>
      </c>
      <c r="C67" s="5" t="s">
        <v>25</v>
      </c>
      <c r="D67" s="11" t="n">
        <v>42163</v>
      </c>
      <c r="E67" s="11" t="n">
        <v>42180</v>
      </c>
      <c r="F67" s="5" t="s">
        <v>73</v>
      </c>
      <c r="G67" s="12" t="n">
        <v>472075.379040629</v>
      </c>
      <c r="H67" s="13" t="n">
        <v>63.16</v>
      </c>
      <c r="I67" s="13" t="n">
        <v>63.54</v>
      </c>
      <c r="J67" s="5" t="s">
        <v>74</v>
      </c>
      <c r="K67" s="8" t="n">
        <v>46.8751469870848</v>
      </c>
      <c r="L67" s="8" t="n">
        <v>-6694.69348654868</v>
      </c>
      <c r="M67" s="8" t="n">
        <f aca="false">M66+L67</f>
        <v>251735.97902539</v>
      </c>
      <c r="N67" s="5" t="str">
        <f aca="false">IF(L67&gt;0,"прибыль",IF(L67&lt;0,"убыток","ноль"))</f>
        <v>убыток</v>
      </c>
      <c r="O67" s="6" t="n">
        <f aca="false">IF(L67&lt;0,O66+1,0)</f>
        <v>3</v>
      </c>
      <c r="P67" s="6" t="n">
        <v>12</v>
      </c>
    </row>
    <row r="68" customFormat="false" ht="15" hidden="false" customHeight="false" outlineLevel="0" collapsed="false">
      <c r="A68" s="6" t="n">
        <v>63</v>
      </c>
      <c r="B68" s="5" t="s">
        <v>72</v>
      </c>
      <c r="C68" s="5" t="s">
        <v>25</v>
      </c>
      <c r="D68" s="11" t="n">
        <v>42181</v>
      </c>
      <c r="E68" s="11" t="n">
        <v>42191</v>
      </c>
      <c r="F68" s="5" t="s">
        <v>73</v>
      </c>
      <c r="G68" s="12" t="n">
        <v>471047.765060276</v>
      </c>
      <c r="H68" s="13" t="n">
        <v>63.37</v>
      </c>
      <c r="I68" s="13" t="n">
        <v>60.2</v>
      </c>
      <c r="K68" s="8" t="n">
        <v>45.8711218395745</v>
      </c>
      <c r="L68" s="8" t="n">
        <v>-24718.964450902</v>
      </c>
      <c r="M68" s="8" t="n">
        <f aca="false">M67+L68</f>
        <v>227017.014574488</v>
      </c>
      <c r="N68" s="5" t="str">
        <f aca="false">IF(L68&gt;0,"прибыль",IF(L68&lt;0,"убыток","ноль"))</f>
        <v>убыток</v>
      </c>
      <c r="O68" s="6" t="n">
        <f aca="false">IF(L68&lt;0,O67+1,0)</f>
        <v>4</v>
      </c>
      <c r="P68" s="6" t="n">
        <v>6</v>
      </c>
    </row>
    <row r="69" customFormat="false" ht="15" hidden="false" customHeight="false" outlineLevel="0" collapsed="false">
      <c r="A69" s="6" t="n">
        <v>64</v>
      </c>
      <c r="B69" s="5" t="s">
        <v>72</v>
      </c>
      <c r="C69" s="5" t="s">
        <v>25</v>
      </c>
      <c r="D69" s="11" t="n">
        <v>42436</v>
      </c>
      <c r="E69" s="11" t="n">
        <v>42471</v>
      </c>
      <c r="F69" s="5" t="s">
        <v>73</v>
      </c>
      <c r="G69" s="12" t="n">
        <v>156128.773946658</v>
      </c>
      <c r="H69" s="13" t="n">
        <v>38.85</v>
      </c>
      <c r="I69" s="13" t="n">
        <v>41.73</v>
      </c>
      <c r="J69" s="5" t="s">
        <v>74</v>
      </c>
      <c r="K69" s="8" t="n">
        <v>35.2857921037982</v>
      </c>
      <c r="L69" s="8" t="n">
        <v>13085.9796542578</v>
      </c>
      <c r="M69" s="8" t="n">
        <f aca="false">M68+L69</f>
        <v>240102.994228746</v>
      </c>
      <c r="N69" s="5" t="str">
        <f aca="false">IF(L69&gt;0,"прибыль",IF(L69&lt;0,"убыток","ноль"))</f>
        <v>прибыль</v>
      </c>
      <c r="O69" s="6" t="n">
        <f aca="false">IF(L69&lt;0,O68+1,0)</f>
        <v>0</v>
      </c>
      <c r="P69" s="6" t="n">
        <v>24</v>
      </c>
    </row>
    <row r="70" customFormat="false" ht="15" hidden="false" customHeight="false" outlineLevel="0" collapsed="false">
      <c r="A70" s="6" t="n">
        <v>65</v>
      </c>
      <c r="B70" s="5" t="s">
        <v>72</v>
      </c>
      <c r="C70" s="5" t="s">
        <v>25</v>
      </c>
      <c r="D70" s="11" t="n">
        <v>42471</v>
      </c>
      <c r="E70" s="11" t="n">
        <v>42541</v>
      </c>
      <c r="F70" s="5" t="s">
        <v>73</v>
      </c>
      <c r="G70" s="12" t="n">
        <v>196353.326625258</v>
      </c>
      <c r="H70" s="13" t="n">
        <v>41.73</v>
      </c>
      <c r="I70" s="13" t="n">
        <v>49.29</v>
      </c>
      <c r="J70" s="5" t="s">
        <v>74</v>
      </c>
      <c r="K70" s="8" t="n">
        <v>23.1134670842614</v>
      </c>
      <c r="L70" s="8" t="n">
        <v>34665.5680378891</v>
      </c>
      <c r="M70" s="8" t="n">
        <f aca="false">M69+L70</f>
        <v>274768.562266635</v>
      </c>
      <c r="N70" s="5" t="str">
        <f aca="false">IF(L70&gt;0,"прибыль",IF(L70&lt;0,"убыток","ноль"))</f>
        <v>прибыль</v>
      </c>
      <c r="O70" s="6" t="n">
        <f aca="false">IF(L70&lt;0,O69+1,0)</f>
        <v>0</v>
      </c>
      <c r="P70" s="6" t="n">
        <v>46</v>
      </c>
    </row>
    <row r="71" customFormat="false" ht="15" hidden="false" customHeight="false" outlineLevel="0" collapsed="false">
      <c r="A71" s="6" t="n">
        <v>66</v>
      </c>
      <c r="B71" s="5" t="s">
        <v>72</v>
      </c>
      <c r="C71" s="5" t="s">
        <v>25</v>
      </c>
      <c r="D71" s="11" t="n">
        <v>42541</v>
      </c>
      <c r="E71" s="11" t="n">
        <v>42550</v>
      </c>
      <c r="F71" s="5" t="s">
        <v>73</v>
      </c>
      <c r="G71" s="12" t="n">
        <v>90747.8571294329</v>
      </c>
      <c r="H71" s="13" t="n">
        <v>49.29</v>
      </c>
      <c r="I71" s="13" t="n">
        <v>48.75</v>
      </c>
      <c r="K71" s="8" t="n">
        <v>5.27901874334859</v>
      </c>
      <c r="L71" s="8" t="n">
        <v>14827.2387187955</v>
      </c>
      <c r="M71" s="8" t="n">
        <f aca="false">M70+L71</f>
        <v>289595.800985431</v>
      </c>
      <c r="N71" s="5" t="str">
        <f aca="false">IF(L71&gt;0,"прибыль",IF(L71&lt;0,"убыток","ноль"))</f>
        <v>прибыль</v>
      </c>
      <c r="O71" s="6" t="n">
        <f aca="false">IF(L71&lt;0,O70+1,0)</f>
        <v>0</v>
      </c>
      <c r="P71" s="6" t="n">
        <v>7</v>
      </c>
    </row>
    <row r="72" customFormat="false" ht="15" hidden="false" customHeight="false" outlineLevel="0" collapsed="false">
      <c r="A72" s="6" t="n">
        <v>67</v>
      </c>
      <c r="B72" s="5" t="s">
        <v>72</v>
      </c>
      <c r="C72" s="5" t="s">
        <v>25</v>
      </c>
      <c r="D72" s="11" t="n">
        <v>42550</v>
      </c>
      <c r="E72" s="11" t="n">
        <v>42577</v>
      </c>
      <c r="F72" s="5" t="s">
        <v>73</v>
      </c>
      <c r="G72" s="12" t="n">
        <v>324463.178536591</v>
      </c>
      <c r="H72" s="13" t="n">
        <v>48.75</v>
      </c>
      <c r="I72" s="13" t="n">
        <v>44.78</v>
      </c>
      <c r="J72" s="5" t="s">
        <v>74</v>
      </c>
      <c r="K72" s="8" t="n">
        <v>17.0877462376833</v>
      </c>
      <c r="L72" s="8" t="n">
        <v>17274.658470836</v>
      </c>
      <c r="M72" s="8" t="n">
        <f aca="false">M71+L72</f>
        <v>306870.459456267</v>
      </c>
      <c r="N72" s="5" t="str">
        <f aca="false">IF(L72&gt;0,"прибыль",IF(L72&lt;0,"убыток","ноль"))</f>
        <v>прибыль</v>
      </c>
      <c r="O72" s="6" t="n">
        <f aca="false">IF(L72&lt;0,O71+1,0)</f>
        <v>0</v>
      </c>
      <c r="P72" s="6" t="n">
        <v>19</v>
      </c>
    </row>
    <row r="73" customFormat="false" ht="15" hidden="false" customHeight="false" outlineLevel="0" collapsed="false">
      <c r="A73" s="6" t="n">
        <v>68</v>
      </c>
      <c r="B73" s="5" t="s">
        <v>72</v>
      </c>
      <c r="C73" s="5" t="s">
        <v>25</v>
      </c>
      <c r="D73" s="11" t="n">
        <v>42599</v>
      </c>
      <c r="E73" s="11" t="n">
        <v>42605</v>
      </c>
      <c r="F73" s="5" t="s">
        <v>73</v>
      </c>
      <c r="G73" s="12" t="n">
        <v>445821.052195529</v>
      </c>
      <c r="H73" s="13" t="n">
        <v>49.03</v>
      </c>
      <c r="I73" s="13" t="n">
        <v>49.11</v>
      </c>
      <c r="K73" s="8" t="n">
        <v>44.5580200895795</v>
      </c>
      <c r="L73" s="8" t="n">
        <v>-526.260619557476</v>
      </c>
      <c r="M73" s="8" t="n">
        <f aca="false">M72+L73</f>
        <v>306344.198836709</v>
      </c>
      <c r="N73" s="5" t="str">
        <f aca="false">IF(L73&gt;0,"прибыль",IF(L73&lt;0,"убыток","ноль"))</f>
        <v>убыток</v>
      </c>
      <c r="O73" s="6" t="n">
        <f aca="false">IF(L73&lt;0,O72+1,0)</f>
        <v>1</v>
      </c>
      <c r="P73" s="6" t="n">
        <v>4</v>
      </c>
    </row>
    <row r="74" customFormat="false" ht="15" hidden="false" customHeight="false" outlineLevel="0" collapsed="false">
      <c r="A74" s="6" t="n">
        <v>69</v>
      </c>
      <c r="B74" s="5" t="s">
        <v>72</v>
      </c>
      <c r="C74" s="5" t="s">
        <v>25</v>
      </c>
      <c r="D74" s="11" t="n">
        <v>42621</v>
      </c>
      <c r="E74" s="11" t="n">
        <v>42625</v>
      </c>
      <c r="F74" s="5" t="s">
        <v>73</v>
      </c>
      <c r="G74" s="12" t="n">
        <v>460714.297902686</v>
      </c>
      <c r="H74" s="13" t="n">
        <v>48.57</v>
      </c>
      <c r="I74" s="13" t="n">
        <v>47.77</v>
      </c>
      <c r="K74" s="8" t="n">
        <v>45.6328458486688</v>
      </c>
      <c r="L74" s="8" t="n">
        <v>-8817.31167784605</v>
      </c>
      <c r="M74" s="8" t="n">
        <f aca="false">M73+L74</f>
        <v>297526.887158863</v>
      </c>
      <c r="N74" s="5" t="str">
        <f aca="false">IF(L74&gt;0,"прибыль",IF(L74&lt;0,"убыток","ноль"))</f>
        <v>убыток</v>
      </c>
      <c r="O74" s="6" t="n">
        <f aca="false">IF(L74&lt;0,O73+1,0)</f>
        <v>2</v>
      </c>
      <c r="P74" s="6" t="n">
        <v>2</v>
      </c>
    </row>
    <row r="75" customFormat="false" ht="15" hidden="false" customHeight="false" outlineLevel="0" collapsed="false">
      <c r="A75" s="6" t="n">
        <v>70</v>
      </c>
      <c r="B75" s="5" t="s">
        <v>72</v>
      </c>
      <c r="C75" s="5" t="s">
        <v>25</v>
      </c>
      <c r="D75" s="11" t="n">
        <v>42642</v>
      </c>
      <c r="E75" s="11" t="n">
        <v>42682</v>
      </c>
      <c r="F75" s="5" t="s">
        <v>73</v>
      </c>
      <c r="G75" s="12" t="n">
        <v>712573.903300392</v>
      </c>
      <c r="H75" s="13" t="n">
        <v>48.64</v>
      </c>
      <c r="I75" s="13" t="n">
        <v>46.29</v>
      </c>
      <c r="J75" s="5" t="s">
        <v>74</v>
      </c>
      <c r="K75" s="8" t="n">
        <v>68.5137664052622</v>
      </c>
      <c r="L75" s="8" t="n">
        <v>-54940.9922619446</v>
      </c>
      <c r="M75" s="8" t="n">
        <f aca="false">M74+L75</f>
        <v>242585.894896918</v>
      </c>
      <c r="N75" s="5" t="str">
        <f aca="false">IF(L75&gt;0,"прибыль",IF(L75&lt;0,"убыток","ноль"))</f>
        <v>убыток</v>
      </c>
      <c r="O75" s="6" t="n">
        <f aca="false">IF(L75&lt;0,O74+1,0)</f>
        <v>3</v>
      </c>
      <c r="P75" s="6" t="n">
        <v>27</v>
      </c>
    </row>
    <row r="76" customFormat="false" ht="15" hidden="false" customHeight="false" outlineLevel="0" collapsed="false">
      <c r="A76" s="6" t="n">
        <v>71</v>
      </c>
      <c r="B76" s="5" t="s">
        <v>72</v>
      </c>
      <c r="C76" s="5" t="s">
        <v>25</v>
      </c>
      <c r="D76" s="11" t="n">
        <v>42698</v>
      </c>
      <c r="E76" s="11" t="n">
        <v>42704</v>
      </c>
      <c r="F76" s="5" t="s">
        <v>73</v>
      </c>
      <c r="G76" s="12" t="n">
        <v>426861.772007664</v>
      </c>
      <c r="H76" s="13" t="n">
        <v>49</v>
      </c>
      <c r="I76" s="13" t="n">
        <v>46.52</v>
      </c>
      <c r="K76" s="8" t="n">
        <v>41.5477132938181</v>
      </c>
      <c r="L76" s="8" t="n">
        <v>-22810.8258522584</v>
      </c>
      <c r="M76" s="8" t="n">
        <f aca="false">M75+L76</f>
        <v>219775.06904466</v>
      </c>
      <c r="N76" s="5" t="str">
        <f aca="false">IF(L76&gt;0,"прибыль",IF(L76&lt;0,"убыток","ноль"))</f>
        <v>убыток</v>
      </c>
      <c r="O76" s="6" t="n">
        <f aca="false">IF(L76&lt;0,O75+1,0)</f>
        <v>4</v>
      </c>
      <c r="P76" s="6" t="n">
        <v>4</v>
      </c>
    </row>
    <row r="77" customFormat="false" ht="15" hidden="false" customHeight="false" outlineLevel="0" collapsed="false">
      <c r="A77" s="6" t="n">
        <v>72</v>
      </c>
      <c r="B77" s="5" t="s">
        <v>72</v>
      </c>
      <c r="C77" s="5" t="s">
        <v>25</v>
      </c>
      <c r="D77" s="11" t="n">
        <v>42705</v>
      </c>
      <c r="E77" s="11" t="n">
        <v>42740</v>
      </c>
      <c r="F77" s="5" t="s">
        <v>73</v>
      </c>
      <c r="G77" s="12" t="n">
        <v>759015.973064151</v>
      </c>
      <c r="H77" s="13" t="n">
        <v>50.44</v>
      </c>
      <c r="I77" s="13" t="n">
        <v>56.27</v>
      </c>
      <c r="J77" s="5" t="s">
        <v>74</v>
      </c>
      <c r="K77" s="8" t="n">
        <v>76.2062097790226</v>
      </c>
      <c r="L77" s="8" t="n">
        <v>6016.04324237093</v>
      </c>
      <c r="M77" s="8" t="n">
        <f aca="false">M76+L77</f>
        <v>225791.112287031</v>
      </c>
      <c r="N77" s="5" t="str">
        <f aca="false">IF(L77&gt;0,"прибыль",IF(L77&lt;0,"убыток","ноль"))</f>
        <v>прибыль</v>
      </c>
      <c r="O77" s="6" t="n">
        <f aca="false">IF(L77&lt;0,O76+1,0)</f>
        <v>0</v>
      </c>
      <c r="P77" s="6" t="n">
        <v>24</v>
      </c>
    </row>
    <row r="78" customFormat="false" ht="15" hidden="false" customHeight="false" outlineLevel="0" collapsed="false">
      <c r="A78" s="6" t="n">
        <v>73</v>
      </c>
      <c r="B78" s="5" t="s">
        <v>72</v>
      </c>
      <c r="C78" s="5" t="s">
        <v>25</v>
      </c>
      <c r="D78" s="11" t="n">
        <v>42741</v>
      </c>
      <c r="E78" s="11" t="n">
        <v>42745</v>
      </c>
      <c r="F78" s="5" t="s">
        <v>73</v>
      </c>
      <c r="G78" s="12" t="n">
        <v>753267.384812434</v>
      </c>
      <c r="H78" s="13" t="n">
        <v>56.74</v>
      </c>
      <c r="I78" s="13" t="n">
        <v>54.87</v>
      </c>
      <c r="K78" s="8" t="n">
        <v>74.0148723016596</v>
      </c>
      <c r="L78" s="8" t="n">
        <v>-26311.338463977</v>
      </c>
      <c r="M78" s="8" t="n">
        <f aca="false">M77+L78</f>
        <v>199479.773823054</v>
      </c>
      <c r="N78" s="5" t="str">
        <f aca="false">IF(L78&gt;0,"прибыль",IF(L78&lt;0,"убыток","ноль"))</f>
        <v>убыток</v>
      </c>
      <c r="O78" s="6" t="n">
        <f aca="false">IF(L78&lt;0,O77+1,0)</f>
        <v>1</v>
      </c>
      <c r="P78" s="6" t="n">
        <v>2</v>
      </c>
    </row>
    <row r="79" customFormat="false" ht="15" hidden="false" customHeight="false" outlineLevel="0" collapsed="false">
      <c r="A79" s="6" t="n">
        <v>74</v>
      </c>
      <c r="B79" s="5" t="s">
        <v>72</v>
      </c>
      <c r="C79" s="5" t="s">
        <v>25</v>
      </c>
      <c r="D79" s="11" t="n">
        <v>42747</v>
      </c>
      <c r="E79" s="11" t="n">
        <v>42751</v>
      </c>
      <c r="F79" s="5" t="s">
        <v>73</v>
      </c>
      <c r="G79" s="12" t="n">
        <v>577313.309361843</v>
      </c>
      <c r="H79" s="13" t="n">
        <v>55.19</v>
      </c>
      <c r="I79" s="13" t="n">
        <v>55.61</v>
      </c>
      <c r="K79" s="8" t="n">
        <v>57.8879389634715</v>
      </c>
      <c r="L79" s="8" t="n">
        <v>3074.2726067805</v>
      </c>
      <c r="M79" s="8" t="n">
        <f aca="false">M78+L79</f>
        <v>202554.046429834</v>
      </c>
      <c r="N79" s="5" t="str">
        <f aca="false">IF(L79&gt;0,"прибыль",IF(L79&lt;0,"убыток","ноль"))</f>
        <v>прибыль</v>
      </c>
      <c r="O79" s="6" t="n">
        <f aca="false">IF(L79&lt;0,O78+1,0)</f>
        <v>0</v>
      </c>
      <c r="P79" s="6" t="n">
        <v>2</v>
      </c>
    </row>
    <row r="80" customFormat="false" ht="15" hidden="false" customHeight="false" outlineLevel="0" collapsed="false">
      <c r="A80" s="6" t="n">
        <v>75</v>
      </c>
      <c r="B80" s="5" t="s">
        <v>72</v>
      </c>
      <c r="C80" s="5" t="s">
        <v>25</v>
      </c>
      <c r="D80" s="11" t="n">
        <v>42752</v>
      </c>
      <c r="E80" s="11" t="n">
        <v>42754</v>
      </c>
      <c r="F80" s="5" t="s">
        <v>73</v>
      </c>
      <c r="G80" s="12" t="n">
        <v>638522.155494743</v>
      </c>
      <c r="H80" s="13" t="n">
        <v>55.62</v>
      </c>
      <c r="I80" s="13" t="n">
        <v>54.21</v>
      </c>
      <c r="K80" s="8" t="n">
        <v>62.9778876547219</v>
      </c>
      <c r="L80" s="8" t="n">
        <v>-17549.5357827019</v>
      </c>
      <c r="M80" s="8" t="n">
        <f aca="false">M79+L80</f>
        <v>185004.510647133</v>
      </c>
      <c r="N80" s="5" t="str">
        <f aca="false">IF(L80&gt;0,"прибыль",IF(L80&lt;0,"убыток","ноль"))</f>
        <v>убыток</v>
      </c>
      <c r="O80" s="6" t="n">
        <f aca="false">IF(L80&lt;0,O79+1,0)</f>
        <v>1</v>
      </c>
      <c r="P80" s="6" t="n">
        <v>2</v>
      </c>
    </row>
    <row r="81" customFormat="false" ht="15" hidden="false" customHeight="false" outlineLevel="0" collapsed="false">
      <c r="A81" s="6" t="n">
        <v>76</v>
      </c>
      <c r="B81" s="5" t="s">
        <v>72</v>
      </c>
      <c r="C81" s="5" t="s">
        <v>25</v>
      </c>
      <c r="D81" s="11" t="n">
        <v>42755</v>
      </c>
      <c r="E81" s="11" t="n">
        <v>42795</v>
      </c>
      <c r="F81" s="5" t="s">
        <v>73</v>
      </c>
      <c r="G81" s="12" t="n">
        <v>810534.359046322</v>
      </c>
      <c r="H81" s="13" t="n">
        <v>54.24</v>
      </c>
      <c r="I81" s="13" t="n">
        <v>55.57</v>
      </c>
      <c r="J81" s="5" t="s">
        <v>74</v>
      </c>
      <c r="K81" s="8" t="n">
        <v>81.3184435734584</v>
      </c>
      <c r="L81" s="8" t="n">
        <v>5218.83493295128</v>
      </c>
      <c r="M81" s="8" t="n">
        <f aca="false">M80+L81</f>
        <v>190223.345580084</v>
      </c>
      <c r="N81" s="5" t="str">
        <f aca="false">IF(L81&gt;0,"прибыль",IF(L81&lt;0,"убыток","ноль"))</f>
        <v>прибыль</v>
      </c>
      <c r="O81" s="6" t="n">
        <f aca="false">IF(L81&lt;0,O80+1,0)</f>
        <v>0</v>
      </c>
      <c r="P81" s="6" t="n">
        <v>27</v>
      </c>
    </row>
    <row r="82" customFormat="false" ht="15" hidden="false" customHeight="false" outlineLevel="0" collapsed="false">
      <c r="A82" s="6" t="n">
        <v>77</v>
      </c>
      <c r="B82" s="5" t="s">
        <v>72</v>
      </c>
      <c r="C82" s="5" t="s">
        <v>25</v>
      </c>
      <c r="D82" s="11" t="n">
        <v>42800</v>
      </c>
      <c r="E82" s="11" t="n">
        <v>42801</v>
      </c>
      <c r="F82" s="5" t="s">
        <v>73</v>
      </c>
      <c r="G82" s="12" t="n">
        <v>825962.103225849</v>
      </c>
      <c r="H82" s="13" t="n">
        <v>55.71</v>
      </c>
      <c r="I82" s="13" t="n">
        <v>55.98</v>
      </c>
      <c r="K82" s="8" t="n">
        <v>82.7245030838519</v>
      </c>
      <c r="L82" s="8" t="n">
        <v>2483.1307222565</v>
      </c>
      <c r="M82" s="8" t="n">
        <f aca="false">M81+L82</f>
        <v>192706.47630234</v>
      </c>
      <c r="N82" s="5" t="str">
        <f aca="false">IF(L82&gt;0,"прибыль",IF(L82&lt;0,"убыток","ноль"))</f>
        <v>прибыль</v>
      </c>
      <c r="O82" s="6" t="n">
        <f aca="false">IF(L82&lt;0,O81+1,0)</f>
        <v>0</v>
      </c>
      <c r="P82" s="6" t="n">
        <v>1</v>
      </c>
    </row>
    <row r="83" customFormat="false" ht="15" hidden="false" customHeight="false" outlineLevel="0" collapsed="false">
      <c r="A83" s="6" t="n">
        <v>78</v>
      </c>
      <c r="B83" s="5" t="s">
        <v>72</v>
      </c>
      <c r="C83" s="5" t="s">
        <v>25</v>
      </c>
      <c r="D83" s="11" t="n">
        <v>42948</v>
      </c>
      <c r="E83" s="11" t="n">
        <v>42956</v>
      </c>
      <c r="F83" s="5" t="s">
        <v>73</v>
      </c>
      <c r="G83" s="12" t="n">
        <v>479044.480450946</v>
      </c>
      <c r="H83" s="13" t="n">
        <v>52.7</v>
      </c>
      <c r="I83" s="13" t="n">
        <v>51.97</v>
      </c>
      <c r="J83" s="5" t="s">
        <v>74</v>
      </c>
      <c r="K83" s="8" t="n">
        <v>48.1037463713496</v>
      </c>
      <c r="L83" s="8" t="n">
        <v>3937.86277872774</v>
      </c>
      <c r="M83" s="8" t="n">
        <f aca="false">M82+L83</f>
        <v>196644.339081068</v>
      </c>
      <c r="N83" s="5" t="str">
        <f aca="false">IF(L83&gt;0,"прибыль",IF(L83&lt;0,"убыток","ноль"))</f>
        <v>прибыль</v>
      </c>
      <c r="O83" s="6" t="n">
        <f aca="false">IF(L83&lt;0,O82+1,0)</f>
        <v>0</v>
      </c>
      <c r="P83" s="6" t="n">
        <v>6</v>
      </c>
    </row>
    <row r="84" customFormat="false" ht="15" hidden="false" customHeight="false" outlineLevel="0" collapsed="false">
      <c r="A84" s="6" t="n">
        <v>79</v>
      </c>
      <c r="B84" s="5" t="s">
        <v>72</v>
      </c>
      <c r="C84" s="5" t="s">
        <v>25</v>
      </c>
      <c r="D84" s="11" t="n">
        <v>42957</v>
      </c>
      <c r="E84" s="11" t="n">
        <v>42958</v>
      </c>
      <c r="F84" s="5" t="s">
        <v>73</v>
      </c>
      <c r="G84" s="12" t="n">
        <v>588927.000819008</v>
      </c>
      <c r="H84" s="13" t="n">
        <v>52.78</v>
      </c>
      <c r="I84" s="13" t="n">
        <v>51.82</v>
      </c>
      <c r="K84" s="8" t="n">
        <v>58.2930531593517</v>
      </c>
      <c r="L84" s="8" t="n">
        <v>-12051.2315041413</v>
      </c>
      <c r="M84" s="8" t="n">
        <f aca="false">M83+L84</f>
        <v>184593.107576927</v>
      </c>
      <c r="N84" s="5" t="str">
        <f aca="false">IF(L84&gt;0,"прибыль",IF(L84&lt;0,"убыток","ноль"))</f>
        <v>убыток</v>
      </c>
      <c r="O84" s="6" t="n">
        <f aca="false">IF(L84&lt;0,O83+1,0)</f>
        <v>1</v>
      </c>
      <c r="P84" s="6" t="n">
        <v>1</v>
      </c>
    </row>
    <row r="85" customFormat="false" ht="15" hidden="false" customHeight="false" outlineLevel="0" collapsed="false">
      <c r="A85" s="6" t="n">
        <v>80</v>
      </c>
      <c r="B85" s="5" t="s">
        <v>72</v>
      </c>
      <c r="C85" s="5" t="s">
        <v>25</v>
      </c>
      <c r="D85" s="11" t="n">
        <v>42968</v>
      </c>
      <c r="E85" s="11" t="n">
        <v>42969</v>
      </c>
      <c r="F85" s="5" t="s">
        <v>73</v>
      </c>
      <c r="G85" s="12" t="n">
        <v>543221.893471882</v>
      </c>
      <c r="H85" s="13" t="n">
        <v>52.82</v>
      </c>
      <c r="I85" s="13" t="n">
        <v>51.71</v>
      </c>
      <c r="K85" s="8" t="n">
        <v>53.6884908791472</v>
      </c>
      <c r="L85" s="8" t="n">
        <v>-12727.6578516999</v>
      </c>
      <c r="M85" s="8" t="n">
        <f aca="false">M84+L85</f>
        <v>171865.449725227</v>
      </c>
      <c r="N85" s="5" t="str">
        <f aca="false">IF(L85&gt;0,"прибыль",IF(L85&lt;0,"убыток","ноль"))</f>
        <v>убыток</v>
      </c>
      <c r="O85" s="6" t="n">
        <f aca="false">IF(L85&lt;0,O84+1,0)</f>
        <v>2</v>
      </c>
      <c r="P85" s="6" t="n">
        <v>1</v>
      </c>
    </row>
    <row r="86" customFormat="false" ht="15" hidden="false" customHeight="false" outlineLevel="0" collapsed="false">
      <c r="A86" s="6" t="n">
        <v>81</v>
      </c>
      <c r="B86" s="5" t="s">
        <v>72</v>
      </c>
      <c r="C86" s="5" t="s">
        <v>25</v>
      </c>
      <c r="D86" s="11" t="n">
        <v>42971</v>
      </c>
      <c r="E86" s="11" t="n">
        <v>43031</v>
      </c>
      <c r="F86" s="5" t="s">
        <v>73</v>
      </c>
      <c r="G86" s="12" t="n">
        <v>149790.540165681</v>
      </c>
      <c r="H86" s="13" t="n">
        <v>52.54</v>
      </c>
      <c r="I86" s="13" t="n">
        <v>57.89</v>
      </c>
      <c r="J86" s="5" t="s">
        <v>74</v>
      </c>
      <c r="K86" s="8" t="n">
        <v>44.5399136074347</v>
      </c>
      <c r="L86" s="8" t="n">
        <v>15515.291621117</v>
      </c>
      <c r="M86" s="8" t="n">
        <f aca="false">M85+L86</f>
        <v>187380.741346344</v>
      </c>
      <c r="N86" s="5" t="str">
        <f aca="false">IF(L86&gt;0,"прибыль",IF(L86&lt;0,"убыток","ноль"))</f>
        <v>прибыль</v>
      </c>
      <c r="O86" s="6" t="n">
        <f aca="false">IF(L86&lt;0,O85+1,0)</f>
        <v>0</v>
      </c>
      <c r="P86" s="6" t="n">
        <v>42</v>
      </c>
    </row>
    <row r="87" customFormat="false" ht="15" hidden="false" customHeight="false" outlineLevel="0" collapsed="false">
      <c r="A87" s="6" t="n">
        <v>82</v>
      </c>
      <c r="B87" s="5" t="s">
        <v>72</v>
      </c>
      <c r="C87" s="5" t="s">
        <v>25</v>
      </c>
      <c r="D87" s="11" t="n">
        <v>43031</v>
      </c>
      <c r="E87" s="11" t="n">
        <v>43084</v>
      </c>
      <c r="F87" s="5" t="s">
        <v>73</v>
      </c>
      <c r="G87" s="12" t="n">
        <v>155587.193431267</v>
      </c>
      <c r="H87" s="13" t="n">
        <v>57.89</v>
      </c>
      <c r="I87" s="13" t="n">
        <v>62.71</v>
      </c>
      <c r="J87" s="5" t="s">
        <v>74</v>
      </c>
      <c r="K87" s="8" t="n">
        <v>17.8563785894314</v>
      </c>
      <c r="L87" s="8" t="n">
        <v>29770.7319513325</v>
      </c>
      <c r="M87" s="8" t="n">
        <f aca="false">M86+L87</f>
        <v>217151.473297676</v>
      </c>
      <c r="N87" s="5" t="str">
        <f aca="false">IF(L87&gt;0,"прибыль",IF(L87&lt;0,"убыток","ноль"))</f>
        <v>прибыль</v>
      </c>
      <c r="O87" s="6" t="n">
        <f aca="false">IF(L87&lt;0,O86+1,0)</f>
        <v>0</v>
      </c>
      <c r="P87" s="6" t="n">
        <v>38</v>
      </c>
    </row>
    <row r="88" customFormat="false" ht="15" hidden="false" customHeight="false" outlineLevel="0" collapsed="false">
      <c r="A88" s="6" t="n">
        <v>83</v>
      </c>
      <c r="B88" s="5" t="s">
        <v>72</v>
      </c>
      <c r="C88" s="5" t="s">
        <v>25</v>
      </c>
      <c r="D88" s="11" t="n">
        <v>43084</v>
      </c>
      <c r="E88" s="11" t="n">
        <v>43103</v>
      </c>
      <c r="F88" s="5" t="s">
        <v>73</v>
      </c>
      <c r="G88" s="12" t="n">
        <v>591821.95687878</v>
      </c>
      <c r="H88" s="13" t="n">
        <v>62.71</v>
      </c>
      <c r="I88" s="13" t="n">
        <v>66.45</v>
      </c>
      <c r="K88" s="8" t="n">
        <v>37.3589257960298</v>
      </c>
      <c r="L88" s="8" t="n">
        <v>155319.20011602</v>
      </c>
      <c r="M88" s="8" t="n">
        <f aca="false">M87+L88</f>
        <v>372470.673413697</v>
      </c>
      <c r="N88" s="5" t="str">
        <f aca="false">IF(L88&gt;0,"прибыль",IF(L88&lt;0,"убыток","ноль"))</f>
        <v>прибыль</v>
      </c>
      <c r="O88" s="6" t="n">
        <f aca="false">IF(L88&lt;0,O87+1,0)</f>
        <v>0</v>
      </c>
      <c r="P88" s="6" t="n">
        <v>11</v>
      </c>
    </row>
    <row r="89" customFormat="false" ht="15" hidden="false" customHeight="false" outlineLevel="0" collapsed="false">
      <c r="A89" s="6" t="n">
        <v>84</v>
      </c>
      <c r="B89" s="5" t="s">
        <v>72</v>
      </c>
      <c r="C89" s="5" t="s">
        <v>25</v>
      </c>
      <c r="D89" s="11" t="n">
        <v>43126</v>
      </c>
      <c r="E89" s="11" t="n">
        <v>43129</v>
      </c>
      <c r="F89" s="5" t="s">
        <v>73</v>
      </c>
      <c r="G89" s="12" t="n">
        <v>890303.313219531</v>
      </c>
      <c r="H89" s="13" t="n">
        <v>70.09</v>
      </c>
      <c r="I89" s="13" t="n">
        <v>70.38</v>
      </c>
      <c r="K89" s="8" t="n">
        <v>89.1444097837903</v>
      </c>
      <c r="L89" s="8" t="n">
        <v>2192.4248269599</v>
      </c>
      <c r="M89" s="8" t="n">
        <f aca="false">M88+L89</f>
        <v>374663.098240657</v>
      </c>
      <c r="N89" s="5" t="str">
        <f aca="false">IF(L89&gt;0,"прибыль",IF(L89&lt;0,"убыток","ноль"))</f>
        <v>прибыль</v>
      </c>
      <c r="O89" s="6" t="n">
        <f aca="false">IF(L89&lt;0,O88+1,0)</f>
        <v>0</v>
      </c>
      <c r="P89" s="6" t="n">
        <v>1</v>
      </c>
    </row>
    <row r="90" customFormat="false" ht="15" hidden="false" customHeight="false" outlineLevel="0" collapsed="false">
      <c r="A90" s="6" t="n">
        <v>85</v>
      </c>
      <c r="B90" s="5" t="s">
        <v>72</v>
      </c>
      <c r="C90" s="5" t="s">
        <v>25</v>
      </c>
      <c r="D90" s="11" t="n">
        <v>43130</v>
      </c>
      <c r="E90" s="11" t="n">
        <v>43150</v>
      </c>
      <c r="F90" s="5" t="s">
        <v>73</v>
      </c>
      <c r="G90" s="12" t="n">
        <v>205066.065921828</v>
      </c>
      <c r="H90" s="13" t="n">
        <v>69.32</v>
      </c>
      <c r="I90" s="13" t="n">
        <v>64.95</v>
      </c>
      <c r="J90" s="5" t="s">
        <v>74</v>
      </c>
      <c r="K90" s="8" t="n">
        <v>57.9798747175676</v>
      </c>
      <c r="L90" s="8" t="n">
        <v>-15542.5237731479</v>
      </c>
      <c r="M90" s="8" t="n">
        <f aca="false">M89+L90</f>
        <v>359120.574467509</v>
      </c>
      <c r="N90" s="5" t="str">
        <f aca="false">IF(L90&gt;0,"прибыль",IF(L90&lt;0,"убыток","ноль"))</f>
        <v>убыток</v>
      </c>
      <c r="O90" s="6" t="n">
        <f aca="false">IF(L90&lt;0,O89+1,0)</f>
        <v>1</v>
      </c>
      <c r="P90" s="6" t="n">
        <v>14</v>
      </c>
    </row>
    <row r="91" customFormat="false" ht="15" hidden="false" customHeight="false" outlineLevel="0" collapsed="false">
      <c r="A91" s="6" t="n">
        <v>86</v>
      </c>
      <c r="B91" s="5" t="s">
        <v>72</v>
      </c>
      <c r="C91" s="5" t="s">
        <v>25</v>
      </c>
      <c r="D91" s="11" t="n">
        <v>43150</v>
      </c>
      <c r="E91" s="11" t="n">
        <v>43165</v>
      </c>
      <c r="F91" s="5" t="s">
        <v>73</v>
      </c>
      <c r="G91" s="12" t="n">
        <v>764949.906406126</v>
      </c>
      <c r="H91" s="13" t="n">
        <v>64.95</v>
      </c>
      <c r="I91" s="13" t="n">
        <v>65.6</v>
      </c>
      <c r="J91" s="5" t="s">
        <v>74</v>
      </c>
      <c r="K91" s="8" t="n">
        <v>36.5567115708703</v>
      </c>
      <c r="L91" s="8" t="n">
        <v>-33852.2317002905</v>
      </c>
      <c r="M91" s="8" t="n">
        <f aca="false">M90+L91</f>
        <v>325268.342767218</v>
      </c>
      <c r="N91" s="5" t="str">
        <f aca="false">IF(L91&gt;0,"прибыль",IF(L91&lt;0,"убыток","ноль"))</f>
        <v>убыток</v>
      </c>
      <c r="O91" s="6" t="n">
        <f aca="false">IF(L91&lt;0,O90+1,0)</f>
        <v>2</v>
      </c>
      <c r="P91" s="6" t="n">
        <v>10</v>
      </c>
    </row>
    <row r="92" customFormat="false" ht="15" hidden="false" customHeight="false" outlineLevel="0" collapsed="false">
      <c r="A92" s="6" t="n">
        <v>87</v>
      </c>
      <c r="B92" s="5" t="s">
        <v>72</v>
      </c>
      <c r="C92" s="5" t="s">
        <v>25</v>
      </c>
      <c r="D92" s="11" t="n">
        <v>43171</v>
      </c>
      <c r="E92" s="11" t="n">
        <v>43172</v>
      </c>
      <c r="F92" s="5" t="s">
        <v>73</v>
      </c>
      <c r="G92" s="12" t="n">
        <v>665931.200436336</v>
      </c>
      <c r="H92" s="13" t="n">
        <v>65.48</v>
      </c>
      <c r="I92" s="13" t="n">
        <v>64.89</v>
      </c>
      <c r="K92" s="8" t="n">
        <v>66.228236017561</v>
      </c>
      <c r="L92" s="8" t="n">
        <v>-7363.90875747</v>
      </c>
      <c r="M92" s="8" t="n">
        <f aca="false">M91+L92</f>
        <v>317904.434009748</v>
      </c>
      <c r="N92" s="5" t="str">
        <f aca="false">IF(L92&gt;0,"прибыль",IF(L92&lt;0,"убыток","ноль"))</f>
        <v>убыток</v>
      </c>
      <c r="O92" s="6" t="n">
        <f aca="false">IF(L92&lt;0,O91+1,0)</f>
        <v>3</v>
      </c>
      <c r="P92" s="6" t="n">
        <v>1</v>
      </c>
    </row>
    <row r="93" customFormat="false" ht="15" hidden="false" customHeight="false" outlineLevel="0" collapsed="false">
      <c r="A93" s="6" t="n">
        <v>88</v>
      </c>
      <c r="B93" s="5" t="s">
        <v>72</v>
      </c>
      <c r="C93" s="5" t="s">
        <v>25</v>
      </c>
      <c r="D93" s="11" t="n">
        <v>43173</v>
      </c>
      <c r="E93" s="11" t="n">
        <v>43175</v>
      </c>
      <c r="F93" s="5" t="s">
        <v>73</v>
      </c>
      <c r="G93" s="12" t="n">
        <v>764920.705316886</v>
      </c>
      <c r="H93" s="13" t="n">
        <v>64.69</v>
      </c>
      <c r="I93" s="13" t="n">
        <v>65.08</v>
      </c>
      <c r="K93" s="8" t="n">
        <v>76.6528131288374</v>
      </c>
      <c r="L93" s="8" t="n">
        <v>3138.19912984784</v>
      </c>
      <c r="M93" s="8" t="n">
        <f aca="false">M92+L93</f>
        <v>321042.633139596</v>
      </c>
      <c r="N93" s="5" t="str">
        <f aca="false">IF(L93&gt;0,"прибыль",IF(L93&lt;0,"убыток","ноль"))</f>
        <v>прибыль</v>
      </c>
      <c r="O93" s="6" t="n">
        <f aca="false">IF(L93&lt;0,O92+1,0)</f>
        <v>0</v>
      </c>
      <c r="P93" s="6" t="n">
        <v>2</v>
      </c>
    </row>
    <row r="94" customFormat="false" ht="15" hidden="false" customHeight="false" outlineLevel="0" collapsed="false">
      <c r="A94" s="6" t="n">
        <v>89</v>
      </c>
      <c r="B94" s="5" t="s">
        <v>72</v>
      </c>
      <c r="C94" s="5" t="s">
        <v>25</v>
      </c>
      <c r="D94" s="11" t="n">
        <v>43178</v>
      </c>
      <c r="E94" s="11" t="n">
        <v>43180</v>
      </c>
      <c r="F94" s="5" t="s">
        <v>73</v>
      </c>
      <c r="G94" s="12" t="n">
        <v>813400.117850106</v>
      </c>
      <c r="H94" s="13" t="n">
        <v>66.11</v>
      </c>
      <c r="I94" s="13" t="n">
        <v>67.67</v>
      </c>
      <c r="K94" s="8" t="n">
        <v>82.2251907339748</v>
      </c>
      <c r="L94" s="8" t="n">
        <v>17621.3537885498</v>
      </c>
      <c r="M94" s="8" t="n">
        <f aca="false">M93+L94</f>
        <v>338663.986928146</v>
      </c>
      <c r="N94" s="5" t="str">
        <f aca="false">IF(L94&gt;0,"прибыль",IF(L94&lt;0,"убыток","ноль"))</f>
        <v>прибыль</v>
      </c>
      <c r="O94" s="6" t="n">
        <f aca="false">IF(L94&lt;0,O93+1,0)</f>
        <v>0</v>
      </c>
      <c r="P94" s="6" t="n">
        <v>2</v>
      </c>
    </row>
    <row r="95" customFormat="false" ht="15" hidden="false" customHeight="false" outlineLevel="0" collapsed="false">
      <c r="A95" s="6" t="n">
        <v>90</v>
      </c>
      <c r="B95" s="5" t="s">
        <v>72</v>
      </c>
      <c r="C95" s="5" t="s">
        <v>25</v>
      </c>
      <c r="D95" s="11" t="n">
        <v>43199</v>
      </c>
      <c r="E95" s="11" t="n">
        <v>43200</v>
      </c>
      <c r="F95" s="5" t="s">
        <v>73</v>
      </c>
      <c r="G95" s="12" t="n">
        <v>725042.431805065</v>
      </c>
      <c r="H95" s="13" t="n">
        <v>67.03</v>
      </c>
      <c r="I95" s="13" t="n">
        <v>68.6</v>
      </c>
      <c r="K95" s="8" t="n">
        <v>73.2827119035984</v>
      </c>
      <c r="L95" s="8" t="n">
        <v>15496.0917499338</v>
      </c>
      <c r="M95" s="8" t="n">
        <f aca="false">M94+L95</f>
        <v>354160.078678079</v>
      </c>
      <c r="N95" s="5" t="str">
        <f aca="false">IF(L95&gt;0,"прибыль",IF(L95&lt;0,"убыток","ноль"))</f>
        <v>прибыль</v>
      </c>
      <c r="O95" s="6" t="n">
        <f aca="false">IF(L95&lt;0,O94+1,0)</f>
        <v>0</v>
      </c>
      <c r="P95" s="6" t="n">
        <v>1</v>
      </c>
    </row>
    <row r="96" customFormat="false" ht="15" hidden="false" customHeight="false" outlineLevel="0" collapsed="false">
      <c r="A96" s="6" t="n">
        <v>91</v>
      </c>
      <c r="B96" s="5" t="s">
        <v>72</v>
      </c>
      <c r="C96" s="5" t="s">
        <v>25</v>
      </c>
      <c r="D96" s="11" t="n">
        <v>43321</v>
      </c>
      <c r="E96" s="11" t="n">
        <v>43332</v>
      </c>
      <c r="F96" s="5" t="s">
        <v>75</v>
      </c>
      <c r="G96" s="12" t="n">
        <v>860228.685133366</v>
      </c>
      <c r="H96" s="13" t="n">
        <v>72.24</v>
      </c>
      <c r="I96" s="13" t="n">
        <v>71.81</v>
      </c>
      <c r="K96" s="8" t="n">
        <v>85.7686744185227</v>
      </c>
      <c r="L96" s="8" t="n">
        <v>4998.11322185987</v>
      </c>
      <c r="M96" s="8" t="n">
        <f aca="false">M95+L96</f>
        <v>359158.191899939</v>
      </c>
      <c r="N96" s="5" t="str">
        <f aca="false">IF(L96&gt;0,"прибыль",IF(L96&lt;0,"убыток","ноль"))</f>
        <v>прибыль</v>
      </c>
      <c r="O96" s="6" t="n">
        <f aca="false">IF(L96&lt;0,O95+1,0)</f>
        <v>0</v>
      </c>
      <c r="P96" s="6" t="n">
        <v>7</v>
      </c>
    </row>
    <row r="97" customFormat="false" ht="15" hidden="false" customHeight="false" outlineLevel="0" collapsed="false">
      <c r="A97" s="6" t="n">
        <v>92</v>
      </c>
      <c r="B97" s="5" t="s">
        <v>72</v>
      </c>
      <c r="C97" s="5" t="s">
        <v>25</v>
      </c>
      <c r="D97" s="11" t="n">
        <v>43404</v>
      </c>
      <c r="E97" s="11" t="n">
        <v>43405</v>
      </c>
      <c r="F97" s="5" t="s">
        <v>75</v>
      </c>
      <c r="G97" s="12" t="n">
        <v>546652.590316527</v>
      </c>
      <c r="H97" s="13" t="n">
        <v>76.32</v>
      </c>
      <c r="I97" s="13" t="n">
        <v>75.44</v>
      </c>
      <c r="K97" s="8" t="n">
        <v>54.411646979081</v>
      </c>
      <c r="L97" s="8" t="n">
        <v>5017.82940445442</v>
      </c>
      <c r="M97" s="8" t="n">
        <f aca="false">M96+L97</f>
        <v>364176.021304394</v>
      </c>
      <c r="N97" s="5" t="str">
        <f aca="false">IF(L97&gt;0,"прибыль",IF(L97&lt;0,"убыток","ноль"))</f>
        <v>прибыль</v>
      </c>
      <c r="O97" s="6" t="n">
        <f aca="false">IF(L97&lt;0,O96+1,0)</f>
        <v>0</v>
      </c>
      <c r="P97" s="6" t="n">
        <v>1</v>
      </c>
    </row>
    <row r="98" customFormat="false" ht="15" hidden="false" customHeight="false" outlineLevel="0" collapsed="false">
      <c r="A98" s="6" t="n">
        <v>93</v>
      </c>
      <c r="B98" s="5" t="s">
        <v>72</v>
      </c>
      <c r="C98" s="5" t="s">
        <v>25</v>
      </c>
      <c r="D98" s="11" t="n">
        <v>43410</v>
      </c>
      <c r="E98" s="11" t="n">
        <v>43431</v>
      </c>
      <c r="F98" s="5" t="s">
        <v>75</v>
      </c>
      <c r="G98" s="12" t="n">
        <v>122394.970312893</v>
      </c>
      <c r="H98" s="13" t="n">
        <v>72.64</v>
      </c>
      <c r="I98" s="13" t="n">
        <v>60.52</v>
      </c>
      <c r="K98" s="8" t="n">
        <v>33.5086493485452</v>
      </c>
      <c r="L98" s="8" t="n">
        <v>20115.0667969582</v>
      </c>
      <c r="M98" s="8" t="n">
        <f aca="false">M97+L98</f>
        <v>384291.088101352</v>
      </c>
      <c r="N98" s="5" t="str">
        <f aca="false">IF(L98&gt;0,"прибыль",IF(L98&lt;0,"убыток","ноль"))</f>
        <v>прибыль</v>
      </c>
      <c r="O98" s="6" t="n">
        <f aca="false">IF(L98&lt;0,O97+1,0)</f>
        <v>0</v>
      </c>
      <c r="P98" s="6" t="n">
        <v>15</v>
      </c>
    </row>
    <row r="99" customFormat="false" ht="15" hidden="false" customHeight="false" outlineLevel="0" collapsed="false">
      <c r="A99" s="6" t="n">
        <v>94</v>
      </c>
      <c r="B99" s="5" t="s">
        <v>72</v>
      </c>
      <c r="C99" s="5" t="s">
        <v>25</v>
      </c>
      <c r="D99" s="11" t="n">
        <v>43431</v>
      </c>
      <c r="E99" s="11" t="n">
        <v>43461</v>
      </c>
      <c r="F99" s="5" t="s">
        <v>75</v>
      </c>
      <c r="G99" s="12" t="n">
        <v>196740.266912135</v>
      </c>
      <c r="H99" s="13" t="n">
        <v>60.52</v>
      </c>
      <c r="I99" s="13" t="n">
        <v>54.9</v>
      </c>
      <c r="J99" s="5" t="s">
        <v>74</v>
      </c>
      <c r="K99" s="8" t="n">
        <v>12.7456500233774</v>
      </c>
      <c r="L99" s="8" t="n">
        <v>45926.3520338491</v>
      </c>
      <c r="M99" s="8" t="n">
        <f aca="false">M98+L99</f>
        <v>430217.440135201</v>
      </c>
      <c r="N99" s="5" t="str">
        <f aca="false">IF(L99&gt;0,"прибыль",IF(L99&lt;0,"убыток","ноль"))</f>
        <v>прибыль</v>
      </c>
      <c r="O99" s="6" t="n">
        <f aca="false">IF(L99&lt;0,O98+1,0)</f>
        <v>0</v>
      </c>
      <c r="P99" s="6" t="n">
        <v>22</v>
      </c>
    </row>
    <row r="100" customFormat="false" ht="15" hidden="false" customHeight="false" outlineLevel="0" collapsed="false">
      <c r="A100" s="6" t="n">
        <v>95</v>
      </c>
      <c r="B100" s="5" t="s">
        <v>72</v>
      </c>
      <c r="C100" s="5" t="s">
        <v>25</v>
      </c>
      <c r="D100" s="11" t="n">
        <v>43461</v>
      </c>
      <c r="E100" s="11" t="n">
        <v>43530</v>
      </c>
      <c r="F100" s="5" t="s">
        <v>75</v>
      </c>
      <c r="G100" s="12" t="n">
        <v>698576.692909751</v>
      </c>
      <c r="H100" s="13" t="n">
        <v>54.9</v>
      </c>
      <c r="I100" s="13" t="n">
        <v>65.96</v>
      </c>
      <c r="J100" s="5" t="s">
        <v>74</v>
      </c>
      <c r="K100" s="8" t="n">
        <v>51.1774251693642</v>
      </c>
      <c r="L100" s="8" t="n">
        <v>20650.5188884721</v>
      </c>
      <c r="M100" s="8" t="n">
        <f aca="false">M99+L100</f>
        <v>450867.959023673</v>
      </c>
      <c r="N100" s="5" t="str">
        <f aca="false">IF(L100&gt;0,"прибыль",IF(L100&lt;0,"убыток","ноль"))</f>
        <v>прибыль</v>
      </c>
      <c r="O100" s="6" t="n">
        <f aca="false">IF(L100&lt;0,O99+1,0)</f>
        <v>0</v>
      </c>
      <c r="P100" s="6" t="n">
        <v>46</v>
      </c>
    </row>
    <row r="101" customFormat="false" ht="15" hidden="false" customHeight="false" outlineLevel="0" collapsed="false">
      <c r="A101" s="6" t="n">
        <v>96</v>
      </c>
      <c r="B101" s="5" t="s">
        <v>72</v>
      </c>
      <c r="C101" s="5" t="s">
        <v>25</v>
      </c>
      <c r="D101" s="11" t="n">
        <v>43619</v>
      </c>
      <c r="E101" s="11" t="n">
        <v>43621</v>
      </c>
      <c r="F101" s="5" t="s">
        <v>75</v>
      </c>
      <c r="G101" s="12" t="n">
        <v>482645.393654598</v>
      </c>
      <c r="H101" s="13" t="n">
        <v>64.45</v>
      </c>
      <c r="I101" s="13" t="n">
        <v>61.47</v>
      </c>
      <c r="J101" s="5" t="s">
        <v>74</v>
      </c>
      <c r="K101" s="8" t="n">
        <v>48.5762982045351</v>
      </c>
      <c r="L101" s="8" t="n">
        <v>-6283.75307971165</v>
      </c>
      <c r="M101" s="8" t="n">
        <f aca="false">M100+L101</f>
        <v>444584.205943961</v>
      </c>
      <c r="N101" s="5" t="str">
        <f aca="false">IF(L101&gt;0,"прибыль",IF(L101&lt;0,"убыток","ноль"))</f>
        <v>убыток</v>
      </c>
      <c r="O101" s="6" t="n">
        <f aca="false">IF(L101&lt;0,O100+1,0)</f>
        <v>1</v>
      </c>
      <c r="P101" s="6" t="n">
        <v>2</v>
      </c>
    </row>
    <row r="102" customFormat="false" ht="15" hidden="false" customHeight="false" outlineLevel="0" collapsed="false">
      <c r="A102" s="6" t="n">
        <v>97</v>
      </c>
      <c r="B102" s="5" t="s">
        <v>72</v>
      </c>
      <c r="C102" s="5" t="s">
        <v>25</v>
      </c>
      <c r="D102" s="11" t="n">
        <v>43622</v>
      </c>
      <c r="E102" s="11" t="n">
        <v>43623</v>
      </c>
      <c r="F102" s="5" t="s">
        <v>75</v>
      </c>
      <c r="G102" s="12" t="n">
        <v>500820.543612917</v>
      </c>
      <c r="H102" s="13" t="n">
        <v>60.67</v>
      </c>
      <c r="I102" s="13" t="n">
        <v>62.33</v>
      </c>
      <c r="K102" s="8" t="n">
        <v>50.8318998422462</v>
      </c>
      <c r="L102" s="8" t="n">
        <v>-15047.741518932</v>
      </c>
      <c r="M102" s="8" t="n">
        <f aca="false">M101+L102</f>
        <v>429536.464425029</v>
      </c>
      <c r="N102" s="5" t="str">
        <f aca="false">IF(L102&gt;0,"прибыль",IF(L102&lt;0,"убыток","ноль"))</f>
        <v>убыток</v>
      </c>
      <c r="O102" s="6" t="n">
        <f aca="false">IF(L102&lt;0,O101+1,0)</f>
        <v>2</v>
      </c>
      <c r="P102" s="6" t="n">
        <v>1</v>
      </c>
    </row>
    <row r="103" customFormat="false" ht="15" hidden="false" customHeight="false" outlineLevel="0" collapsed="false">
      <c r="A103" s="6" t="n">
        <v>98</v>
      </c>
      <c r="B103" s="5" t="s">
        <v>72</v>
      </c>
      <c r="C103" s="5" t="s">
        <v>25</v>
      </c>
      <c r="D103" s="11" t="n">
        <v>43630</v>
      </c>
      <c r="E103" s="11" t="n">
        <v>43636</v>
      </c>
      <c r="F103" s="5" t="s">
        <v>75</v>
      </c>
      <c r="G103" s="12" t="n">
        <v>482102.495333542</v>
      </c>
      <c r="H103" s="13" t="n">
        <v>61.36</v>
      </c>
      <c r="I103" s="13" t="n">
        <v>62.34</v>
      </c>
      <c r="K103" s="8" t="n">
        <v>48.6586854040403</v>
      </c>
      <c r="L103" s="8" t="n">
        <v>-9017.37609912632</v>
      </c>
      <c r="M103" s="8" t="n">
        <f aca="false">M102+L103</f>
        <v>420519.088325903</v>
      </c>
      <c r="N103" s="5" t="str">
        <f aca="false">IF(L103&gt;0,"прибыль",IF(L103&lt;0,"убыток","ноль"))</f>
        <v>убыток</v>
      </c>
      <c r="O103" s="6" t="n">
        <f aca="false">IF(L103&lt;0,O102+1,0)</f>
        <v>3</v>
      </c>
      <c r="P103" s="6" t="n">
        <v>4</v>
      </c>
    </row>
    <row r="104" customFormat="false" ht="15" hidden="false" customHeight="false" outlineLevel="0" collapsed="false">
      <c r="A104" s="6" t="n">
        <v>99</v>
      </c>
      <c r="B104" s="5" t="s">
        <v>72</v>
      </c>
      <c r="C104" s="5" t="s">
        <v>25</v>
      </c>
      <c r="D104" s="11" t="n">
        <v>43655</v>
      </c>
      <c r="E104" s="11" t="n">
        <v>43656</v>
      </c>
      <c r="F104" s="5" t="s">
        <v>75</v>
      </c>
      <c r="G104" s="12" t="n">
        <v>548823.201082721</v>
      </c>
      <c r="H104" s="13" t="n">
        <v>63.93</v>
      </c>
      <c r="I104" s="13" t="n">
        <v>64.57</v>
      </c>
      <c r="K104" s="8" t="n">
        <v>55.2201793969085</v>
      </c>
      <c r="L104" s="8" t="n">
        <v>-6812.40595212508</v>
      </c>
      <c r="M104" s="8" t="n">
        <f aca="false">M103+L104</f>
        <v>413706.682373778</v>
      </c>
      <c r="N104" s="5" t="str">
        <f aca="false">IF(L104&gt;0,"прибыль",IF(L104&lt;0,"убыток","ноль"))</f>
        <v>убыток</v>
      </c>
      <c r="O104" s="6" t="n">
        <f aca="false">IF(L104&lt;0,O103+1,0)</f>
        <v>4</v>
      </c>
      <c r="P104" s="6" t="n">
        <v>1</v>
      </c>
    </row>
    <row r="105" customFormat="false" ht="15" hidden="false" customHeight="false" outlineLevel="0" collapsed="false">
      <c r="A105" s="6" t="n">
        <v>100</v>
      </c>
      <c r="B105" s="5" t="s">
        <v>72</v>
      </c>
      <c r="C105" s="5" t="s">
        <v>25</v>
      </c>
      <c r="D105" s="11" t="n">
        <v>43663</v>
      </c>
      <c r="E105" s="11" t="n">
        <v>43679</v>
      </c>
      <c r="F105" s="5" t="s">
        <v>75</v>
      </c>
      <c r="G105" s="12" t="n">
        <v>639479.196267587</v>
      </c>
      <c r="H105" s="13" t="n">
        <v>64.45</v>
      </c>
      <c r="I105" s="13" t="n">
        <v>61.16</v>
      </c>
      <c r="J105" s="5" t="s">
        <v>74</v>
      </c>
      <c r="K105" s="8" t="n">
        <v>64.3345037256824</v>
      </c>
      <c r="L105" s="8" t="n">
        <v>-7796.01648219991</v>
      </c>
      <c r="M105" s="8" t="n">
        <f aca="false">M104+L105</f>
        <v>405910.665891578</v>
      </c>
      <c r="N105" s="5" t="str">
        <f aca="false">IF(L105&gt;0,"прибыль",IF(L105&lt;0,"убыток","ноль"))</f>
        <v>убыток</v>
      </c>
      <c r="O105" s="6" t="n">
        <f aca="false">IF(L105&lt;0,O104+1,0)</f>
        <v>5</v>
      </c>
      <c r="P105" s="6" t="n">
        <v>12</v>
      </c>
    </row>
    <row r="106" customFormat="false" ht="15" hidden="false" customHeight="false" outlineLevel="0" collapsed="false">
      <c r="A106" s="6" t="n">
        <v>101</v>
      </c>
      <c r="B106" s="5" t="s">
        <v>72</v>
      </c>
      <c r="C106" s="5" t="s">
        <v>25</v>
      </c>
      <c r="D106" s="11" t="n">
        <v>43683</v>
      </c>
      <c r="E106" s="11" t="n">
        <v>43703</v>
      </c>
      <c r="F106" s="5" t="s">
        <v>75</v>
      </c>
      <c r="G106" s="12" t="n">
        <v>651012.77656616</v>
      </c>
      <c r="H106" s="13" t="n">
        <v>60</v>
      </c>
      <c r="I106" s="13" t="n">
        <v>59.19</v>
      </c>
      <c r="K106" s="8" t="n">
        <v>64.7314939518935</v>
      </c>
      <c r="L106" s="8" t="n">
        <v>7330.94260049694</v>
      </c>
      <c r="M106" s="8" t="n">
        <f aca="false">M105+L106</f>
        <v>413241.608492075</v>
      </c>
      <c r="N106" s="5" t="str">
        <f aca="false">IF(L106&gt;0,"прибыль",IF(L106&lt;0,"убыток","ноль"))</f>
        <v>прибыль</v>
      </c>
      <c r="O106" s="6" t="n">
        <f aca="false">IF(L106&lt;0,O105+1,0)</f>
        <v>0</v>
      </c>
      <c r="P106" s="6" t="n">
        <v>14</v>
      </c>
    </row>
    <row r="107" customFormat="false" ht="15" hidden="false" customHeight="false" outlineLevel="0" collapsed="false">
      <c r="A107" s="6" t="n">
        <v>102</v>
      </c>
      <c r="B107" s="5" t="s">
        <v>72</v>
      </c>
      <c r="C107" s="5" t="s">
        <v>25</v>
      </c>
      <c r="D107" s="11" t="n">
        <v>43741</v>
      </c>
      <c r="E107" s="11" t="n">
        <v>43747</v>
      </c>
      <c r="F107" s="5" t="s">
        <v>75</v>
      </c>
      <c r="G107" s="12" t="n">
        <v>261938.620058986</v>
      </c>
      <c r="H107" s="13" t="n">
        <v>57.52</v>
      </c>
      <c r="I107" s="13" t="n">
        <v>58.18</v>
      </c>
      <c r="K107" s="8" t="n">
        <v>26.3991321900741</v>
      </c>
      <c r="L107" s="8" t="n">
        <v>-4131.80281569993</v>
      </c>
      <c r="M107" s="8" t="n">
        <f aca="false">M106+L107</f>
        <v>409109.805676375</v>
      </c>
      <c r="N107" s="5" t="str">
        <f aca="false">IF(L107&gt;0,"прибыль",IF(L107&lt;0,"убыток","ноль"))</f>
        <v>убыток</v>
      </c>
      <c r="O107" s="6" t="n">
        <f aca="false">IF(L107&lt;0,O106+1,0)</f>
        <v>1</v>
      </c>
      <c r="P107" s="6" t="n">
        <v>4</v>
      </c>
    </row>
    <row r="108" customFormat="false" ht="15" hidden="false" customHeight="false" outlineLevel="0" collapsed="false">
      <c r="A108" s="6" t="n">
        <v>103</v>
      </c>
      <c r="B108" s="5" t="s">
        <v>72</v>
      </c>
      <c r="C108" s="5" t="s">
        <v>25</v>
      </c>
      <c r="D108" s="11" t="n">
        <v>43803</v>
      </c>
      <c r="E108" s="11" t="n">
        <v>43804</v>
      </c>
      <c r="F108" s="5" t="s">
        <v>75</v>
      </c>
      <c r="G108" s="12" t="n">
        <v>727503.2673782</v>
      </c>
      <c r="H108" s="13" t="n">
        <v>61.02</v>
      </c>
      <c r="I108" s="13" t="n">
        <v>63.02</v>
      </c>
      <c r="K108" s="8" t="n">
        <v>74.016105838185</v>
      </c>
      <c r="L108" s="8" t="n">
        <v>-25389.5981131382</v>
      </c>
      <c r="M108" s="8" t="n">
        <f aca="false">M107+L108</f>
        <v>383720.207563237</v>
      </c>
      <c r="N108" s="5" t="str">
        <f aca="false">IF(L108&gt;0,"прибыль",IF(L108&lt;0,"убыток","ноль"))</f>
        <v>убыток</v>
      </c>
      <c r="O108" s="6" t="n">
        <f aca="false">IF(L108&lt;0,O107+1,0)</f>
        <v>2</v>
      </c>
      <c r="P108" s="6" t="n">
        <v>1</v>
      </c>
    </row>
    <row r="109" customFormat="false" ht="15" hidden="false" customHeight="false" outlineLevel="0" collapsed="false">
      <c r="A109" s="6" t="n">
        <v>104</v>
      </c>
      <c r="B109" s="5" t="s">
        <v>72</v>
      </c>
      <c r="C109" s="5" t="s">
        <v>25</v>
      </c>
      <c r="D109" s="11" t="n">
        <v>43810</v>
      </c>
      <c r="E109" s="11" t="n">
        <v>43811</v>
      </c>
      <c r="F109" s="5" t="s">
        <v>75</v>
      </c>
      <c r="G109" s="12" t="n">
        <v>650988.632064406</v>
      </c>
      <c r="H109" s="13" t="n">
        <v>64.36</v>
      </c>
      <c r="I109" s="13" t="n">
        <v>63.86</v>
      </c>
      <c r="K109" s="8" t="n">
        <v>64.9119528783311</v>
      </c>
      <c r="L109" s="8" t="n">
        <v>3673.29460931227</v>
      </c>
      <c r="M109" s="8" t="n">
        <f aca="false">M108+L109</f>
        <v>387393.502172549</v>
      </c>
      <c r="N109" s="5" t="str">
        <f aca="false">IF(L109&gt;0,"прибыль",IF(L109&lt;0,"убыток","ноль"))</f>
        <v>прибыль</v>
      </c>
      <c r="O109" s="6" t="n">
        <f aca="false">IF(L109&lt;0,O108+1,0)</f>
        <v>0</v>
      </c>
      <c r="P109" s="6" t="n">
        <v>1</v>
      </c>
    </row>
    <row r="110" customFormat="false" ht="15" hidden="false" customHeight="false" outlineLevel="0" collapsed="false">
      <c r="A110" s="6" t="n">
        <v>105</v>
      </c>
      <c r="B110" s="5" t="s">
        <v>72</v>
      </c>
      <c r="C110" s="5" t="s">
        <v>25</v>
      </c>
      <c r="D110" s="11" t="n">
        <v>43858</v>
      </c>
      <c r="E110" s="11" t="n">
        <v>43860</v>
      </c>
      <c r="F110" s="5" t="s">
        <v>75</v>
      </c>
      <c r="G110" s="12" t="n">
        <v>630650.378777137</v>
      </c>
      <c r="H110" s="13" t="n">
        <v>59.04</v>
      </c>
      <c r="I110" s="13" t="n">
        <v>59.64</v>
      </c>
      <c r="K110" s="8" t="n">
        <v>63.4519308642092</v>
      </c>
      <c r="L110" s="8" t="n">
        <v>-7801.31166077416</v>
      </c>
      <c r="M110" s="8" t="n">
        <f aca="false">M109+L110</f>
        <v>379592.190511775</v>
      </c>
      <c r="N110" s="5" t="str">
        <f aca="false">IF(L110&gt;0,"прибыль",IF(L110&lt;0,"убыток","ноль"))</f>
        <v>убыток</v>
      </c>
      <c r="O110" s="6" t="n">
        <f aca="false">IF(L110&lt;0,O109+1,0)</f>
        <v>1</v>
      </c>
      <c r="P110" s="6" t="n">
        <v>2</v>
      </c>
    </row>
    <row r="111" customFormat="false" ht="15" hidden="false" customHeight="false" outlineLevel="0" collapsed="false">
      <c r="A111" s="6" t="n">
        <v>106</v>
      </c>
      <c r="B111" s="5" t="s">
        <v>72</v>
      </c>
      <c r="C111" s="5" t="s">
        <v>25</v>
      </c>
      <c r="D111" s="11" t="n">
        <v>43864</v>
      </c>
      <c r="E111" s="11" t="n">
        <v>43867</v>
      </c>
      <c r="F111" s="5" t="s">
        <v>75</v>
      </c>
      <c r="G111" s="12" t="n">
        <v>772712.31552662</v>
      </c>
      <c r="H111" s="13" t="n">
        <v>58.19</v>
      </c>
      <c r="I111" s="13" t="n">
        <v>55.6</v>
      </c>
      <c r="J111" s="5" t="s">
        <v>74</v>
      </c>
      <c r="K111" s="8" t="n">
        <v>78.3105207447128</v>
      </c>
      <c r="L111" s="8" t="n">
        <v>-20864.0943617617</v>
      </c>
      <c r="M111" s="8" t="n">
        <f aca="false">M110+L111</f>
        <v>358728.096150013</v>
      </c>
      <c r="N111" s="5" t="str">
        <f aca="false">IF(L111&gt;0,"прибыль",IF(L111&lt;0,"убыток","ноль"))</f>
        <v>убыток</v>
      </c>
      <c r="O111" s="6" t="n">
        <f aca="false">IF(L111&lt;0,O110+1,0)</f>
        <v>2</v>
      </c>
      <c r="P111" s="6" t="n">
        <v>3</v>
      </c>
    </row>
    <row r="112" customFormat="false" ht="15" hidden="false" customHeight="false" outlineLevel="0" collapsed="false">
      <c r="A112" s="6" t="n">
        <v>107</v>
      </c>
      <c r="B112" s="5" t="s">
        <v>72</v>
      </c>
      <c r="C112" s="5" t="s">
        <v>25</v>
      </c>
      <c r="D112" s="11" t="n">
        <v>43868</v>
      </c>
      <c r="E112" s="11" t="n">
        <v>43874</v>
      </c>
      <c r="F112" s="5" t="s">
        <v>75</v>
      </c>
      <c r="G112" s="12" t="n">
        <v>715767.179530567</v>
      </c>
      <c r="H112" s="13" t="n">
        <v>55.12</v>
      </c>
      <c r="I112" s="13" t="n">
        <v>56.12</v>
      </c>
      <c r="K112" s="8" t="n">
        <v>72.3026618314725</v>
      </c>
      <c r="L112" s="8" t="n">
        <v>-14591.1802301467</v>
      </c>
      <c r="M112" s="8" t="n">
        <f aca="false">M111+L112</f>
        <v>344136.915919866</v>
      </c>
      <c r="N112" s="5" t="str">
        <f aca="false">IF(L112&gt;0,"прибыль",IF(L112&lt;0,"убыток","ноль"))</f>
        <v>убыток</v>
      </c>
      <c r="O112" s="6" t="n">
        <f aca="false">IF(L112&lt;0,O111+1,0)</f>
        <v>3</v>
      </c>
      <c r="P112" s="6" t="n">
        <v>4</v>
      </c>
    </row>
    <row r="113" customFormat="false" ht="15" hidden="false" customHeight="false" outlineLevel="0" collapsed="false">
      <c r="A113" s="6" t="n">
        <v>108</v>
      </c>
      <c r="B113" s="5" t="s">
        <v>72</v>
      </c>
      <c r="C113" s="5" t="s">
        <v>25</v>
      </c>
      <c r="D113" s="11" t="n">
        <v>43887</v>
      </c>
      <c r="E113" s="11" t="n">
        <v>43901</v>
      </c>
      <c r="F113" s="5" t="s">
        <v>75</v>
      </c>
      <c r="G113" s="12" t="n">
        <v>126915.253875905</v>
      </c>
      <c r="H113" s="13" t="n">
        <v>54.7</v>
      </c>
      <c r="I113" s="13" t="n">
        <v>37.8</v>
      </c>
      <c r="J113" s="5" t="s">
        <v>74</v>
      </c>
      <c r="K113" s="8" t="n">
        <v>26.0061470734074</v>
      </c>
      <c r="L113" s="8" t="n">
        <v>42307.7420038197</v>
      </c>
      <c r="M113" s="8" t="n">
        <f aca="false">M112+L113</f>
        <v>386444.657923686</v>
      </c>
      <c r="N113" s="5" t="str">
        <f aca="false">IF(L113&gt;0,"прибыль",IF(L113&lt;0,"убыток","ноль"))</f>
        <v>прибыль</v>
      </c>
      <c r="O113" s="6" t="n">
        <f aca="false">IF(L113&lt;0,O112+1,0)</f>
        <v>0</v>
      </c>
      <c r="P113" s="6" t="n">
        <v>9</v>
      </c>
    </row>
    <row r="114" customFormat="false" ht="15" hidden="false" customHeight="false" outlineLevel="0" collapsed="false">
      <c r="A114" s="6" t="n">
        <v>109</v>
      </c>
      <c r="B114" s="5" t="s">
        <v>72</v>
      </c>
      <c r="C114" s="5" t="s">
        <v>25</v>
      </c>
      <c r="D114" s="11" t="n">
        <v>43901</v>
      </c>
      <c r="E114" s="11" t="n">
        <v>43902</v>
      </c>
      <c r="F114" s="5" t="s">
        <v>75</v>
      </c>
      <c r="G114" s="12" t="n">
        <v>308626.181867231</v>
      </c>
      <c r="H114" s="13" t="n">
        <v>37.8</v>
      </c>
      <c r="I114" s="13" t="n">
        <v>35.73</v>
      </c>
      <c r="K114" s="8" t="n">
        <v>9.72114589508334</v>
      </c>
      <c r="L114" s="8" t="n">
        <v>114193.54281967</v>
      </c>
      <c r="M114" s="8" t="n">
        <f aca="false">M113+L114</f>
        <v>500638.200743356</v>
      </c>
      <c r="N114" s="5" t="str">
        <f aca="false">IF(L114&gt;0,"прибыль",IF(L114&lt;0,"убыток","ноль"))</f>
        <v>прибыль</v>
      </c>
      <c r="O114" s="6" t="n">
        <f aca="false">IF(L114&lt;0,O113+1,0)</f>
        <v>0</v>
      </c>
      <c r="P114" s="6" t="n">
        <v>1</v>
      </c>
    </row>
    <row r="115" customFormat="false" ht="15" hidden="false" customHeight="false" outlineLevel="0" collapsed="false">
      <c r="A115" s="6" t="n">
        <v>110</v>
      </c>
      <c r="B115" s="5" t="s">
        <v>72</v>
      </c>
      <c r="C115" s="5" t="s">
        <v>25</v>
      </c>
      <c r="D115" s="11" t="n">
        <v>43993</v>
      </c>
      <c r="E115" s="11" t="n">
        <v>43997</v>
      </c>
      <c r="F115" s="5" t="s">
        <v>73</v>
      </c>
      <c r="G115" s="12" t="n">
        <v>273557.24446403</v>
      </c>
      <c r="H115" s="13" t="n">
        <v>41.21</v>
      </c>
      <c r="I115" s="13" t="n">
        <v>38.16</v>
      </c>
      <c r="K115" s="8" t="n">
        <v>26.2908659127931</v>
      </c>
      <c r="L115" s="8" t="n">
        <v>-21323.4615381091</v>
      </c>
      <c r="M115" s="8" t="n">
        <f aca="false">M114+L115</f>
        <v>479314.739205247</v>
      </c>
      <c r="N115" s="5" t="str">
        <f aca="false">IF(L115&gt;0,"прибыль",IF(L115&lt;0,"убыток","ноль"))</f>
        <v>убыток</v>
      </c>
      <c r="O115" s="6" t="n">
        <f aca="false">IF(L115&lt;0,O114+1,0)</f>
        <v>1</v>
      </c>
      <c r="P115" s="6" t="n">
        <v>1</v>
      </c>
    </row>
    <row r="116" customFormat="false" ht="15" hidden="false" customHeight="false" outlineLevel="0" collapsed="false">
      <c r="A116" s="6" t="n">
        <v>111</v>
      </c>
      <c r="B116" s="5" t="s">
        <v>72</v>
      </c>
      <c r="C116" s="5" t="s">
        <v>25</v>
      </c>
      <c r="D116" s="11" t="n">
        <v>43998</v>
      </c>
      <c r="E116" s="11" t="n">
        <v>44018</v>
      </c>
      <c r="F116" s="5" t="s">
        <v>73</v>
      </c>
      <c r="G116" s="12" t="n">
        <v>314089.858289939</v>
      </c>
      <c r="H116" s="13" t="n">
        <v>39.82</v>
      </c>
      <c r="I116" s="13" t="n">
        <v>42.8</v>
      </c>
      <c r="J116" s="5" t="s">
        <v>74</v>
      </c>
      <c r="K116" s="8" t="n">
        <v>32.2297085044137</v>
      </c>
      <c r="L116" s="8" t="n">
        <v>16382.223799892</v>
      </c>
      <c r="M116" s="8" t="n">
        <f aca="false">M115+L116</f>
        <v>495696.963005139</v>
      </c>
      <c r="N116" s="5" t="str">
        <f aca="false">IF(L116&gt;0,"прибыль",IF(L116&lt;0,"убыток","ноль"))</f>
        <v>прибыль</v>
      </c>
      <c r="O116" s="6" t="n">
        <f aca="false">IF(L116&lt;0,O115+1,0)</f>
        <v>0</v>
      </c>
      <c r="P116" s="6" t="n">
        <v>12</v>
      </c>
    </row>
    <row r="117" customFormat="false" ht="15" hidden="false" customHeight="false" outlineLevel="0" collapsed="false">
      <c r="A117" s="6" t="n">
        <v>112</v>
      </c>
      <c r="B117" s="5" t="s">
        <v>72</v>
      </c>
      <c r="C117" s="5" t="s">
        <v>25</v>
      </c>
      <c r="D117" s="11" t="n">
        <v>44019</v>
      </c>
      <c r="E117" s="11" t="n">
        <v>44081</v>
      </c>
      <c r="F117" s="5" t="s">
        <v>73</v>
      </c>
      <c r="G117" s="12" t="n">
        <v>209485.382930847</v>
      </c>
      <c r="H117" s="13" t="n">
        <v>43.08</v>
      </c>
      <c r="I117" s="13" t="n">
        <v>42.34</v>
      </c>
      <c r="J117" s="5" t="s">
        <v>74</v>
      </c>
      <c r="K117" s="8" t="n">
        <v>53.7444165390637</v>
      </c>
      <c r="L117" s="8" t="n">
        <v>-11285.6934779108</v>
      </c>
      <c r="M117" s="8" t="n">
        <f aca="false">M116+L117</f>
        <v>484411.269527228</v>
      </c>
      <c r="N117" s="5" t="str">
        <f aca="false">IF(L117&gt;0,"прибыль",IF(L117&lt;0,"убыток","ноль"))</f>
        <v>убыток</v>
      </c>
      <c r="O117" s="6" t="n">
        <f aca="false">IF(L117&lt;0,O116+1,0)</f>
        <v>1</v>
      </c>
      <c r="P117" s="6" t="n">
        <v>44</v>
      </c>
    </row>
    <row r="118" customFormat="false" ht="15" hidden="false" customHeight="false" outlineLevel="0" collapsed="false">
      <c r="A118" s="6" t="n">
        <v>113</v>
      </c>
      <c r="B118" s="5" t="s">
        <v>72</v>
      </c>
      <c r="C118" s="5" t="s">
        <v>25</v>
      </c>
      <c r="D118" s="11" t="n">
        <v>44081</v>
      </c>
      <c r="E118" s="11" t="n">
        <v>44082</v>
      </c>
      <c r="F118" s="5" t="s">
        <v>73</v>
      </c>
      <c r="G118" s="12" t="n">
        <v>667149.513980952</v>
      </c>
      <c r="H118" s="13" t="n">
        <v>42.34</v>
      </c>
      <c r="I118" s="13" t="n">
        <v>41.91</v>
      </c>
      <c r="K118" s="8" t="n">
        <v>31.2485533746812</v>
      </c>
      <c r="L118" s="8" t="n">
        <v>-42209.6950407027</v>
      </c>
      <c r="M118" s="8" t="n">
        <f aca="false">M117+L118</f>
        <v>442201.574486525</v>
      </c>
      <c r="N118" s="5" t="str">
        <f aca="false">IF(L118&gt;0,"прибыль",IF(L118&lt;0,"убыток","ноль"))</f>
        <v>убыток</v>
      </c>
      <c r="O118" s="6" t="n">
        <f aca="false">IF(L118&lt;0,O117+1,0)</f>
        <v>2</v>
      </c>
      <c r="P118" s="6" t="n">
        <v>1</v>
      </c>
    </row>
    <row r="119" customFormat="false" ht="15" hidden="false" customHeight="false" outlineLevel="0" collapsed="false">
      <c r="A119" s="6" t="n">
        <v>114</v>
      </c>
      <c r="B119" s="5" t="s">
        <v>72</v>
      </c>
      <c r="C119" s="5" t="s">
        <v>25</v>
      </c>
      <c r="D119" s="11" t="n">
        <v>44083</v>
      </c>
      <c r="E119" s="11" t="n">
        <v>44084</v>
      </c>
      <c r="F119" s="5" t="s">
        <v>73</v>
      </c>
      <c r="G119" s="12" t="n">
        <v>524447.490228011</v>
      </c>
      <c r="H119" s="13" t="n">
        <v>39.85</v>
      </c>
      <c r="I119" s="13" t="n">
        <v>40.7</v>
      </c>
      <c r="K119" s="8" t="n">
        <v>52.940035224051</v>
      </c>
      <c r="L119" s="8" t="n">
        <v>9852.78398977597</v>
      </c>
      <c r="M119" s="8" t="n">
        <f aca="false">M118+L119</f>
        <v>452054.358476301</v>
      </c>
      <c r="N119" s="5" t="str">
        <f aca="false">IF(L119&gt;0,"прибыль",IF(L119&lt;0,"убыток","ноль"))</f>
        <v>прибыль</v>
      </c>
      <c r="O119" s="6" t="n">
        <f aca="false">IF(L119&lt;0,O118+1,0)</f>
        <v>0</v>
      </c>
      <c r="P119" s="6" t="n">
        <v>1</v>
      </c>
    </row>
    <row r="120" customFormat="false" ht="15" hidden="false" customHeight="false" outlineLevel="0" collapsed="false">
      <c r="A120" s="6" t="n">
        <v>115</v>
      </c>
      <c r="B120" s="5" t="s">
        <v>72</v>
      </c>
      <c r="C120" s="5" t="s">
        <v>25</v>
      </c>
      <c r="D120" s="11" t="n">
        <v>44160</v>
      </c>
      <c r="E120" s="11" t="n">
        <v>44202</v>
      </c>
      <c r="F120" s="5" t="s">
        <v>73</v>
      </c>
      <c r="G120" s="12" t="n">
        <v>230090.926023677</v>
      </c>
      <c r="H120" s="13" t="n">
        <v>47.97</v>
      </c>
      <c r="I120" s="13" t="n">
        <v>53.65</v>
      </c>
      <c r="J120" s="5" t="s">
        <v>74</v>
      </c>
      <c r="K120" s="8" t="n">
        <v>47.6328089160108</v>
      </c>
      <c r="L120" s="8" t="n">
        <v>21654.5055913478</v>
      </c>
      <c r="M120" s="8" t="n">
        <f aca="false">M119+L120</f>
        <v>473708.864067649</v>
      </c>
      <c r="N120" s="5" t="str">
        <f aca="false">IF(L120&gt;0,"прибыль",IF(L120&lt;0,"убыток","ноль"))</f>
        <v>прибыль</v>
      </c>
      <c r="O120" s="6" t="n">
        <f aca="false">IF(L120&lt;0,O119+1,0)</f>
        <v>0</v>
      </c>
      <c r="P120" s="6" t="n">
        <v>28</v>
      </c>
    </row>
    <row r="121" customFormat="false" ht="15" hidden="false" customHeight="false" outlineLevel="0" collapsed="false">
      <c r="A121" s="6" t="n">
        <v>116</v>
      </c>
      <c r="B121" s="5" t="s">
        <v>76</v>
      </c>
      <c r="C121" s="5" t="s">
        <v>25</v>
      </c>
      <c r="D121" s="11" t="n">
        <v>44202</v>
      </c>
      <c r="E121" s="11" t="n">
        <v>44252</v>
      </c>
      <c r="F121" s="5" t="s">
        <v>73</v>
      </c>
      <c r="G121" s="12" t="n">
        <v>134563.908221372</v>
      </c>
      <c r="H121" s="13" t="n">
        <v>53.65</v>
      </c>
      <c r="I121" s="13" t="n">
        <v>67.09</v>
      </c>
      <c r="J121" s="5" t="s">
        <v>74</v>
      </c>
      <c r="K121" s="8" t="n">
        <v>17.0833829089177</v>
      </c>
      <c r="L121" s="8" t="n">
        <v>39682.6160369189</v>
      </c>
      <c r="M121" s="8" t="n">
        <f aca="false">M120+L121</f>
        <v>513391.480104568</v>
      </c>
      <c r="N121" s="5" t="str">
        <f aca="false">IF(L121&gt;0,"прибыль",IF(L121&lt;0,"убыток","ноль"))</f>
        <v>прибыль</v>
      </c>
      <c r="O121" s="6" t="n">
        <f aca="false">IF(L121&lt;0,O120+1,0)</f>
        <v>0</v>
      </c>
      <c r="P121" s="6" t="n">
        <v>35</v>
      </c>
    </row>
    <row r="122" customFormat="false" ht="15" hidden="false" customHeight="false" outlineLevel="0" collapsed="false">
      <c r="A122" s="6" t="n">
        <v>117</v>
      </c>
      <c r="B122" s="5" t="s">
        <v>76</v>
      </c>
      <c r="C122" s="5" t="s">
        <v>25</v>
      </c>
      <c r="D122" s="11" t="n">
        <v>44252</v>
      </c>
      <c r="E122" s="11" t="n">
        <v>44260</v>
      </c>
      <c r="F122" s="5" t="s">
        <v>73</v>
      </c>
      <c r="G122" s="12" t="n">
        <v>128295.489611622</v>
      </c>
      <c r="H122" s="13" t="n">
        <v>67.09</v>
      </c>
      <c r="I122" s="13" t="n">
        <v>67.19</v>
      </c>
      <c r="J122" s="5" t="s">
        <v>74</v>
      </c>
      <c r="K122" s="8" t="n">
        <v>8.66477455069088</v>
      </c>
      <c r="L122" s="8" t="n">
        <v>44991.3366276451</v>
      </c>
      <c r="M122" s="8" t="n">
        <f aca="false">M121+L122</f>
        <v>558382.816732213</v>
      </c>
      <c r="N122" s="5" t="str">
        <f aca="false">IF(L122&gt;0,"прибыль",IF(L122&lt;0,"убыток","ноль"))</f>
        <v>прибыль</v>
      </c>
      <c r="O122" s="6" t="n">
        <f aca="false">IF(L122&lt;0,O121+1,0)</f>
        <v>0</v>
      </c>
      <c r="P122" s="6" t="n">
        <v>6</v>
      </c>
    </row>
    <row r="123" customFormat="false" ht="15" hidden="false" customHeight="false" outlineLevel="0" collapsed="false">
      <c r="A123" s="6" t="n">
        <v>118</v>
      </c>
      <c r="B123" s="5" t="s">
        <v>76</v>
      </c>
      <c r="C123" s="5" t="s">
        <v>25</v>
      </c>
      <c r="D123" s="11" t="n">
        <v>44260</v>
      </c>
      <c r="E123" s="11" t="n">
        <v>44274</v>
      </c>
      <c r="F123" s="5" t="s">
        <v>73</v>
      </c>
      <c r="G123" s="12" t="n">
        <v>112594.886138397</v>
      </c>
      <c r="H123" s="13" t="n">
        <v>67.19</v>
      </c>
      <c r="I123" s="13" t="n">
        <v>62.87</v>
      </c>
      <c r="K123" s="8" t="n">
        <v>7.11201134154901</v>
      </c>
      <c r="L123" s="8" t="n">
        <v>29638.228681242</v>
      </c>
      <c r="M123" s="8" t="n">
        <f aca="false">M122+L123</f>
        <v>588021.045413455</v>
      </c>
      <c r="N123" s="5" t="str">
        <f aca="false">IF(L123&gt;0,"прибыль",IF(L123&lt;0,"убыток","ноль"))</f>
        <v>прибыль</v>
      </c>
      <c r="O123" s="6" t="n">
        <f aca="false">IF(L123&lt;0,O122+1,0)</f>
        <v>0</v>
      </c>
      <c r="P123" s="6" t="n">
        <v>9</v>
      </c>
    </row>
    <row r="124" customFormat="false" ht="15" hidden="false" customHeight="false" outlineLevel="0" collapsed="false">
      <c r="A124" s="6" t="n">
        <v>119</v>
      </c>
      <c r="B124" s="5" t="s">
        <v>76</v>
      </c>
      <c r="C124" s="5" t="s">
        <v>25</v>
      </c>
      <c r="D124" s="11" t="n">
        <v>44274</v>
      </c>
      <c r="E124" s="11" t="n">
        <v>44284</v>
      </c>
      <c r="F124" s="5" t="s">
        <v>73</v>
      </c>
      <c r="G124" s="12" t="n">
        <v>61566.6715507773</v>
      </c>
      <c r="H124" s="13" t="n">
        <v>62.87</v>
      </c>
      <c r="I124" s="13" t="n">
        <v>64.4</v>
      </c>
      <c r="K124" s="8" t="n">
        <v>3.98194146958893</v>
      </c>
      <c r="L124" s="8" t="n">
        <v>18068.1758995317</v>
      </c>
      <c r="M124" s="8" t="n">
        <f aca="false">M123+L124</f>
        <v>606089.221312987</v>
      </c>
      <c r="N124" s="5" t="str">
        <f aca="false">IF(L124&gt;0,"прибыль",IF(L124&lt;0,"убыток","ноль"))</f>
        <v>прибыль</v>
      </c>
      <c r="O124" s="6" t="n">
        <f aca="false">IF(L124&lt;0,O123+1,0)</f>
        <v>0</v>
      </c>
      <c r="P124" s="6" t="n">
        <v>6</v>
      </c>
    </row>
    <row r="125" customFormat="false" ht="15" hidden="false" customHeight="false" outlineLevel="0" collapsed="false">
      <c r="A125" s="6" t="n">
        <v>120</v>
      </c>
      <c r="B125" s="5" t="s">
        <v>76</v>
      </c>
      <c r="C125" s="5" t="s">
        <v>25</v>
      </c>
      <c r="D125" s="11" t="n">
        <v>44284</v>
      </c>
      <c r="E125" s="11" t="n">
        <v>44340</v>
      </c>
      <c r="F125" s="5" t="s">
        <v>73</v>
      </c>
      <c r="G125" s="12" t="n">
        <v>135405.60101623</v>
      </c>
      <c r="H125" s="13" t="n">
        <v>64.4</v>
      </c>
      <c r="I125" s="13" t="n">
        <v>66.74</v>
      </c>
      <c r="J125" s="5" t="s">
        <v>74</v>
      </c>
      <c r="K125" s="8" t="n">
        <v>25.5301137863569</v>
      </c>
      <c r="L125" s="8" t="n">
        <v>17664.84774795</v>
      </c>
      <c r="M125" s="8" t="n">
        <f aca="false">M124+L125</f>
        <v>623754.069060937</v>
      </c>
      <c r="N125" s="5" t="str">
        <f aca="false">IF(L125&gt;0,"прибыль",IF(L125&lt;0,"убыток","ноль"))</f>
        <v>прибыль</v>
      </c>
      <c r="O125" s="6" t="n">
        <f aca="false">IF(L125&lt;0,O124+1,0)</f>
        <v>0</v>
      </c>
      <c r="P125" s="6" t="n">
        <v>39</v>
      </c>
    </row>
    <row r="126" customFormat="false" ht="15" hidden="false" customHeight="false" outlineLevel="0" collapsed="false">
      <c r="A126" s="6" t="n">
        <v>121</v>
      </c>
      <c r="B126" s="5" t="s">
        <v>76</v>
      </c>
      <c r="C126" s="5" t="s">
        <v>25</v>
      </c>
      <c r="D126" s="11" t="n">
        <v>44340</v>
      </c>
      <c r="E126" s="11" t="n">
        <v>44384</v>
      </c>
      <c r="F126" s="5" t="s">
        <v>73</v>
      </c>
      <c r="G126" s="12" t="n">
        <v>364611.707547456</v>
      </c>
      <c r="H126" s="13" t="n">
        <v>66.74</v>
      </c>
      <c r="I126" s="13" t="n">
        <v>74.85</v>
      </c>
      <c r="J126" s="5" t="s">
        <v>74</v>
      </c>
      <c r="K126" s="8" t="n">
        <v>53.1615233487617</v>
      </c>
      <c r="L126" s="8" t="n">
        <v>39603.3465969412</v>
      </c>
      <c r="M126" s="8" t="n">
        <f aca="false">M125+L126</f>
        <v>663357.415657878</v>
      </c>
      <c r="N126" s="5" t="str">
        <f aca="false">IF(L126&gt;0,"прибыль",IF(L126&lt;0,"убыток","ноль"))</f>
        <v>прибыль</v>
      </c>
      <c r="O126" s="6" t="n">
        <f aca="false">IF(L126&lt;0,O125+1,0)</f>
        <v>0</v>
      </c>
      <c r="P126" s="6" t="n">
        <v>32</v>
      </c>
    </row>
    <row r="127" customFormat="false" ht="15" hidden="false" customHeight="false" outlineLevel="0" collapsed="false">
      <c r="A127" s="6" t="n">
        <v>122</v>
      </c>
      <c r="B127" s="5" t="s">
        <v>76</v>
      </c>
      <c r="C127" s="5" t="s">
        <v>25</v>
      </c>
      <c r="D127" s="11" t="n">
        <v>44384</v>
      </c>
      <c r="E127" s="11" t="n">
        <v>44397</v>
      </c>
      <c r="F127" s="5" t="s">
        <v>73</v>
      </c>
      <c r="G127" s="12" t="n">
        <v>232486.230091739</v>
      </c>
      <c r="H127" s="13" t="n">
        <v>74.85</v>
      </c>
      <c r="I127" s="13" t="n">
        <v>68.71</v>
      </c>
      <c r="K127" s="8" t="n">
        <v>11.8271184255834</v>
      </c>
      <c r="L127" s="8" t="n">
        <v>4044.31130150406</v>
      </c>
      <c r="M127" s="8" t="n">
        <f aca="false">M126+L127</f>
        <v>667401.726959382</v>
      </c>
      <c r="N127" s="5" t="str">
        <f aca="false">IF(L127&gt;0,"прибыль",IF(L127&lt;0,"убыток","ноль"))</f>
        <v>прибыль</v>
      </c>
      <c r="O127" s="6" t="n">
        <f aca="false">IF(L127&lt;0,O126+1,0)</f>
        <v>0</v>
      </c>
      <c r="P127" s="6" t="n">
        <v>9</v>
      </c>
    </row>
    <row r="128" customFormat="false" ht="15" hidden="false" customHeight="false" outlineLevel="0" collapsed="false">
      <c r="A128" s="6" t="n">
        <v>123</v>
      </c>
      <c r="B128" s="5" t="s">
        <v>76</v>
      </c>
      <c r="C128" s="5" t="s">
        <v>25</v>
      </c>
      <c r="D128" s="11" t="n">
        <v>44397</v>
      </c>
      <c r="E128" s="11" t="n">
        <v>44400</v>
      </c>
      <c r="F128" s="5" t="s">
        <v>73</v>
      </c>
      <c r="G128" s="12" t="n">
        <v>109047.32261165</v>
      </c>
      <c r="H128" s="13" t="n">
        <v>68.71</v>
      </c>
      <c r="I128" s="13" t="n">
        <v>73.62</v>
      </c>
      <c r="K128" s="8" t="n">
        <v>5.94276568137018</v>
      </c>
      <c r="L128" s="8" t="n">
        <v>9802.04825007255</v>
      </c>
      <c r="M128" s="8" t="n">
        <f aca="false">M127+L128</f>
        <v>677203.775209454</v>
      </c>
      <c r="N128" s="5" t="str">
        <f aca="false">IF(L128&gt;0,"прибыль",IF(L128&lt;0,"убыток","ноль"))</f>
        <v>прибыль</v>
      </c>
      <c r="O128" s="6" t="n">
        <f aca="false">IF(L128&lt;0,O127+1,0)</f>
        <v>0</v>
      </c>
      <c r="P128" s="6" t="n">
        <v>3</v>
      </c>
    </row>
    <row r="129" customFormat="false" ht="15" hidden="false" customHeight="false" outlineLevel="0" collapsed="false">
      <c r="A129" s="6" t="n">
        <v>124</v>
      </c>
      <c r="B129" s="5" t="s">
        <v>76</v>
      </c>
      <c r="C129" s="5" t="s">
        <v>25</v>
      </c>
      <c r="D129" s="11" t="n">
        <v>44400</v>
      </c>
      <c r="E129" s="11" t="n">
        <v>44428</v>
      </c>
      <c r="F129" s="5" t="s">
        <v>73</v>
      </c>
      <c r="G129" s="12" t="n">
        <v>633799.142099985</v>
      </c>
      <c r="H129" s="13" t="n">
        <v>73.62</v>
      </c>
      <c r="I129" s="13" t="n">
        <v>66.72</v>
      </c>
      <c r="J129" s="5" t="s">
        <v>74</v>
      </c>
      <c r="K129" s="8" t="n">
        <v>44.7904838111583</v>
      </c>
      <c r="L129" s="8" t="n">
        <v>4239.5713165518</v>
      </c>
      <c r="M129" s="8" t="n">
        <f aca="false">M128+L129</f>
        <v>681443.346526006</v>
      </c>
      <c r="N129" s="5" t="str">
        <f aca="false">IF(L129&gt;0,"прибыль",IF(L129&lt;0,"убыток","ноль"))</f>
        <v>прибыль</v>
      </c>
      <c r="O129" s="6" t="n">
        <f aca="false">IF(L129&lt;0,O128+1,0)</f>
        <v>0</v>
      </c>
      <c r="P129" s="6" t="n">
        <v>20</v>
      </c>
    </row>
    <row r="130" customFormat="false" ht="15" hidden="false" customHeight="false" outlineLevel="0" collapsed="false">
      <c r="A130" s="6" t="n">
        <v>125</v>
      </c>
      <c r="B130" s="5" t="s">
        <v>76</v>
      </c>
      <c r="C130" s="5" t="s">
        <v>25</v>
      </c>
      <c r="D130" s="11" t="n">
        <v>44432</v>
      </c>
      <c r="E130" s="11" t="n">
        <v>44496</v>
      </c>
      <c r="F130" s="5" t="s">
        <v>73</v>
      </c>
      <c r="G130" s="12" t="n">
        <v>591897.26328422</v>
      </c>
      <c r="H130" s="13" t="n">
        <v>68.78</v>
      </c>
      <c r="I130" s="13" t="n">
        <v>86.21</v>
      </c>
      <c r="J130" s="5" t="s">
        <v>74</v>
      </c>
      <c r="K130" s="8" t="n">
        <v>66.4375002952927</v>
      </c>
      <c r="L130" s="8" t="n">
        <v>144889.041837119</v>
      </c>
      <c r="M130" s="8" t="n">
        <f aca="false">M129+L130</f>
        <v>826332.388363125</v>
      </c>
      <c r="N130" s="5" t="str">
        <f aca="false">IF(L130&gt;0,"прибыль",IF(L130&lt;0,"убыток","ноль"))</f>
        <v>прибыль</v>
      </c>
      <c r="O130" s="6" t="n">
        <f aca="false">IF(L130&lt;0,O129+1,0)</f>
        <v>0</v>
      </c>
      <c r="P130" s="6" t="n">
        <v>46</v>
      </c>
    </row>
    <row r="131" customFormat="false" ht="15" hidden="false" customHeight="false" outlineLevel="0" collapsed="false">
      <c r="A131" s="6" t="n">
        <v>126</v>
      </c>
      <c r="B131" s="5" t="s">
        <v>76</v>
      </c>
      <c r="C131" s="5" t="s">
        <v>25</v>
      </c>
      <c r="D131" s="11" t="n">
        <v>44497</v>
      </c>
      <c r="E131" s="11" t="n">
        <v>44498</v>
      </c>
      <c r="F131" s="5" t="s">
        <v>73</v>
      </c>
      <c r="G131" s="12" t="n">
        <v>714862.578436072</v>
      </c>
      <c r="H131" s="13" t="n">
        <v>84.13</v>
      </c>
      <c r="I131" s="13" t="n">
        <v>84.56</v>
      </c>
      <c r="K131" s="8" t="n">
        <v>71.6005339592132</v>
      </c>
      <c r="L131" s="8" t="n">
        <v>2213.92177816068</v>
      </c>
      <c r="M131" s="8" t="n">
        <f aca="false">M130+L131</f>
        <v>828546.310141285</v>
      </c>
      <c r="N131" s="5" t="str">
        <f aca="false">IF(L131&gt;0,"прибыль",IF(L131&lt;0,"убыток","ноль"))</f>
        <v>прибыль</v>
      </c>
      <c r="O131" s="6" t="n">
        <f aca="false">IF(L131&lt;0,O130+1,0)</f>
        <v>0</v>
      </c>
      <c r="P131" s="6" t="n">
        <v>1</v>
      </c>
    </row>
    <row r="132" customFormat="false" ht="15" hidden="false" customHeight="false" outlineLevel="0" collapsed="false">
      <c r="A132" s="6" t="n">
        <v>127</v>
      </c>
      <c r="B132" s="5" t="s">
        <v>76</v>
      </c>
      <c r="C132" s="5" t="s">
        <v>25</v>
      </c>
      <c r="D132" s="11" t="n">
        <v>44529</v>
      </c>
      <c r="E132" s="11" t="n">
        <v>44537</v>
      </c>
      <c r="F132" s="5" t="s">
        <v>75</v>
      </c>
      <c r="G132" s="12" t="n">
        <v>289701.734939856</v>
      </c>
      <c r="H132" s="13" t="n">
        <v>72.53</v>
      </c>
      <c r="I132" s="13" t="n">
        <v>73.51</v>
      </c>
      <c r="J132" s="5" t="s">
        <v>74</v>
      </c>
      <c r="K132" s="8" t="n">
        <v>29.592528394531</v>
      </c>
      <c r="L132" s="8" t="n">
        <v>-12476.6905393016</v>
      </c>
      <c r="M132" s="8" t="n">
        <f aca="false">M131+L132</f>
        <v>816069.619601984</v>
      </c>
      <c r="N132" s="5" t="str">
        <f aca="false">IF(L132&gt;0,"прибыль",IF(L132&lt;0,"убыток","ноль"))</f>
        <v>убыток</v>
      </c>
      <c r="O132" s="6" t="n">
        <f aca="false">IF(L132&lt;0,O131+1,0)</f>
        <v>1</v>
      </c>
      <c r="P132" s="6" t="n">
        <v>6</v>
      </c>
    </row>
    <row r="133" customFormat="false" ht="15" hidden="false" customHeight="false" outlineLevel="0" collapsed="false">
      <c r="A133" s="6" t="n">
        <v>128</v>
      </c>
      <c r="B133" s="5" t="s">
        <v>76</v>
      </c>
      <c r="C133" s="5" t="s">
        <v>25</v>
      </c>
      <c r="D133" s="11" t="n">
        <v>44540</v>
      </c>
      <c r="E133" s="11" t="n">
        <v>44543</v>
      </c>
      <c r="F133" s="5" t="s">
        <v>75</v>
      </c>
      <c r="G133" s="12" t="n">
        <v>263512.499402139</v>
      </c>
      <c r="H133" s="13" t="n">
        <v>74.15</v>
      </c>
      <c r="I133" s="13" t="n">
        <v>75.4</v>
      </c>
      <c r="K133" s="8" t="n">
        <v>26.6290295829654</v>
      </c>
      <c r="L133" s="8" t="n">
        <v>-5582.22188461316</v>
      </c>
      <c r="M133" s="8" t="n">
        <f aca="false">M132+L133</f>
        <v>810487.397717371</v>
      </c>
      <c r="N133" s="5" t="str">
        <f aca="false">IF(L133&gt;0,"прибыль",IF(L133&lt;0,"убыток","ноль"))</f>
        <v>убыток</v>
      </c>
      <c r="O133" s="6" t="n">
        <f aca="false">IF(L133&lt;0,O132+1,0)</f>
        <v>2</v>
      </c>
      <c r="P133" s="6" t="n">
        <v>1</v>
      </c>
    </row>
    <row r="134" customFormat="false" ht="15" hidden="false" customHeight="false" outlineLevel="0" collapsed="false">
      <c r="A134" s="6" t="n">
        <v>129</v>
      </c>
      <c r="B134" s="5" t="s">
        <v>76</v>
      </c>
      <c r="C134" s="5" t="s">
        <v>25</v>
      </c>
      <c r="D134" s="11" t="n">
        <v>44547</v>
      </c>
      <c r="E134" s="11" t="n">
        <v>44558</v>
      </c>
      <c r="F134" s="5" t="s">
        <v>75</v>
      </c>
      <c r="G134" s="12" t="n">
        <v>423928.793457792</v>
      </c>
      <c r="H134" s="13" t="n">
        <v>74.67</v>
      </c>
      <c r="I134" s="13" t="n">
        <v>78.7</v>
      </c>
      <c r="K134" s="8" t="n">
        <v>43.4788155607117</v>
      </c>
      <c r="L134" s="8" t="n">
        <v>-21762.203114212</v>
      </c>
      <c r="M134" s="8" t="n">
        <f aca="false">M133+L134</f>
        <v>788725.194603159</v>
      </c>
      <c r="N134" s="5" t="str">
        <f aca="false">IF(L134&gt;0,"прибыль",IF(L134&lt;0,"убыток","ноль"))</f>
        <v>убыток</v>
      </c>
      <c r="O134" s="6" t="n">
        <f aca="false">IF(L134&lt;0,O133+1,0)</f>
        <v>3</v>
      </c>
      <c r="P134" s="6" t="n">
        <v>7</v>
      </c>
    </row>
    <row r="135" customFormat="false" ht="15" hidden="false" customHeight="false" outlineLevel="0" collapsed="false">
      <c r="A135" s="6" t="n">
        <v>130</v>
      </c>
      <c r="B135" s="5" t="s">
        <v>76</v>
      </c>
      <c r="C135" s="5" t="s">
        <v>25</v>
      </c>
      <c r="D135" s="11" t="n">
        <v>44559</v>
      </c>
      <c r="E135" s="11" t="n">
        <v>44564</v>
      </c>
      <c r="F135" s="5" t="s">
        <v>75</v>
      </c>
      <c r="G135" s="12" t="n">
        <v>438028.231420766</v>
      </c>
      <c r="H135" s="13" t="n">
        <v>79.03</v>
      </c>
      <c r="I135" s="13" t="n">
        <v>79.29</v>
      </c>
      <c r="K135" s="8" t="n">
        <v>43.9345273719003</v>
      </c>
      <c r="L135" s="8" t="n">
        <v>-2678.01912384574</v>
      </c>
      <c r="M135" s="8" t="n">
        <f aca="false">M134+L135</f>
        <v>786047.175479313</v>
      </c>
      <c r="N135" s="5" t="str">
        <f aca="false">IF(L135&gt;0,"прибыль",IF(L135&lt;0,"убыток","ноль"))</f>
        <v>убыток</v>
      </c>
      <c r="O135" s="6" t="n">
        <f aca="false">IF(L135&lt;0,O134+1,0)</f>
        <v>4</v>
      </c>
      <c r="P135" s="6" t="n">
        <v>2</v>
      </c>
    </row>
    <row r="136" customFormat="false" ht="15" hidden="false" customHeight="false" outlineLevel="0" collapsed="false">
      <c r="A136" s="6" t="n">
        <v>131</v>
      </c>
      <c r="B136" s="5" t="s">
        <v>76</v>
      </c>
      <c r="C136" s="5" t="s">
        <v>25</v>
      </c>
      <c r="D136" s="11" t="n">
        <v>44565</v>
      </c>
      <c r="E136" s="11" t="n">
        <v>44568</v>
      </c>
      <c r="F136" s="5" t="s">
        <v>75</v>
      </c>
      <c r="G136" s="12" t="n">
        <v>540576.315661442</v>
      </c>
      <c r="H136" s="13" t="n">
        <v>79</v>
      </c>
      <c r="I136" s="13" t="n">
        <v>81.99</v>
      </c>
      <c r="K136" s="8" t="n">
        <v>55.0849843157024</v>
      </c>
      <c r="L136" s="8" t="n">
        <v>-20602.139975481</v>
      </c>
      <c r="M136" s="8" t="n">
        <f aca="false">M135+L136</f>
        <v>765445.035503832</v>
      </c>
      <c r="N136" s="5" t="str">
        <f aca="false">IF(L136&gt;0,"прибыль",IF(L136&lt;0,"убыток","ноль"))</f>
        <v>убыток</v>
      </c>
      <c r="O136" s="6" t="n">
        <f aca="false">IF(L136&lt;0,O135+1,0)</f>
        <v>5</v>
      </c>
      <c r="P136" s="6" t="n">
        <v>3</v>
      </c>
    </row>
    <row r="137" customFormat="false" ht="15" hidden="false" customHeight="false" outlineLevel="0" collapsed="false">
      <c r="A137" s="6" t="n">
        <v>132</v>
      </c>
      <c r="B137" s="5" t="s">
        <v>76</v>
      </c>
      <c r="C137" s="5" t="s">
        <v>25</v>
      </c>
      <c r="D137" s="11" t="n">
        <v>44572</v>
      </c>
      <c r="E137" s="11" t="n">
        <v>44573</v>
      </c>
      <c r="F137" s="5" t="s">
        <v>75</v>
      </c>
      <c r="G137" s="12" t="n">
        <v>567480.687776522</v>
      </c>
      <c r="H137" s="13" t="n">
        <v>80.89</v>
      </c>
      <c r="I137" s="13" t="n">
        <v>83.74</v>
      </c>
      <c r="K137" s="8" t="n">
        <v>57.8152085806148</v>
      </c>
      <c r="L137" s="8" t="n">
        <v>-21400.6112678314</v>
      </c>
      <c r="M137" s="8" t="n">
        <f aca="false">M136+L137</f>
        <v>744044.424236</v>
      </c>
      <c r="N137" s="5" t="str">
        <f aca="false">IF(L137&gt;0,"прибыль",IF(L137&lt;0,"убыток","ноль"))</f>
        <v>убыток</v>
      </c>
      <c r="O137" s="6" t="n">
        <f aca="false">IF(L137&lt;0,O136+1,0)</f>
        <v>6</v>
      </c>
      <c r="P137" s="6" t="n">
        <v>1</v>
      </c>
    </row>
    <row r="138" customFormat="false" ht="15" hidden="false" customHeight="false" outlineLevel="0" collapsed="false">
      <c r="A138" s="6" t="n">
        <v>133</v>
      </c>
      <c r="B138" s="5" t="s">
        <v>76</v>
      </c>
      <c r="C138" s="5" t="s">
        <v>25</v>
      </c>
      <c r="D138" s="11" t="n">
        <v>44790</v>
      </c>
      <c r="E138" s="11" t="n">
        <v>44792</v>
      </c>
      <c r="F138" s="5" t="s">
        <v>75</v>
      </c>
      <c r="G138" s="12" t="n">
        <v>535764.081250333</v>
      </c>
      <c r="H138" s="13" t="n">
        <v>94.15</v>
      </c>
      <c r="I138" s="13" t="n">
        <v>96.9</v>
      </c>
      <c r="K138" s="8" t="n">
        <v>54.4237186791748</v>
      </c>
      <c r="L138" s="8" t="n">
        <v>-17000.6348015103</v>
      </c>
      <c r="M138" s="8" t="n">
        <f aca="false">M137+L138</f>
        <v>727043.78943449</v>
      </c>
      <c r="N138" s="5" t="str">
        <f aca="false">IF(L138&gt;0,"прибыль",IF(L138&lt;0,"убыток","ноль"))</f>
        <v>убыток</v>
      </c>
      <c r="O138" s="6" t="n">
        <f aca="false">IF(L138&lt;0,O137+1,0)</f>
        <v>7</v>
      </c>
      <c r="P138" s="6" t="n">
        <v>2</v>
      </c>
    </row>
    <row r="139" customFormat="false" ht="15" hidden="false" customHeight="false" outlineLevel="0" collapsed="false">
      <c r="A139" s="6" t="n">
        <v>134</v>
      </c>
      <c r="B139" s="5" t="s">
        <v>76</v>
      </c>
      <c r="C139" s="5" t="s">
        <v>25</v>
      </c>
      <c r="D139" s="11" t="n">
        <v>44795</v>
      </c>
      <c r="E139" s="11" t="n">
        <v>44804</v>
      </c>
      <c r="F139" s="5" t="s">
        <v>75</v>
      </c>
      <c r="G139" s="12" t="n">
        <v>117929.816721805</v>
      </c>
      <c r="H139" s="13" t="n">
        <v>96.43</v>
      </c>
      <c r="I139" s="13" t="n">
        <v>100.96</v>
      </c>
      <c r="K139" s="8" t="n">
        <v>32.5441157270747</v>
      </c>
      <c r="L139" s="8" t="n">
        <v>-5889.73933409791</v>
      </c>
      <c r="M139" s="8" t="n">
        <f aca="false">M138+L139</f>
        <v>721154.050100392</v>
      </c>
      <c r="N139" s="5" t="str">
        <f aca="false">IF(L139&gt;0,"прибыль",IF(L139&lt;0,"убыток","ноль"))</f>
        <v>убыток</v>
      </c>
      <c r="O139" s="6" t="n">
        <f aca="false">IF(L139&lt;0,O138+1,0)</f>
        <v>8</v>
      </c>
      <c r="P139" s="6" t="n">
        <v>7</v>
      </c>
    </row>
    <row r="140" customFormat="false" ht="15" hidden="false" customHeight="false" outlineLevel="0" collapsed="false">
      <c r="A140" s="6" t="n">
        <v>135</v>
      </c>
      <c r="B140" s="5" t="s">
        <v>76</v>
      </c>
      <c r="C140" s="5" t="s">
        <v>25</v>
      </c>
      <c r="D140" s="11" t="n">
        <v>44804</v>
      </c>
      <c r="E140" s="11" t="n">
        <v>44841</v>
      </c>
      <c r="F140" s="5" t="s">
        <v>75</v>
      </c>
      <c r="G140" s="12" t="n">
        <v>485162.543780133</v>
      </c>
      <c r="H140" s="13" t="n">
        <v>100.96</v>
      </c>
      <c r="I140" s="13" t="n">
        <v>95.22</v>
      </c>
      <c r="J140" s="5" t="s">
        <v>74</v>
      </c>
      <c r="K140" s="8" t="n">
        <v>27.7157104957388</v>
      </c>
      <c r="L140" s="8" t="n">
        <v>6817.67605548271</v>
      </c>
      <c r="M140" s="8" t="n">
        <f aca="false">M139+L140</f>
        <v>727971.726155875</v>
      </c>
      <c r="N140" s="5" t="str">
        <f aca="false">IF(L140&gt;0,"прибыль",IF(L140&lt;0,"убыток","ноль"))</f>
        <v>прибыль</v>
      </c>
      <c r="O140" s="6" t="n">
        <f aca="false">IF(L140&lt;0,O139+1,0)</f>
        <v>0</v>
      </c>
      <c r="P140" s="6" t="n">
        <v>27</v>
      </c>
    </row>
    <row r="141" customFormat="false" ht="15" hidden="false" customHeight="false" outlineLevel="0" collapsed="false">
      <c r="A141" s="6" t="n">
        <v>136</v>
      </c>
      <c r="B141" s="5" t="s">
        <v>76</v>
      </c>
      <c r="C141" s="5" t="s">
        <v>25</v>
      </c>
      <c r="D141" s="11" t="n">
        <v>44845</v>
      </c>
      <c r="E141" s="11" t="n">
        <v>45013</v>
      </c>
      <c r="F141" s="5" t="s">
        <v>75</v>
      </c>
      <c r="G141" s="12" t="n">
        <v>193758.338557072</v>
      </c>
      <c r="H141" s="13" t="n">
        <v>95.83</v>
      </c>
      <c r="I141" s="13" t="n">
        <v>77.93</v>
      </c>
      <c r="J141" s="5" t="s">
        <v>74</v>
      </c>
      <c r="K141" s="8" t="n">
        <v>48.5574946406268</v>
      </c>
      <c r="L141" s="8" t="n">
        <v>48984.7228675554</v>
      </c>
      <c r="M141" s="8" t="n">
        <f aca="false">M140+L141</f>
        <v>776956.44902343</v>
      </c>
      <c r="N141" s="5" t="str">
        <f aca="false">IF(L141&gt;0,"прибыль",IF(L141&lt;0,"убыток","ноль"))</f>
        <v>прибыль</v>
      </c>
      <c r="O141" s="6" t="n">
        <f aca="false">IF(L141&lt;0,O140+1,0)</f>
        <v>0</v>
      </c>
      <c r="P141" s="6" t="n">
        <v>116</v>
      </c>
    </row>
    <row r="142" customFormat="false" ht="15" hidden="false" customHeight="false" outlineLevel="0" collapsed="false">
      <c r="A142" s="6" t="n">
        <v>137</v>
      </c>
      <c r="B142" s="5" t="s">
        <v>76</v>
      </c>
      <c r="C142" s="5" t="s">
        <v>25</v>
      </c>
      <c r="D142" s="11" t="n">
        <v>45013</v>
      </c>
      <c r="E142" s="11" t="n">
        <v>45054</v>
      </c>
      <c r="F142" s="5" t="s">
        <v>75</v>
      </c>
      <c r="G142" s="12" t="n">
        <v>247740.640042989</v>
      </c>
      <c r="H142" s="13" t="n">
        <v>77.93</v>
      </c>
      <c r="I142" s="13" t="n">
        <v>76.75</v>
      </c>
      <c r="J142" s="5" t="s">
        <v>74</v>
      </c>
      <c r="K142" s="8" t="n">
        <v>26.6594902031671</v>
      </c>
      <c r="L142" s="8" t="n">
        <v>57008.2418020151</v>
      </c>
      <c r="M142" s="8" t="n">
        <f aca="false">M141+L142</f>
        <v>833964.690825445</v>
      </c>
      <c r="N142" s="5" t="str">
        <f aca="false">IF(L142&gt;0,"прибыль",IF(L142&lt;0,"убыток","ноль"))</f>
        <v>прибыль</v>
      </c>
      <c r="O142" s="6" t="n">
        <f aca="false">IF(L142&lt;0,O141+1,0)</f>
        <v>0</v>
      </c>
      <c r="P142" s="6" t="n">
        <v>28</v>
      </c>
    </row>
    <row r="143" customFormat="false" ht="15" hidden="false" customHeight="false" outlineLevel="0" collapsed="false">
      <c r="A143" s="6" t="n">
        <v>138</v>
      </c>
      <c r="B143" s="5" t="s">
        <v>76</v>
      </c>
      <c r="C143" s="5" t="s">
        <v>25</v>
      </c>
      <c r="D143" s="11" t="n">
        <v>45054</v>
      </c>
      <c r="E143" s="11" t="n">
        <v>45132</v>
      </c>
      <c r="F143" s="5" t="s">
        <v>75</v>
      </c>
      <c r="G143" s="12" t="n">
        <v>867376.914756654</v>
      </c>
      <c r="H143" s="13" t="n">
        <v>76.75</v>
      </c>
      <c r="I143" s="13" t="n">
        <v>82.99</v>
      </c>
      <c r="J143" s="5" t="s">
        <v>74</v>
      </c>
      <c r="K143" s="8" t="n">
        <v>43.5031177159426</v>
      </c>
      <c r="L143" s="8" t="n">
        <v>137238.050746571</v>
      </c>
      <c r="M143" s="8" t="n">
        <f aca="false">M142+L143</f>
        <v>971202.741572016</v>
      </c>
      <c r="N143" s="5" t="str">
        <f aca="false">IF(L143&gt;0,"прибыль",IF(L143&lt;0,"убыток","ноль"))</f>
        <v>прибыль</v>
      </c>
      <c r="O143" s="6" t="n">
        <f aca="false">IF(L143&lt;0,O142+1,0)</f>
        <v>0</v>
      </c>
      <c r="P143" s="6" t="n">
        <v>54</v>
      </c>
    </row>
    <row r="144" customFormat="false" ht="15" hidden="false" customHeight="false" outlineLevel="0" collapsed="false">
      <c r="A144" s="6" t="n">
        <v>139</v>
      </c>
      <c r="B144" s="5" t="s">
        <v>76</v>
      </c>
      <c r="C144" s="5" t="s">
        <v>25</v>
      </c>
      <c r="D144" s="11" t="n">
        <v>45247</v>
      </c>
      <c r="E144" s="11" t="n">
        <v>45251</v>
      </c>
      <c r="F144" s="5" t="s">
        <v>75</v>
      </c>
      <c r="G144" s="12" t="n">
        <v>549941.251219619</v>
      </c>
      <c r="H144" s="13" t="n">
        <v>78.86</v>
      </c>
      <c r="I144" s="13" t="n">
        <v>82.47</v>
      </c>
      <c r="K144" s="8" t="n">
        <v>56.3224414755008</v>
      </c>
      <c r="L144" s="8" t="n">
        <v>-26622.6495122527</v>
      </c>
      <c r="M144" s="8" t="n">
        <f aca="false">M143+L144</f>
        <v>944580.092059764</v>
      </c>
      <c r="N144" s="5" t="str">
        <f aca="false">IF(L144&gt;0,"прибыль",IF(L144&lt;0,"убыток","ноль"))</f>
        <v>убыток</v>
      </c>
      <c r="O144" s="6" t="n">
        <f aca="false">IF(L144&lt;0,O143+1,0)</f>
        <v>1</v>
      </c>
      <c r="P144" s="6" t="n">
        <v>2</v>
      </c>
    </row>
    <row r="145" customFormat="false" ht="15" hidden="false" customHeight="false" outlineLevel="0" collapsed="false">
      <c r="A145" s="6" t="n">
        <v>140</v>
      </c>
      <c r="B145" s="5" t="s">
        <v>76</v>
      </c>
      <c r="C145" s="5" t="s">
        <v>25</v>
      </c>
      <c r="D145" s="11" t="n">
        <v>45253</v>
      </c>
      <c r="E145" s="11" t="n">
        <v>45317</v>
      </c>
      <c r="F145" s="5" t="s">
        <v>75</v>
      </c>
      <c r="G145" s="12" t="n">
        <v>657366.322034589</v>
      </c>
      <c r="H145" s="13" t="n">
        <v>81.65</v>
      </c>
      <c r="I145" s="13" t="n">
        <v>82.3</v>
      </c>
      <c r="J145" s="5" t="s">
        <v>74</v>
      </c>
      <c r="K145" s="8" t="n">
        <v>67.875005341257</v>
      </c>
      <c r="L145" s="8" t="n">
        <v>-42835.3377613041</v>
      </c>
      <c r="M145" s="8" t="n">
        <f aca="false">M144+L145</f>
        <v>901744.75429846</v>
      </c>
      <c r="N145" s="5" t="str">
        <f aca="false">IF(L145&gt;0,"прибыль",IF(L145&lt;0,"убыток","ноль"))</f>
        <v>убыток</v>
      </c>
      <c r="O145" s="6" t="n">
        <f aca="false">IF(L145&lt;0,O144+1,0)</f>
        <v>2</v>
      </c>
      <c r="P145" s="6" t="n">
        <v>44</v>
      </c>
    </row>
    <row r="146" customFormat="false" ht="15" hidden="false" customHeight="false" outlineLevel="0" collapsed="false">
      <c r="A146" s="6" t="n">
        <v>141</v>
      </c>
      <c r="B146" s="5" t="s">
        <v>76</v>
      </c>
      <c r="C146" s="5" t="s">
        <v>25</v>
      </c>
      <c r="D146" s="11" t="n">
        <v>45321</v>
      </c>
      <c r="E146" s="11" t="n">
        <v>45322</v>
      </c>
      <c r="F146" s="5" t="s">
        <v>75</v>
      </c>
      <c r="G146" s="12" t="n">
        <v>693373.078329714</v>
      </c>
      <c r="H146" s="13" t="n">
        <v>82.78</v>
      </c>
      <c r="I146" s="13" t="n">
        <v>82.69</v>
      </c>
      <c r="K146" s="8" t="n">
        <v>69.3671137228793</v>
      </c>
      <c r="L146" s="8" t="n">
        <v>-665.484911881625</v>
      </c>
      <c r="M146" s="8" t="n">
        <f aca="false">M145+L146</f>
        <v>901079.269386578</v>
      </c>
      <c r="N146" s="5" t="str">
        <f aca="false">IF(L146&gt;0,"прибыль",IF(L146&lt;0,"убыток","ноль"))</f>
        <v>убыток</v>
      </c>
      <c r="O146" s="6" t="n">
        <f aca="false">IF(L146&lt;0,O145+1,0)</f>
        <v>3</v>
      </c>
      <c r="P146" s="6" t="n">
        <v>1</v>
      </c>
    </row>
    <row r="147" customFormat="false" ht="15" hidden="false" customHeight="false" outlineLevel="0" collapsed="false">
      <c r="A147" s="6" t="n">
        <v>142</v>
      </c>
      <c r="B147" s="5" t="s">
        <v>76</v>
      </c>
      <c r="C147" s="5" t="s">
        <v>25</v>
      </c>
      <c r="D147" s="11" t="n">
        <v>45497</v>
      </c>
      <c r="E147" s="11" t="n">
        <v>45499</v>
      </c>
      <c r="F147" s="5" t="s">
        <v>75</v>
      </c>
      <c r="G147" s="12" t="n">
        <v>967836.189084432</v>
      </c>
      <c r="H147" s="13" t="n">
        <v>81.7</v>
      </c>
      <c r="I147" s="13" t="n">
        <v>82.55</v>
      </c>
      <c r="K147" s="8" t="n">
        <v>97.3623449344699</v>
      </c>
      <c r="L147" s="8" t="n">
        <v>-11671.8828654697</v>
      </c>
      <c r="M147" s="8" t="n">
        <f aca="false">M146+L147</f>
        <v>889407.386521108</v>
      </c>
      <c r="N147" s="5" t="str">
        <f aca="false">IF(L147&gt;0,"прибыль",IF(L147&lt;0,"убыток","ноль"))</f>
        <v>убыток</v>
      </c>
      <c r="O147" s="6" t="n">
        <f aca="false">IF(L147&lt;0,O146+1,0)</f>
        <v>4</v>
      </c>
      <c r="P147" s="6" t="n">
        <v>2</v>
      </c>
    </row>
    <row r="148" customFormat="false" ht="15" hidden="false" customHeight="false" outlineLevel="0" collapsed="false">
      <c r="A148" s="6" t="n">
        <v>143</v>
      </c>
      <c r="B148" s="5" t="s">
        <v>76</v>
      </c>
      <c r="C148" s="5" t="s">
        <v>25</v>
      </c>
      <c r="D148" s="11" t="n">
        <v>45502</v>
      </c>
      <c r="E148" s="11" t="n">
        <v>45506</v>
      </c>
      <c r="F148" s="5" t="s">
        <v>75</v>
      </c>
      <c r="G148" s="12" t="n">
        <v>946425.942045408</v>
      </c>
      <c r="H148" s="13" t="n">
        <v>81.26</v>
      </c>
      <c r="I148" s="13" t="n">
        <v>80.7</v>
      </c>
      <c r="J148" s="5" t="s">
        <v>74</v>
      </c>
      <c r="K148" s="8" t="n">
        <v>94.4282872885577</v>
      </c>
      <c r="L148" s="8" t="n">
        <v>4191.71003237349</v>
      </c>
      <c r="M148" s="8" t="n">
        <f aca="false">M147+L148</f>
        <v>893599.096553482</v>
      </c>
      <c r="N148" s="5" t="str">
        <f aca="false">IF(L148&gt;0,"прибыль",IF(L148&lt;0,"убыток","ноль"))</f>
        <v>прибыль</v>
      </c>
      <c r="O148" s="6" t="n">
        <f aca="false">IF(L148&lt;0,O147+1,0)</f>
        <v>0</v>
      </c>
      <c r="P148" s="6" t="n">
        <v>4</v>
      </c>
    </row>
    <row r="149" customFormat="false" ht="15" hidden="false" customHeight="false" outlineLevel="0" collapsed="false">
      <c r="A149" s="6" t="n">
        <v>144</v>
      </c>
      <c r="B149" s="5" t="s">
        <v>76</v>
      </c>
      <c r="C149" s="5" t="s">
        <v>25</v>
      </c>
      <c r="D149" s="11" t="n">
        <v>45509</v>
      </c>
      <c r="E149" s="11" t="n">
        <v>45517</v>
      </c>
      <c r="F149" s="5" t="s">
        <v>75</v>
      </c>
      <c r="G149" s="12" t="n">
        <v>777562.314338265</v>
      </c>
      <c r="H149" s="13" t="n">
        <v>77.44</v>
      </c>
      <c r="I149" s="13" t="n">
        <v>82.08</v>
      </c>
      <c r="K149" s="8" t="n">
        <v>80.1662961711411</v>
      </c>
      <c r="L149" s="8" t="n">
        <v>-48281.4610424629</v>
      </c>
      <c r="M149" s="8" t="n">
        <f aca="false">M148+L149</f>
        <v>845317.635511019</v>
      </c>
      <c r="N149" s="5" t="str">
        <f aca="false">IF(L149&gt;0,"прибыль",IF(L149&lt;0,"убыток","ноль"))</f>
        <v>убыток</v>
      </c>
      <c r="O149" s="6" t="n">
        <f aca="false">IF(L149&lt;0,O148+1,0)</f>
        <v>1</v>
      </c>
      <c r="P149" s="6" t="n">
        <v>6</v>
      </c>
    </row>
    <row r="150" customFormat="false" ht="15" hidden="false" customHeight="false" outlineLevel="0" collapsed="false">
      <c r="A150" s="6" t="n">
        <v>145</v>
      </c>
      <c r="B150" s="5" t="s">
        <v>76</v>
      </c>
      <c r="C150" s="5" t="s">
        <v>25</v>
      </c>
      <c r="D150" s="11" t="n">
        <v>45524</v>
      </c>
      <c r="E150" s="11" t="n">
        <v>45530</v>
      </c>
      <c r="F150" s="5" t="s">
        <v>75</v>
      </c>
      <c r="G150" s="12" t="n">
        <v>603408.952145134</v>
      </c>
      <c r="H150" s="13" t="n">
        <v>77.68</v>
      </c>
      <c r="I150" s="13" t="n">
        <v>79.82</v>
      </c>
      <c r="K150" s="8" t="n">
        <v>61.2397652258553</v>
      </c>
      <c r="L150" s="8" t="n">
        <v>-18038.6399920647</v>
      </c>
      <c r="M150" s="8" t="n">
        <f aca="false">M149+L150</f>
        <v>827278.995518954</v>
      </c>
      <c r="N150" s="5" t="str">
        <f aca="false">IF(L150&gt;0,"прибыль",IF(L150&lt;0,"убыток","ноль"))</f>
        <v>убыток</v>
      </c>
      <c r="O150" s="6" t="n">
        <f aca="false">IF(L150&lt;0,O149+1,0)</f>
        <v>2</v>
      </c>
      <c r="P150" s="6" t="n">
        <v>4</v>
      </c>
    </row>
    <row r="151" customFormat="false" ht="15" hidden="false" customHeight="false" outlineLevel="0" collapsed="false">
      <c r="A151" s="6" t="n">
        <v>146</v>
      </c>
      <c r="B151" s="5" t="s">
        <v>76</v>
      </c>
      <c r="C151" s="5" t="s">
        <v>25</v>
      </c>
      <c r="D151" s="11" t="n">
        <v>45537</v>
      </c>
      <c r="E151" s="11" t="n">
        <v>45586</v>
      </c>
      <c r="F151" s="5" t="s">
        <v>75</v>
      </c>
      <c r="G151" s="12" t="n">
        <v>539145.034559033</v>
      </c>
      <c r="H151" s="13" t="n">
        <v>78.8</v>
      </c>
      <c r="I151" s="13" t="n">
        <v>73.48</v>
      </c>
      <c r="J151" s="5" t="s">
        <v>74</v>
      </c>
      <c r="K151" s="8" t="n">
        <v>51.4387590485637</v>
      </c>
      <c r="L151" s="8" t="n">
        <v>49463.4493877431</v>
      </c>
      <c r="M151" s="8" t="n">
        <f aca="false">M150+L151</f>
        <v>876742.444906697</v>
      </c>
      <c r="N151" s="5" t="str">
        <f aca="false">IF(L151&gt;0,"прибыль",IF(L151&lt;0,"убыток","ноль"))</f>
        <v>прибыль</v>
      </c>
      <c r="O151" s="6" t="n">
        <f aca="false">IF(L151&lt;0,O150+1,0)</f>
        <v>0</v>
      </c>
      <c r="P151" s="6" t="n">
        <v>35</v>
      </c>
    </row>
    <row r="152" customFormat="false" ht="15" hidden="false" customHeight="false" outlineLevel="0" collapsed="false">
      <c r="A152" s="6" t="n">
        <v>147</v>
      </c>
      <c r="B152" s="5" t="s">
        <v>76</v>
      </c>
      <c r="C152" s="5" t="s">
        <v>25</v>
      </c>
      <c r="D152" s="11" t="n">
        <v>45587</v>
      </c>
      <c r="E152" s="11" t="n">
        <v>45595</v>
      </c>
      <c r="F152" s="5" t="s">
        <v>75</v>
      </c>
      <c r="G152" s="12" t="n">
        <v>416761.45562982</v>
      </c>
      <c r="H152" s="13" t="n">
        <v>74.25</v>
      </c>
      <c r="I152" s="13" t="n">
        <v>71.62</v>
      </c>
      <c r="K152" s="8" t="n">
        <v>40.9970212816083</v>
      </c>
      <c r="L152" s="8" t="n">
        <v>13541.488606193</v>
      </c>
      <c r="M152" s="8" t="n">
        <f aca="false">M151+L152</f>
        <v>890283.93351289</v>
      </c>
      <c r="N152" s="5" t="str">
        <f aca="false">IF(L152&gt;0,"прибыль",IF(L152&lt;0,"убыток","ноль"))</f>
        <v>прибыль</v>
      </c>
      <c r="O152" s="6" t="n">
        <f aca="false">IF(L152&lt;0,O151+1,0)</f>
        <v>0</v>
      </c>
      <c r="P152" s="6" t="n">
        <v>6</v>
      </c>
    </row>
    <row r="153" customFormat="false" ht="15" hidden="false" customHeight="false" outlineLevel="0" collapsed="false">
      <c r="A153" s="6" t="n">
        <v>148</v>
      </c>
      <c r="B153" s="5" t="s">
        <v>76</v>
      </c>
      <c r="C153" s="5" t="s">
        <v>25</v>
      </c>
      <c r="D153" s="11" t="n">
        <v>45596</v>
      </c>
      <c r="E153" s="11" t="n">
        <v>45630</v>
      </c>
      <c r="F153" s="5" t="s">
        <v>75</v>
      </c>
      <c r="G153" s="12" t="n">
        <v>592428.343208677</v>
      </c>
      <c r="H153" s="13" t="n">
        <v>73.03</v>
      </c>
      <c r="I153" s="13" t="n">
        <v>74</v>
      </c>
      <c r="J153" s="5" t="s">
        <v>74</v>
      </c>
      <c r="K153" s="8" t="n">
        <v>59.7569530986249</v>
      </c>
      <c r="L153" s="8" t="n">
        <v>-10342.1325082428</v>
      </c>
      <c r="M153" s="8" t="n">
        <f aca="false">M152+L153</f>
        <v>879941.801004648</v>
      </c>
      <c r="N153" s="5" t="str">
        <f aca="false">IF(L153&gt;0,"прибыль",IF(L153&lt;0,"убыток","ноль"))</f>
        <v>убыток</v>
      </c>
      <c r="O153" s="6" t="n">
        <f aca="false">IF(L153&lt;0,O152+1,0)</f>
        <v>1</v>
      </c>
      <c r="P153" s="6" t="n">
        <v>24</v>
      </c>
    </row>
    <row r="154" customFormat="false" ht="15" hidden="false" customHeight="false" outlineLevel="0" collapsed="false">
      <c r="A154" s="6" t="n">
        <v>149</v>
      </c>
      <c r="B154" s="5" t="s">
        <v>76</v>
      </c>
      <c r="C154" s="5" t="s">
        <v>25</v>
      </c>
      <c r="D154" s="11" t="n">
        <v>45631</v>
      </c>
      <c r="E154" s="11" t="n">
        <v>45653</v>
      </c>
      <c r="F154" s="5" t="s">
        <v>75</v>
      </c>
      <c r="G154" s="12" t="n">
        <v>782124.967517442</v>
      </c>
      <c r="H154" s="13" t="n">
        <v>72.64</v>
      </c>
      <c r="I154" s="13" t="n">
        <v>73.18</v>
      </c>
      <c r="K154" s="8" t="n">
        <v>78.5642235865858</v>
      </c>
      <c r="L154" s="8" t="n">
        <v>-7113.10092041791</v>
      </c>
      <c r="M154" s="8" t="n">
        <f aca="false">M153+L154</f>
        <v>872828.70008423</v>
      </c>
      <c r="N154" s="5" t="str">
        <f aca="false">IF(L154&gt;0,"прибыль",IF(L154&lt;0,"убыток","ноль"))</f>
        <v>убыток</v>
      </c>
      <c r="O154" s="6" t="n">
        <f aca="false">IF(L154&lt;0,O153+1,0)</f>
        <v>2</v>
      </c>
      <c r="P154" s="6" t="n">
        <v>16</v>
      </c>
    </row>
    <row r="155" customFormat="false" ht="15" hidden="false" customHeight="false" outlineLevel="0" collapsed="false">
      <c r="A155" s="6" t="n">
        <v>150</v>
      </c>
      <c r="B155" s="5" t="s">
        <v>76</v>
      </c>
      <c r="C155" s="5" t="s">
        <v>25</v>
      </c>
      <c r="D155" s="11" t="n">
        <v>45670</v>
      </c>
      <c r="E155" s="11" t="n">
        <v>45671</v>
      </c>
      <c r="F155" s="5" t="s">
        <v>73</v>
      </c>
      <c r="G155" s="12" t="n">
        <v>957082.685121714</v>
      </c>
      <c r="H155" s="13" t="n">
        <v>81.28</v>
      </c>
      <c r="I155" s="13" t="n">
        <v>80.47</v>
      </c>
      <c r="K155" s="8" t="n">
        <v>95.1566206161297</v>
      </c>
      <c r="L155" s="8" t="n">
        <v>-11128.1145414504</v>
      </c>
      <c r="M155" s="8" t="n">
        <f aca="false">M154+L155</f>
        <v>861700.585542779</v>
      </c>
      <c r="N155" s="5" t="str">
        <f aca="false">IF(L155&gt;0,"прибыль",IF(L155&lt;0,"убыток","ноль"))</f>
        <v>убыток</v>
      </c>
      <c r="O155" s="6" t="n">
        <f aca="false">IF(L155&lt;0,O154+1,0)</f>
        <v>3</v>
      </c>
      <c r="P155" s="6" t="n">
        <v>1</v>
      </c>
    </row>
    <row r="156" customFormat="false" ht="15" hidden="false" customHeight="false" outlineLevel="0" collapsed="false">
      <c r="A156" s="6" t="n">
        <v>151</v>
      </c>
      <c r="B156" s="5" t="s">
        <v>76</v>
      </c>
      <c r="C156" s="5" t="s">
        <v>25</v>
      </c>
      <c r="D156" s="11" t="n">
        <v>45672</v>
      </c>
      <c r="E156" s="11" t="n">
        <v>45673</v>
      </c>
      <c r="F156" s="5" t="s">
        <v>73</v>
      </c>
      <c r="G156" s="12" t="n">
        <v>938139.553820964</v>
      </c>
      <c r="H156" s="13" t="n">
        <v>80.26</v>
      </c>
      <c r="I156" s="13" t="n">
        <v>82.17</v>
      </c>
      <c r="K156" s="8" t="n">
        <v>94.8503573664752</v>
      </c>
      <c r="L156" s="8" t="n">
        <v>20633.1893302082</v>
      </c>
      <c r="M156" s="8" t="n">
        <f aca="false">M155+L156</f>
        <v>882333.774872988</v>
      </c>
      <c r="N156" s="5" t="str">
        <f aca="false">IF(L156&gt;0,"прибыль",IF(L156&lt;0,"убыток","ноль"))</f>
        <v>прибыль</v>
      </c>
      <c r="O156" s="6" t="n">
        <f aca="false">IF(L156&lt;0,O155+1,0)</f>
        <v>0</v>
      </c>
      <c r="P156" s="6" t="n">
        <v>1</v>
      </c>
    </row>
    <row r="157" customFormat="false" ht="15" hidden="false" customHeight="false" outlineLevel="0" collapsed="false">
      <c r="A157" s="6" t="n">
        <v>152</v>
      </c>
      <c r="B157" s="5" t="s">
        <v>76</v>
      </c>
      <c r="C157" s="5" t="s">
        <v>25</v>
      </c>
      <c r="D157" s="11" t="n">
        <v>45674</v>
      </c>
      <c r="E157" s="11" t="n">
        <v>45691</v>
      </c>
      <c r="F157" s="5" t="s">
        <v>73</v>
      </c>
      <c r="G157" s="12" t="n">
        <v>805416.039398653</v>
      </c>
      <c r="H157" s="13" t="n">
        <v>81.42</v>
      </c>
      <c r="I157" s="13" t="n">
        <v>76.8</v>
      </c>
      <c r="K157" s="8" t="n">
        <v>78.1866754048642</v>
      </c>
      <c r="L157" s="8" t="n">
        <v>-47176.7573754261</v>
      </c>
      <c r="M157" s="8" t="n">
        <f aca="false">M156+L157</f>
        <v>835157.017497561</v>
      </c>
      <c r="N157" s="5" t="str">
        <f aca="false">IF(L157&gt;0,"прибыль",IF(L157&lt;0,"убыток","ноль"))</f>
        <v>убыток</v>
      </c>
      <c r="O157" s="6" t="n">
        <f aca="false">IF(L157&lt;0,O156+1,0)</f>
        <v>1</v>
      </c>
      <c r="P157" s="6" t="n">
        <v>11</v>
      </c>
    </row>
    <row r="158" customFormat="false" ht="15" hidden="false" customHeight="false" outlineLevel="0" collapsed="false">
      <c r="A158" s="6" t="n">
        <v>153</v>
      </c>
      <c r="B158" s="5" t="s">
        <v>76</v>
      </c>
      <c r="C158" s="5" t="s">
        <v>25</v>
      </c>
      <c r="D158" s="11" t="n">
        <v>45693</v>
      </c>
      <c r="E158" s="11" t="n">
        <v>45719</v>
      </c>
      <c r="F158" s="5" t="s">
        <v>73</v>
      </c>
      <c r="G158" s="12" t="n">
        <v>845502.405370514</v>
      </c>
      <c r="H158" s="13" t="n">
        <v>76</v>
      </c>
      <c r="I158" s="13" t="n">
        <v>73.18</v>
      </c>
      <c r="K158" s="8" t="n">
        <v>83.0262506796361</v>
      </c>
      <c r="L158" s="8" t="n">
        <v>-30562.8233989864</v>
      </c>
      <c r="M158" s="8" t="n">
        <f aca="false">M157+L158</f>
        <v>804594.194098575</v>
      </c>
      <c r="N158" s="5" t="str">
        <f aca="false">IF(L158&gt;0,"прибыль",IF(L158&lt;0,"убыток","ноль"))</f>
        <v>убыток</v>
      </c>
      <c r="O158" s="6" t="n">
        <f aca="false">IF(L158&lt;0,O157+1,0)</f>
        <v>2</v>
      </c>
      <c r="P158" s="6" t="n">
        <v>18</v>
      </c>
    </row>
    <row r="159" customFormat="false" ht="15" hidden="false" customHeight="false" outlineLevel="0" collapsed="false">
      <c r="A159" s="6" t="n">
        <v>154</v>
      </c>
      <c r="B159" s="5" t="s">
        <v>76</v>
      </c>
      <c r="C159" s="5" t="s">
        <v>25</v>
      </c>
      <c r="D159" s="11" t="n">
        <v>45721</v>
      </c>
      <c r="E159" s="11" t="n">
        <v>45722</v>
      </c>
      <c r="F159" s="5" t="s">
        <v>73</v>
      </c>
      <c r="G159" s="12" t="n">
        <v>741874.028424269</v>
      </c>
      <c r="H159" s="13" t="n">
        <v>70.91</v>
      </c>
      <c r="I159" s="13" t="n">
        <v>69.52</v>
      </c>
      <c r="K159" s="8" t="n">
        <v>73.3920452886494</v>
      </c>
      <c r="L159" s="8" t="n">
        <v>-15980.5431208388</v>
      </c>
      <c r="M159" s="8" t="n">
        <f aca="false">M158+L159</f>
        <v>788613.650977736</v>
      </c>
      <c r="N159" s="5" t="str">
        <f aca="false">IF(L159&gt;0,"прибыль",IF(L159&lt;0,"убыток","ноль"))</f>
        <v>убыток</v>
      </c>
      <c r="O159" s="6" t="n">
        <f aca="false">IF(L159&lt;0,O158+1,0)</f>
        <v>3</v>
      </c>
      <c r="P159" s="6" t="n">
        <v>1</v>
      </c>
    </row>
    <row r="160" customFormat="false" ht="15" hidden="false" customHeight="false" outlineLevel="0" collapsed="false">
      <c r="A160" s="6" t="n">
        <v>155</v>
      </c>
      <c r="B160" s="5" t="s">
        <v>76</v>
      </c>
      <c r="C160" s="5" t="s">
        <v>25</v>
      </c>
      <c r="D160" s="11" t="n">
        <v>45737</v>
      </c>
      <c r="E160" s="11" t="n">
        <v>45751</v>
      </c>
      <c r="F160" s="5" t="s">
        <v>73</v>
      </c>
      <c r="G160" s="12" t="n">
        <v>816933.842886917</v>
      </c>
      <c r="H160" s="13" t="n">
        <v>72.28</v>
      </c>
      <c r="I160" s="13" t="n">
        <v>69.61</v>
      </c>
      <c r="J160" s="5" t="s">
        <v>74</v>
      </c>
      <c r="K160" s="8" t="n">
        <v>80.1641961723212</v>
      </c>
      <c r="L160" s="8" t="n">
        <v>-30663.9265235839</v>
      </c>
      <c r="M160" s="8" t="n">
        <f aca="false">M159+L160</f>
        <v>757949.724454152</v>
      </c>
      <c r="N160" s="5" t="str">
        <f aca="false">IF(L160&gt;0,"прибыль",IF(L160&lt;0,"убыток","ноль"))</f>
        <v>убыток</v>
      </c>
      <c r="O160" s="6" t="n">
        <f aca="false">IF(L160&lt;0,O159+1,0)</f>
        <v>4</v>
      </c>
      <c r="P160" s="6" t="n">
        <v>10</v>
      </c>
    </row>
    <row r="161" customFormat="false" ht="15" hidden="false" customHeight="false" outlineLevel="0" collapsed="false">
      <c r="A161" s="6" t="n">
        <v>156</v>
      </c>
      <c r="B161" s="5" t="s">
        <v>76</v>
      </c>
      <c r="C161" s="5" t="s">
        <v>25</v>
      </c>
      <c r="D161" s="11" t="n">
        <v>45818</v>
      </c>
      <c r="E161" s="11" t="n">
        <v>45819</v>
      </c>
      <c r="F161" s="5" t="s">
        <v>73</v>
      </c>
      <c r="G161" s="12" t="n">
        <v>765395.136261367</v>
      </c>
      <c r="H161" s="13" t="n">
        <v>67.02</v>
      </c>
      <c r="I161" s="13" t="n">
        <v>66.66</v>
      </c>
      <c r="K161" s="8" t="n">
        <v>76.2665989390399</v>
      </c>
      <c r="L161" s="8" t="n">
        <v>-5534.56034087496</v>
      </c>
      <c r="M161" s="8" t="n">
        <f aca="false">M160+L161</f>
        <v>752415.164113277</v>
      </c>
      <c r="N161" s="5" t="str">
        <f aca="false">IF(L161&gt;0,"прибыль",IF(L161&lt;0,"убыток","ноль"))</f>
        <v>убыток</v>
      </c>
      <c r="O161" s="6" t="n">
        <f aca="false">IF(L161&lt;0,O160+1,0)</f>
        <v>5</v>
      </c>
      <c r="P161" s="6" t="n">
        <v>1</v>
      </c>
    </row>
    <row r="162" customFormat="false" ht="15" hidden="false" customHeight="false" outlineLevel="0" collapsed="false">
      <c r="A162" s="6" t="n">
        <v>157</v>
      </c>
      <c r="B162" s="5" t="s">
        <v>76</v>
      </c>
      <c r="C162" s="5" t="s">
        <v>25</v>
      </c>
      <c r="D162" s="11" t="n">
        <v>45821</v>
      </c>
      <c r="E162" s="11" t="n">
        <v>45824</v>
      </c>
      <c r="F162" s="5" t="s">
        <v>73</v>
      </c>
      <c r="G162" s="12" t="n">
        <v>201733.856236383</v>
      </c>
      <c r="H162" s="13" t="n">
        <v>73.76</v>
      </c>
      <c r="I162" s="13" t="n">
        <v>74.63</v>
      </c>
      <c r="K162" s="8" t="n">
        <v>42.0762788992184</v>
      </c>
      <c r="L162" s="8" t="n">
        <v>1841.44065012255</v>
      </c>
      <c r="M162" s="8" t="n">
        <f aca="false">M161+L162</f>
        <v>754256.6047634</v>
      </c>
      <c r="N162" s="5" t="str">
        <f aca="false">IF(L162&gt;0,"прибыль",IF(L162&lt;0,"убыток","ноль"))</f>
        <v>прибыль</v>
      </c>
      <c r="O162" s="6" t="n">
        <f aca="false">IF(L162&lt;0,O161+1,0)</f>
        <v>0</v>
      </c>
      <c r="P162" s="6" t="n">
        <v>1</v>
      </c>
    </row>
    <row r="163" customFormat="false" ht="15" hidden="false" customHeight="false" outlineLevel="0" collapsed="false">
      <c r="A163" s="6" t="n">
        <v>158</v>
      </c>
      <c r="B163" s="5" t="s">
        <v>76</v>
      </c>
      <c r="C163" s="5" t="s">
        <v>25</v>
      </c>
      <c r="D163" s="11" t="n">
        <v>45824</v>
      </c>
      <c r="E163" s="11" t="n">
        <v>45832</v>
      </c>
      <c r="F163" s="5" t="s">
        <v>73</v>
      </c>
      <c r="G163" s="12" t="n">
        <v>436174.34858258</v>
      </c>
      <c r="H163" s="13" t="n">
        <v>74.63</v>
      </c>
      <c r="I163" s="13" t="n">
        <v>68.78</v>
      </c>
      <c r="K163" s="8" t="n">
        <v>20.275150476082</v>
      </c>
      <c r="L163" s="8" t="n">
        <v>-30691.6142114161</v>
      </c>
      <c r="M163" s="8" t="n">
        <f aca="false">M162+L163</f>
        <v>723564.990551984</v>
      </c>
      <c r="N163" s="5" t="str">
        <f aca="false">IF(L163&gt;0,"прибыль",IF(L163&lt;0,"убыток","ноль"))</f>
        <v>убыток</v>
      </c>
      <c r="O163" s="6" t="n">
        <f aca="false">IF(L163&lt;0,O162+1,0)</f>
        <v>1</v>
      </c>
      <c r="P163" s="6" t="n">
        <v>6</v>
      </c>
    </row>
    <row r="164" customFormat="false" ht="15" hidden="false" customHeight="false" outlineLevel="0" collapsed="false">
      <c r="A164" s="6" t="n">
        <v>159</v>
      </c>
      <c r="B164" s="5" t="s">
        <v>76</v>
      </c>
      <c r="C164" s="5" t="s">
        <v>25</v>
      </c>
      <c r="D164" s="11" t="n">
        <v>45840</v>
      </c>
      <c r="E164" s="11" t="n">
        <v>45900</v>
      </c>
      <c r="F164" s="5" t="s">
        <v>73</v>
      </c>
      <c r="G164" s="12" t="n">
        <v>962606.42855377</v>
      </c>
      <c r="H164" s="13" t="n">
        <v>67.27</v>
      </c>
      <c r="I164" s="13" t="n">
        <v>68.16</v>
      </c>
      <c r="J164" s="5" t="s">
        <v>74</v>
      </c>
      <c r="K164" s="8" t="n">
        <v>97.6865698045905</v>
      </c>
      <c r="L164" s="8" t="n">
        <v>28420.8524144653</v>
      </c>
      <c r="M164" s="8" t="n">
        <f aca="false">M163+L164</f>
        <v>751985.842966449</v>
      </c>
      <c r="N164" s="5" t="str">
        <f aca="false">IF(L164&gt;0,"прибыль",IF(L164&lt;0,"убыток","ноль"))</f>
        <v>прибыль</v>
      </c>
      <c r="O164" s="6" t="n">
        <f aca="false">IF(L164&lt;0,O163+1,0)</f>
        <v>0</v>
      </c>
      <c r="P164" s="6" t="n">
        <v>48</v>
      </c>
    </row>
    <row r="165" customFormat="false" ht="15" hidden="false" customHeight="false" outlineLevel="0" collapsed="false">
      <c r="A165" s="6" t="n">
        <v>160</v>
      </c>
      <c r="B165" s="5" t="s">
        <v>76</v>
      </c>
      <c r="C165" s="5" t="s">
        <v>25</v>
      </c>
      <c r="D165" s="11" t="n">
        <v>45907</v>
      </c>
      <c r="E165" s="11" t="n">
        <v>45922</v>
      </c>
      <c r="F165" s="5" t="s">
        <v>73</v>
      </c>
      <c r="G165" s="12" t="n">
        <v>932938.063464189</v>
      </c>
      <c r="H165" s="13" t="n">
        <v>65.66</v>
      </c>
      <c r="I165" s="13" t="n">
        <v>67.04</v>
      </c>
      <c r="K165" s="8" t="n">
        <v>94.1955989453798</v>
      </c>
      <c r="L165" s="8" t="n">
        <v>17941.6563802737</v>
      </c>
      <c r="M165" s="8" t="n">
        <f aca="false">M164+L165</f>
        <v>769927.499346723</v>
      </c>
      <c r="N165" s="5" t="str">
        <f aca="false">IF(L165&gt;0,"прибыль",IF(L165&lt;0,"убыток","ноль"))</f>
        <v>прибыль</v>
      </c>
      <c r="O165" s="6" t="n">
        <f aca="false">IF(L165&lt;0,O164+1,0)</f>
        <v>0</v>
      </c>
      <c r="P165" s="6" t="n">
        <v>13</v>
      </c>
    </row>
    <row r="166" customFormat="false" ht="15" hidden="false" customHeight="false" outlineLevel="0" collapsed="false">
      <c r="A166" s="6" t="n">
        <v>161</v>
      </c>
      <c r="B166" s="5" t="s">
        <v>76</v>
      </c>
      <c r="C166" s="5" t="s">
        <v>25</v>
      </c>
      <c r="D166" s="11" t="n">
        <v>45923</v>
      </c>
      <c r="E166" s="11" t="n">
        <v>45933</v>
      </c>
      <c r="F166" s="5" t="s">
        <v>73</v>
      </c>
      <c r="G166" s="12" t="n">
        <v>841566.203327016</v>
      </c>
      <c r="H166" s="13" t="n">
        <v>66.23</v>
      </c>
      <c r="I166" s="13" t="n">
        <v>64.66</v>
      </c>
      <c r="J166" s="5" t="s">
        <v>74</v>
      </c>
      <c r="K166" s="8" t="n">
        <v>83.8890010953022</v>
      </c>
      <c r="L166" s="8" t="n">
        <v>-5436.27374908333</v>
      </c>
      <c r="M166" s="8" t="n">
        <f aca="false">M165+L166</f>
        <v>764491.22559764</v>
      </c>
      <c r="N166" s="5" t="str">
        <f aca="false">IF(L166&gt;0,"прибыль",IF(L166&lt;0,"убыток","ноль"))</f>
        <v>убыток</v>
      </c>
      <c r="O166" s="6" t="n">
        <f aca="false">IF(L166&lt;0,O165+1,0)</f>
        <v>1</v>
      </c>
      <c r="P166" s="6" t="n">
        <v>10</v>
      </c>
    </row>
    <row r="167" customFormat="false" ht="15" hidden="false" customHeight="false" outlineLevel="0" collapsed="false">
      <c r="A167" s="6" t="n">
        <v>162</v>
      </c>
      <c r="B167" s="5" t="s">
        <v>76</v>
      </c>
      <c r="C167" s="5" t="s">
        <v>25</v>
      </c>
      <c r="D167" s="11" t="n">
        <v>45972</v>
      </c>
      <c r="E167" s="11" t="n">
        <v>45974</v>
      </c>
      <c r="F167" s="5" t="s">
        <v>73</v>
      </c>
      <c r="G167" s="12" t="n">
        <v>713857.742430976</v>
      </c>
      <c r="H167" s="13" t="n">
        <v>63.8</v>
      </c>
      <c r="I167" s="13" t="n">
        <v>62.78</v>
      </c>
      <c r="K167" s="8" t="n">
        <v>70.7435965787691</v>
      </c>
      <c r="L167" s="8" t="n">
        <v>-12914.2968831488</v>
      </c>
      <c r="M167" s="8" t="n">
        <f aca="false">M166+L167</f>
        <v>751576.928714491</v>
      </c>
      <c r="N167" s="5" t="str">
        <f aca="false">IF(L167&gt;0,"прибыль",IF(L167&lt;0,"убыток","ноль"))</f>
        <v>убыток</v>
      </c>
      <c r="O167" s="6" t="n">
        <f aca="false">IF(L167&lt;0,O166+1,0)</f>
        <v>2</v>
      </c>
      <c r="P167" s="6" t="n">
        <v>2</v>
      </c>
    </row>
    <row r="168" customFormat="false" ht="15" hidden="false" customHeight="false" outlineLevel="0" collapsed="false">
      <c r="A168" s="6" t="n">
        <v>163</v>
      </c>
      <c r="B168" s="5" t="s">
        <v>76</v>
      </c>
      <c r="C168" s="5" t="s">
        <v>25</v>
      </c>
      <c r="D168" s="11" t="n">
        <v>46014</v>
      </c>
      <c r="E168" s="11" t="n">
        <v>46018</v>
      </c>
      <c r="F168" s="5" t="s">
        <v>73</v>
      </c>
      <c r="G168" s="12" t="n">
        <v>706875.339938723</v>
      </c>
      <c r="H168" s="13" t="n">
        <v>61.89</v>
      </c>
      <c r="I168" s="13" t="n">
        <v>60.81</v>
      </c>
      <c r="K168" s="8" t="n">
        <v>70.0037955871458</v>
      </c>
      <c r="L168" s="8" t="n">
        <v>-13744.7719301185</v>
      </c>
      <c r="M168" s="8" t="n">
        <f aca="false">M167+L168</f>
        <v>737832.156784372</v>
      </c>
      <c r="N168" s="5" t="str">
        <f aca="false">IF(L168&gt;0,"прибыль",IF(L168&lt;0,"убыток","ноль"))</f>
        <v>убыток</v>
      </c>
      <c r="O168" s="6" t="n">
        <f aca="false">IF(L168&lt;0,O167+1,0)</f>
        <v>3</v>
      </c>
      <c r="P168" s="6" t="n">
        <v>4</v>
      </c>
    </row>
    <row r="169" customFormat="false" ht="15" hidden="false" customHeight="false" outlineLevel="0" collapsed="false">
      <c r="A169" s="6" t="n">
        <v>164</v>
      </c>
      <c r="B169" s="5" t="s">
        <v>76</v>
      </c>
      <c r="C169" s="5" t="s">
        <v>25</v>
      </c>
      <c r="D169" s="11" t="n">
        <v>46019</v>
      </c>
      <c r="E169" s="11" t="n">
        <v>46020</v>
      </c>
      <c r="F169" s="5" t="s">
        <v>73</v>
      </c>
      <c r="G169" s="12" t="n">
        <v>702525.274040588</v>
      </c>
      <c r="H169" s="13" t="n">
        <v>60.89</v>
      </c>
      <c r="I169" s="13" t="n">
        <v>61.27</v>
      </c>
      <c r="K169" s="8" t="n">
        <v>70.4048242837028</v>
      </c>
      <c r="L169" s="8" t="n">
        <v>2975.53276859615</v>
      </c>
      <c r="M169" s="8" t="n">
        <f aca="false">M168+L169</f>
        <v>740807.689552968</v>
      </c>
      <c r="N169" s="5" t="str">
        <f aca="false">IF(L169&gt;0,"прибыль",IF(L169&lt;0,"убыток","ноль"))</f>
        <v>прибыль</v>
      </c>
      <c r="O169" s="6" t="n">
        <f aca="false">IF(L169&lt;0,O168+1,0)</f>
        <v>0</v>
      </c>
      <c r="P169" s="6" t="n">
        <v>1</v>
      </c>
    </row>
    <row r="170" customFormat="false" ht="15" hidden="false" customHeight="false" outlineLevel="0" collapsed="false">
      <c r="A170" s="6" t="n">
        <v>165</v>
      </c>
      <c r="B170" s="5" t="s">
        <v>76</v>
      </c>
      <c r="C170" s="5" t="s">
        <v>25</v>
      </c>
      <c r="D170" s="11" t="n">
        <v>46037</v>
      </c>
      <c r="E170" s="11" t="n">
        <v>46039</v>
      </c>
      <c r="F170" s="5" t="s">
        <v>75</v>
      </c>
      <c r="G170" s="12" t="n">
        <v>650843.410983166</v>
      </c>
      <c r="H170" s="13" t="n">
        <v>64.4</v>
      </c>
      <c r="I170" s="13" t="n">
        <v>64.22</v>
      </c>
      <c r="K170" s="8" t="n">
        <v>65.0595286313483</v>
      </c>
      <c r="L170" s="8" t="n">
        <v>431.189810734584</v>
      </c>
      <c r="M170" s="8" t="n">
        <f aca="false">M169+L170</f>
        <v>741238.879363703</v>
      </c>
      <c r="N170" s="5" t="str">
        <f aca="false">IF(L170&gt;0,"прибыль",IF(L170&lt;0,"убыток","ноль"))</f>
        <v>прибыль</v>
      </c>
      <c r="O170" s="6" t="n">
        <f aca="false">IF(L170&lt;0,O169+1,0)</f>
        <v>0</v>
      </c>
      <c r="P170" s="6" t="n">
        <v>2</v>
      </c>
    </row>
    <row r="171" customFormat="false" ht="15" hidden="false" customHeight="false" outlineLevel="0" collapsed="false">
      <c r="A171" s="6" t="n">
        <v>166</v>
      </c>
      <c r="B171" s="5" t="s">
        <v>76</v>
      </c>
      <c r="C171" s="5" t="s">
        <v>25</v>
      </c>
      <c r="D171" s="11" t="n">
        <v>46170</v>
      </c>
      <c r="E171" s="11" t="n">
        <v>46217</v>
      </c>
      <c r="F171" s="5" t="s">
        <v>75</v>
      </c>
      <c r="G171" s="12" t="n">
        <v>104673.465921945</v>
      </c>
      <c r="H171" s="13" t="n">
        <v>97.36</v>
      </c>
      <c r="I171" s="13" t="n">
        <v>84.72</v>
      </c>
      <c r="J171" s="5" t="s">
        <v>74</v>
      </c>
      <c r="K171" s="8" t="n">
        <v>28.6334867528486</v>
      </c>
      <c r="L171" s="8" t="n">
        <v>9600.35082787405</v>
      </c>
      <c r="M171" s="8" t="n">
        <f aca="false">M170+L171</f>
        <v>750839.230191577</v>
      </c>
      <c r="N171" s="5" t="str">
        <f aca="false">IF(L171&gt;0,"прибыль",IF(L171&lt;0,"убыток","ноль"))</f>
        <v>прибыль</v>
      </c>
      <c r="O171" s="6" t="n">
        <f aca="false">IF(L171&lt;0,O170+1,0)</f>
        <v>0</v>
      </c>
      <c r="P171" s="6" t="n">
        <v>45</v>
      </c>
    </row>
    <row r="172" customFormat="false" ht="15" hidden="false" customHeight="false" outlineLevel="0" collapsed="false">
      <c r="A172" s="6" t="n">
        <v>167</v>
      </c>
      <c r="B172" s="5" t="s">
        <v>76</v>
      </c>
      <c r="C172" s="5" t="s">
        <v>25</v>
      </c>
      <c r="D172" s="11" t="n">
        <v>46217</v>
      </c>
      <c r="E172" s="11" t="n">
        <v>46230</v>
      </c>
      <c r="F172" s="5" t="s">
        <v>75</v>
      </c>
      <c r="G172" s="12" t="n">
        <v>77935.2839671447</v>
      </c>
      <c r="H172" s="13" t="n">
        <v>84.72</v>
      </c>
      <c r="I172" s="13" t="n">
        <v>92.48</v>
      </c>
      <c r="K172" s="8" t="n">
        <v>3.86318182762003</v>
      </c>
      <c r="L172" s="8" t="n">
        <v>667.784232916504</v>
      </c>
      <c r="M172" s="8" t="n">
        <f aca="false">M171+L172</f>
        <v>751507.014424493</v>
      </c>
      <c r="N172" s="5" t="str">
        <f aca="false">IF(L172&gt;0,"прибыль",IF(L172&lt;0,"убыток","ноль"))</f>
        <v>прибыль</v>
      </c>
      <c r="O172" s="6" t="n">
        <f aca="false">IF(L172&lt;0,O171+1,0)</f>
        <v>0</v>
      </c>
      <c r="P172" s="6" t="n">
        <v>13</v>
      </c>
    </row>
    <row r="173" customFormat="false" ht="15" hidden="false" customHeight="false" outlineLevel="0" collapsed="false">
      <c r="A173" s="6" t="n">
        <v>168</v>
      </c>
      <c r="B173" s="5" t="s">
        <v>76</v>
      </c>
      <c r="C173" s="5" t="s">
        <v>25</v>
      </c>
      <c r="D173" s="11" t="n">
        <v>46230</v>
      </c>
      <c r="E173" s="11" t="n">
        <v>46245</v>
      </c>
      <c r="F173" s="5" t="s">
        <v>75</v>
      </c>
      <c r="G173" s="12" t="n">
        <v>65716.1116702906</v>
      </c>
      <c r="H173" s="13" t="n">
        <v>92.48</v>
      </c>
      <c r="I173" s="13" t="n">
        <v>87.88</v>
      </c>
      <c r="J173" s="5" t="s">
        <v>74</v>
      </c>
      <c r="K173" s="8" t="n">
        <v>3.26686326746056</v>
      </c>
      <c r="L173" s="8" t="n">
        <v>375.57945781187</v>
      </c>
      <c r="M173" s="8" t="n">
        <f aca="false">M172+L173</f>
        <v>751882.593882305</v>
      </c>
      <c r="N173" s="5" t="str">
        <f aca="false">IF(L173&gt;0,"прибыль",IF(L173&lt;0,"убыток","ноль"))</f>
        <v>прибыль</v>
      </c>
      <c r="O173" s="6" t="n">
        <f aca="false">IF(L173&lt;0,O172+1,0)</f>
        <v>0</v>
      </c>
      <c r="P173" s="6" t="n">
        <v>13</v>
      </c>
    </row>
    <row r="174" customFormat="false" ht="15" hidden="false" customHeight="false" outlineLevel="0" collapsed="false">
      <c r="A174" s="6" t="n">
        <v>169</v>
      </c>
      <c r="B174" s="5" t="s">
        <v>76</v>
      </c>
      <c r="C174" s="5" t="s">
        <v>25</v>
      </c>
      <c r="D174" s="11" t="n">
        <v>46245</v>
      </c>
      <c r="E174" s="11" t="n">
        <v>46246</v>
      </c>
      <c r="F174" s="5" t="s">
        <v>75</v>
      </c>
      <c r="G174" s="12" t="n">
        <v>229300.391890273</v>
      </c>
      <c r="H174" s="13" t="n">
        <v>87.88</v>
      </c>
      <c r="I174" s="13" t="n">
        <v>90.1</v>
      </c>
      <c r="K174" s="8" t="n">
        <v>11.686824220492</v>
      </c>
      <c r="L174" s="8" t="n">
        <v>-4447.77934378756</v>
      </c>
      <c r="M174" s="8" t="n">
        <f aca="false">M173+L174</f>
        <v>747434.814538518</v>
      </c>
      <c r="N174" s="5" t="str">
        <f aca="false">IF(L174&gt;0,"прибыль",IF(L174&lt;0,"убыток","ноль"))</f>
        <v>убыток</v>
      </c>
      <c r="O174" s="6" t="n">
        <f aca="false">IF(L174&lt;0,O173+1,0)</f>
        <v>1</v>
      </c>
      <c r="P174" s="6" t="n">
        <v>1</v>
      </c>
    </row>
    <row r="175" customFormat="false" ht="15" hidden="false" customHeight="false" outlineLevel="0" collapsed="false">
      <c r="A175" s="6" t="n">
        <v>170</v>
      </c>
      <c r="B175" s="5" t="s">
        <v>76</v>
      </c>
      <c r="C175" s="5" t="s">
        <v>25</v>
      </c>
      <c r="D175" s="11" t="n">
        <v>46248</v>
      </c>
      <c r="E175" s="11" t="n">
        <v>46251</v>
      </c>
      <c r="F175" s="5" t="s">
        <v>75</v>
      </c>
      <c r="G175" s="12" t="n">
        <v>231170.691102564</v>
      </c>
      <c r="H175" s="13" t="n">
        <v>87.25</v>
      </c>
      <c r="I175" s="13" t="n">
        <v>88.87</v>
      </c>
      <c r="K175" s="8" t="n">
        <v>23.3843554996201</v>
      </c>
      <c r="L175" s="8" t="n">
        <v>-5369.11214277316</v>
      </c>
      <c r="M175" s="8" t="n">
        <f aca="false">M174+L175</f>
        <v>742065.702395745</v>
      </c>
      <c r="N175" s="5" t="str">
        <f aca="false">IF(L175&gt;0,"прибыль",IF(L175&lt;0,"убыток","ноль"))</f>
        <v>убыток</v>
      </c>
      <c r="O175" s="6" t="n">
        <f aca="false">IF(L175&lt;0,O174+1,0)</f>
        <v>2</v>
      </c>
      <c r="P175" s="6" t="n">
        <v>1</v>
      </c>
    </row>
  </sheetData>
  <autoFilter ref="A5:Q1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5" min="4" style="0" width="17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9" min="8" style="0" width="12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7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60"/>
  </cols>
  <sheetData>
    <row r="1" customFormat="false" ht="15" hidden="false" customHeight="false" outlineLevel="0" collapsed="false">
      <c r="A1" s="10" t="s">
        <v>52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A3" s="2" t="s">
        <v>54</v>
      </c>
    </row>
    <row r="5" customFormat="false" ht="30" hidden="false" customHeight="true" outlineLevel="0" collapsed="false">
      <c r="A5" s="3" t="s">
        <v>55</v>
      </c>
      <c r="B5" s="3" t="s">
        <v>56</v>
      </c>
      <c r="C5" s="3" t="s">
        <v>57</v>
      </c>
      <c r="D5" s="3" t="s">
        <v>58</v>
      </c>
      <c r="E5" s="3" t="s">
        <v>59</v>
      </c>
      <c r="F5" s="3" t="s">
        <v>60</v>
      </c>
      <c r="G5" s="3" t="s">
        <v>61</v>
      </c>
      <c r="H5" s="3" t="s">
        <v>62</v>
      </c>
      <c r="I5" s="3" t="s">
        <v>63</v>
      </c>
      <c r="J5" s="3" t="s">
        <v>64</v>
      </c>
      <c r="K5" s="3" t="s">
        <v>65</v>
      </c>
      <c r="L5" s="3" t="s">
        <v>66</v>
      </c>
      <c r="M5" s="3" t="s">
        <v>67</v>
      </c>
      <c r="N5" s="3" t="s">
        <v>68</v>
      </c>
      <c r="O5" s="3" t="s">
        <v>69</v>
      </c>
      <c r="P5" s="3" t="s">
        <v>70</v>
      </c>
      <c r="Q5" s="3" t="s">
        <v>71</v>
      </c>
    </row>
    <row r="6" customFormat="false" ht="15" hidden="false" customHeight="false" outlineLevel="0" collapsed="false">
      <c r="A6" s="6" t="n">
        <v>1</v>
      </c>
      <c r="B6" s="5" t="s">
        <v>72</v>
      </c>
      <c r="C6" s="5" t="s">
        <v>30</v>
      </c>
      <c r="D6" s="11" t="n">
        <v>43951</v>
      </c>
      <c r="E6" s="11" t="n">
        <v>43963</v>
      </c>
      <c r="F6" s="5" t="s">
        <v>73</v>
      </c>
      <c r="G6" s="12" t="n">
        <v>82626.8167251784</v>
      </c>
      <c r="H6" s="13" t="n">
        <v>1.875</v>
      </c>
      <c r="I6" s="13" t="n">
        <v>1.834</v>
      </c>
      <c r="K6" s="8" t="n">
        <v>12.5914402966441</v>
      </c>
      <c r="L6" s="8" t="n">
        <v>-2299.69208520514</v>
      </c>
      <c r="M6" s="8" t="n">
        <f aca="false">L6</f>
        <v>-2299.69208520514</v>
      </c>
      <c r="N6" s="5" t="str">
        <f aca="false">IF(L6&gt;0,"прибыль",IF(L6&lt;0,"убыток","ноль"))</f>
        <v>убыток</v>
      </c>
      <c r="O6" s="6" t="n">
        <f aca="false">IF(L6&lt;0,1,0)</f>
        <v>1</v>
      </c>
      <c r="P6" s="6" t="n">
        <v>6</v>
      </c>
    </row>
    <row r="7" customFormat="false" ht="15" hidden="false" customHeight="false" outlineLevel="0" collapsed="false">
      <c r="A7" s="6" t="n">
        <v>2</v>
      </c>
      <c r="B7" s="5" t="s">
        <v>72</v>
      </c>
      <c r="C7" s="5" t="s">
        <v>30</v>
      </c>
      <c r="D7" s="11" t="n">
        <v>43963</v>
      </c>
      <c r="E7" s="11" t="n">
        <v>44012</v>
      </c>
      <c r="F7" s="5" t="s">
        <v>75</v>
      </c>
      <c r="G7" s="12" t="n">
        <v>48553.7716951088</v>
      </c>
      <c r="H7" s="13" t="n">
        <v>1.834</v>
      </c>
      <c r="I7" s="13" t="n">
        <v>1.708</v>
      </c>
      <c r="J7" s="5" t="s">
        <v>74</v>
      </c>
      <c r="K7" s="8" t="n">
        <v>7.05391632809144</v>
      </c>
      <c r="L7" s="8" t="n">
        <v>4383.40429712807</v>
      </c>
      <c r="M7" s="8" t="n">
        <f aca="false">M6+L7</f>
        <v>2083.71221192293</v>
      </c>
      <c r="N7" s="5" t="str">
        <f aca="false">IF(L7&gt;0,"прибыль",IF(L7&lt;0,"убыток","ноль"))</f>
        <v>прибыль</v>
      </c>
      <c r="O7" s="6" t="n">
        <f aca="false">IF(L7&lt;0,O6+1,0)</f>
        <v>0</v>
      </c>
      <c r="P7" s="6" t="n">
        <v>33</v>
      </c>
    </row>
    <row r="8" customFormat="false" ht="15" hidden="false" customHeight="false" outlineLevel="0" collapsed="false">
      <c r="A8" s="6" t="n">
        <v>3</v>
      </c>
      <c r="B8" s="5" t="s">
        <v>72</v>
      </c>
      <c r="C8" s="5" t="s">
        <v>30</v>
      </c>
      <c r="D8" s="11" t="n">
        <v>44012</v>
      </c>
      <c r="E8" s="11" t="n">
        <v>44047</v>
      </c>
      <c r="F8" s="5" t="s">
        <v>75</v>
      </c>
      <c r="G8" s="12" t="n">
        <v>41882.7558833524</v>
      </c>
      <c r="H8" s="13" t="n">
        <v>1.708</v>
      </c>
      <c r="I8" s="13" t="n">
        <v>2.1</v>
      </c>
      <c r="J8" s="5" t="s">
        <v>74</v>
      </c>
      <c r="K8" s="8" t="n">
        <v>2.2149097123928</v>
      </c>
      <c r="L8" s="8" t="n">
        <v>-2417.6532742161</v>
      </c>
      <c r="M8" s="8" t="n">
        <f aca="false">M7+L8</f>
        <v>-333.941062293174</v>
      </c>
      <c r="N8" s="5" t="str">
        <f aca="false">IF(L8&gt;0,"прибыль",IF(L8&lt;0,"убыток","ноль"))</f>
        <v>убыток</v>
      </c>
      <c r="O8" s="6" t="n">
        <f aca="false">IF(L8&lt;0,O7+1,0)</f>
        <v>1</v>
      </c>
      <c r="P8" s="6" t="n">
        <v>24</v>
      </c>
    </row>
    <row r="9" customFormat="false" ht="15" hidden="false" customHeight="false" outlineLevel="0" collapsed="false">
      <c r="A9" s="6" t="n">
        <v>4</v>
      </c>
      <c r="B9" s="5" t="s">
        <v>72</v>
      </c>
      <c r="C9" s="5" t="s">
        <v>30</v>
      </c>
      <c r="D9" s="11" t="n">
        <v>44047</v>
      </c>
      <c r="E9" s="11" t="n">
        <v>44050</v>
      </c>
      <c r="F9" s="5" t="s">
        <v>75</v>
      </c>
      <c r="G9" s="12" t="n">
        <v>95340.7586291477</v>
      </c>
      <c r="H9" s="13" t="n">
        <v>2.1</v>
      </c>
      <c r="I9" s="13" t="n">
        <v>2.142</v>
      </c>
      <c r="K9" s="8" t="n">
        <v>10.2026789704535</v>
      </c>
      <c r="L9" s="8" t="n">
        <v>-7522.72182763092</v>
      </c>
      <c r="M9" s="8" t="n">
        <f aca="false">M8+L9</f>
        <v>-7856.66288992409</v>
      </c>
      <c r="N9" s="5" t="str">
        <f aca="false">IF(L9&gt;0,"прибыль",IF(L9&lt;0,"убыток","ноль"))</f>
        <v>убыток</v>
      </c>
      <c r="O9" s="6" t="n">
        <f aca="false">IF(L9&lt;0,O8+1,0)</f>
        <v>2</v>
      </c>
      <c r="P9" s="6" t="n">
        <v>3</v>
      </c>
    </row>
    <row r="10" customFormat="false" ht="15" hidden="false" customHeight="false" outlineLevel="0" collapsed="false">
      <c r="A10" s="6" t="n">
        <v>5</v>
      </c>
      <c r="B10" s="5" t="s">
        <v>72</v>
      </c>
      <c r="C10" s="5" t="s">
        <v>30</v>
      </c>
      <c r="D10" s="11" t="n">
        <v>44050</v>
      </c>
      <c r="E10" s="11" t="n">
        <v>44097</v>
      </c>
      <c r="F10" s="5" t="s">
        <v>73</v>
      </c>
      <c r="G10" s="12" t="n">
        <v>147951.333054664</v>
      </c>
      <c r="H10" s="13" t="n">
        <v>2.142</v>
      </c>
      <c r="I10" s="13" t="n">
        <v>1.826</v>
      </c>
      <c r="J10" s="5" t="s">
        <v>74</v>
      </c>
      <c r="K10" s="8" t="n">
        <v>13.5974519123892</v>
      </c>
      <c r="L10" s="8" t="n">
        <v>-37701.8553137101</v>
      </c>
      <c r="M10" s="8" t="n">
        <f aca="false">M9+L10</f>
        <v>-45558.5182036342</v>
      </c>
      <c r="N10" s="5" t="str">
        <f aca="false">IF(L10&gt;0,"прибыль",IF(L10&lt;0,"убыток","ноль"))</f>
        <v>убыток</v>
      </c>
      <c r="O10" s="6" t="n">
        <f aca="false">IF(L10&lt;0,O9+1,0)</f>
        <v>3</v>
      </c>
      <c r="P10" s="6" t="n">
        <v>33</v>
      </c>
    </row>
    <row r="11" customFormat="false" ht="15" hidden="false" customHeight="false" outlineLevel="0" collapsed="false">
      <c r="A11" s="6" t="n">
        <v>6</v>
      </c>
      <c r="B11" s="5" t="s">
        <v>72</v>
      </c>
      <c r="C11" s="5" t="s">
        <v>30</v>
      </c>
      <c r="D11" s="11" t="n">
        <v>44097</v>
      </c>
      <c r="E11" s="11" t="n">
        <v>44098</v>
      </c>
      <c r="F11" s="5" t="s">
        <v>75</v>
      </c>
      <c r="G11" s="12" t="n">
        <v>114934.931631515</v>
      </c>
      <c r="H11" s="13" t="n">
        <v>1.826</v>
      </c>
      <c r="I11" s="13" t="n">
        <v>2.199</v>
      </c>
      <c r="K11" s="8" t="n">
        <v>10.7209551468705</v>
      </c>
      <c r="L11" s="8" t="n">
        <v>-24269.7984210363</v>
      </c>
      <c r="M11" s="8" t="n">
        <f aca="false">M10+L11</f>
        <v>-69828.3166246704</v>
      </c>
      <c r="N11" s="5" t="str">
        <f aca="false">IF(L11&gt;0,"прибыль",IF(L11&lt;0,"убыток","ноль"))</f>
        <v>убыток</v>
      </c>
      <c r="O11" s="6" t="n">
        <f aca="false">IF(L11&lt;0,O10+1,0)</f>
        <v>4</v>
      </c>
      <c r="P11" s="6" t="n">
        <v>1</v>
      </c>
    </row>
    <row r="12" customFormat="false" ht="15" hidden="false" customHeight="false" outlineLevel="0" collapsed="false">
      <c r="A12" s="6" t="n">
        <v>7</v>
      </c>
      <c r="B12" s="5" t="s">
        <v>72</v>
      </c>
      <c r="C12" s="5" t="s">
        <v>30</v>
      </c>
      <c r="D12" s="11" t="n">
        <v>44098</v>
      </c>
      <c r="E12" s="11" t="n">
        <v>44104</v>
      </c>
      <c r="F12" s="5" t="s">
        <v>73</v>
      </c>
      <c r="G12" s="12" t="n">
        <v>75225.093840006</v>
      </c>
      <c r="H12" s="13" t="n">
        <v>2.199</v>
      </c>
      <c r="I12" s="13" t="n">
        <v>2.523</v>
      </c>
      <c r="J12" s="5" t="s">
        <v>74</v>
      </c>
      <c r="K12" s="8" t="n">
        <v>6.91354038554405</v>
      </c>
      <c r="L12" s="8" t="n">
        <v>-9022.75249737905</v>
      </c>
      <c r="M12" s="8" t="n">
        <f aca="false">M11+L12</f>
        <v>-78851.0691220495</v>
      </c>
      <c r="N12" s="5" t="str">
        <f aca="false">IF(L12&gt;0,"прибыль",IF(L12&lt;0,"убыток","ноль"))</f>
        <v>убыток</v>
      </c>
      <c r="O12" s="6" t="n">
        <f aca="false">IF(L12&lt;0,O11+1,0)</f>
        <v>5</v>
      </c>
      <c r="P12" s="6" t="n">
        <v>4</v>
      </c>
    </row>
    <row r="13" customFormat="false" ht="15" hidden="false" customHeight="false" outlineLevel="0" collapsed="false">
      <c r="A13" s="6" t="n">
        <v>8</v>
      </c>
      <c r="B13" s="5" t="s">
        <v>72</v>
      </c>
      <c r="C13" s="5" t="s">
        <v>30</v>
      </c>
      <c r="D13" s="11" t="n">
        <v>44104</v>
      </c>
      <c r="E13" s="11" t="n">
        <v>44110</v>
      </c>
      <c r="F13" s="5" t="s">
        <v>75</v>
      </c>
      <c r="G13" s="12" t="n">
        <v>72061.5528278684</v>
      </c>
      <c r="H13" s="13" t="n">
        <v>2.523</v>
      </c>
      <c r="I13" s="13" t="n">
        <v>2.63</v>
      </c>
      <c r="K13" s="8" t="n">
        <v>7.2531708419735</v>
      </c>
      <c r="L13" s="8" t="n">
        <v>-3599.55205583577</v>
      </c>
      <c r="M13" s="8" t="n">
        <f aca="false">M12+L13</f>
        <v>-82450.6211778852</v>
      </c>
      <c r="N13" s="5" t="str">
        <f aca="false">IF(L13&gt;0,"прибыль",IF(L13&lt;0,"убыток","ноль"))</f>
        <v>убыток</v>
      </c>
      <c r="O13" s="6" t="n">
        <f aca="false">IF(L13&lt;0,O12+1,0)</f>
        <v>6</v>
      </c>
      <c r="P13" s="6" t="n">
        <v>4</v>
      </c>
    </row>
    <row r="14" customFormat="false" ht="15" hidden="false" customHeight="false" outlineLevel="0" collapsed="false">
      <c r="A14" s="6" t="n">
        <v>9</v>
      </c>
      <c r="B14" s="5" t="s">
        <v>72</v>
      </c>
      <c r="C14" s="5" t="s">
        <v>30</v>
      </c>
      <c r="D14" s="11" t="n">
        <v>44110</v>
      </c>
      <c r="E14" s="11" t="n">
        <v>44111</v>
      </c>
      <c r="F14" s="5" t="s">
        <v>73</v>
      </c>
      <c r="G14" s="12" t="n">
        <v>69409.5651266078</v>
      </c>
      <c r="H14" s="13" t="n">
        <v>2.63</v>
      </c>
      <c r="I14" s="13" t="n">
        <v>2.525</v>
      </c>
      <c r="K14" s="8" t="n">
        <v>6.83317795700837</v>
      </c>
      <c r="L14" s="8" t="n">
        <v>-3254.64183265763</v>
      </c>
      <c r="M14" s="8" t="n">
        <f aca="false">M13+L14</f>
        <v>-85705.2630105429</v>
      </c>
      <c r="N14" s="5" t="str">
        <f aca="false">IF(L14&gt;0,"прибыль",IF(L14&lt;0,"убыток","ноль"))</f>
        <v>убыток</v>
      </c>
      <c r="O14" s="6" t="n">
        <f aca="false">IF(L14&lt;0,O13+1,0)</f>
        <v>7</v>
      </c>
      <c r="P14" s="6" t="n">
        <v>1</v>
      </c>
    </row>
    <row r="15" customFormat="false" ht="15" hidden="false" customHeight="false" outlineLevel="0" collapsed="false">
      <c r="A15" s="6" t="n">
        <v>10</v>
      </c>
      <c r="B15" s="5" t="s">
        <v>72</v>
      </c>
      <c r="C15" s="5" t="s">
        <v>30</v>
      </c>
      <c r="D15" s="11" t="n">
        <v>44111</v>
      </c>
      <c r="E15" s="11" t="n">
        <v>44113</v>
      </c>
      <c r="F15" s="5" t="s">
        <v>75</v>
      </c>
      <c r="G15" s="12" t="n">
        <v>70501.8026682603</v>
      </c>
      <c r="H15" s="13" t="n">
        <v>2.525</v>
      </c>
      <c r="I15" s="13" t="n">
        <v>2.631</v>
      </c>
      <c r="K15" s="8" t="n">
        <v>7.22019465547087</v>
      </c>
      <c r="L15" s="8" t="n">
        <v>-3492.7821263558</v>
      </c>
      <c r="M15" s="8" t="n">
        <f aca="false">M14+L15</f>
        <v>-89198.0451368987</v>
      </c>
      <c r="N15" s="5" t="str">
        <f aca="false">IF(L15&gt;0,"прибыль",IF(L15&lt;0,"убыток","ноль"))</f>
        <v>убыток</v>
      </c>
      <c r="O15" s="6" t="n">
        <f aca="false">IF(L15&lt;0,O14+1,0)</f>
        <v>8</v>
      </c>
      <c r="P15" s="6" t="n">
        <v>2</v>
      </c>
    </row>
    <row r="16" customFormat="false" ht="15" hidden="false" customHeight="false" outlineLevel="0" collapsed="false">
      <c r="A16" s="6" t="n">
        <v>11</v>
      </c>
      <c r="B16" s="5" t="s">
        <v>72</v>
      </c>
      <c r="C16" s="5" t="s">
        <v>30</v>
      </c>
      <c r="D16" s="11" t="n">
        <v>44113</v>
      </c>
      <c r="E16" s="11" t="n">
        <v>44123</v>
      </c>
      <c r="F16" s="5" t="s">
        <v>73</v>
      </c>
      <c r="G16" s="12" t="n">
        <v>70416.5285094568</v>
      </c>
      <c r="H16" s="13" t="n">
        <v>2.631</v>
      </c>
      <c r="I16" s="13" t="n">
        <v>2.685</v>
      </c>
      <c r="K16" s="8" t="n">
        <v>7.27781803965329</v>
      </c>
      <c r="L16" s="8" t="n">
        <v>940.35336683708</v>
      </c>
      <c r="M16" s="8" t="n">
        <f aca="false">M15+L16</f>
        <v>-88257.6917700616</v>
      </c>
      <c r="N16" s="5" t="str">
        <f aca="false">IF(L16&gt;0,"прибыль",IF(L16&lt;0,"убыток","ноль"))</f>
        <v>прибыль</v>
      </c>
      <c r="O16" s="6" t="n">
        <f aca="false">IF(L16&lt;0,O15+1,0)</f>
        <v>0</v>
      </c>
      <c r="P16" s="6" t="n">
        <v>6</v>
      </c>
    </row>
    <row r="17" customFormat="false" ht="15" hidden="false" customHeight="false" outlineLevel="0" collapsed="false">
      <c r="A17" s="6" t="n">
        <v>12</v>
      </c>
      <c r="B17" s="5" t="s">
        <v>72</v>
      </c>
      <c r="C17" s="5" t="s">
        <v>30</v>
      </c>
      <c r="D17" s="11" t="n">
        <v>44123</v>
      </c>
      <c r="E17" s="11" t="n">
        <v>44124</v>
      </c>
      <c r="F17" s="5" t="s">
        <v>75</v>
      </c>
      <c r="G17" s="12" t="n">
        <v>74192.2010987322</v>
      </c>
      <c r="H17" s="13" t="n">
        <v>2.685</v>
      </c>
      <c r="I17" s="13" t="n">
        <v>2.847</v>
      </c>
      <c r="K17" s="8" t="n">
        <v>7.85873190487398</v>
      </c>
      <c r="L17" s="8" t="n">
        <v>-5008.09776841188</v>
      </c>
      <c r="M17" s="8" t="n">
        <f aca="false">M16+L17</f>
        <v>-93265.7895384735</v>
      </c>
      <c r="N17" s="5" t="str">
        <f aca="false">IF(L17&gt;0,"прибыль",IF(L17&lt;0,"убыток","ноль"))</f>
        <v>убыток</v>
      </c>
      <c r="O17" s="6" t="n">
        <f aca="false">IF(L17&lt;0,O16+1,0)</f>
        <v>1</v>
      </c>
      <c r="P17" s="6" t="n">
        <v>1</v>
      </c>
    </row>
    <row r="18" customFormat="false" ht="15" hidden="false" customHeight="false" outlineLevel="0" collapsed="false">
      <c r="A18" s="6" t="n">
        <v>13</v>
      </c>
      <c r="B18" s="5" t="s">
        <v>72</v>
      </c>
      <c r="C18" s="5" t="s">
        <v>30</v>
      </c>
      <c r="D18" s="11" t="n">
        <v>44124</v>
      </c>
      <c r="E18" s="11" t="n">
        <v>44132</v>
      </c>
      <c r="F18" s="5" t="s">
        <v>73</v>
      </c>
      <c r="G18" s="12" t="n">
        <v>104601.045340842</v>
      </c>
      <c r="H18" s="13" t="n">
        <v>2.847</v>
      </c>
      <c r="I18" s="13" t="n">
        <v>3.021</v>
      </c>
      <c r="K18" s="8" t="n">
        <v>13.2902438149828</v>
      </c>
      <c r="L18" s="8" t="n">
        <v>4074.05510432388</v>
      </c>
      <c r="M18" s="8" t="n">
        <f aca="false">M17+L18</f>
        <v>-89191.7344341496</v>
      </c>
      <c r="N18" s="5" t="str">
        <f aca="false">IF(L18&gt;0,"прибыль",IF(L18&lt;0,"убыток","ноль"))</f>
        <v>прибыль</v>
      </c>
      <c r="O18" s="6" t="n">
        <f aca="false">IF(L18&lt;0,O17+1,0)</f>
        <v>0</v>
      </c>
      <c r="P18" s="6" t="n">
        <v>6</v>
      </c>
    </row>
    <row r="19" customFormat="false" ht="15" hidden="false" customHeight="false" outlineLevel="0" collapsed="false">
      <c r="A19" s="6" t="n">
        <v>14</v>
      </c>
      <c r="B19" s="5" t="s">
        <v>72</v>
      </c>
      <c r="C19" s="5" t="s">
        <v>30</v>
      </c>
      <c r="D19" s="11" t="n">
        <v>44132</v>
      </c>
      <c r="E19" s="11" t="n">
        <v>44232</v>
      </c>
      <c r="F19" s="5" t="s">
        <v>75</v>
      </c>
      <c r="G19" s="12" t="n">
        <v>42487.3002061573</v>
      </c>
      <c r="H19" s="13" t="n">
        <v>3.021</v>
      </c>
      <c r="I19" s="13" t="n">
        <v>2.968</v>
      </c>
      <c r="J19" s="5" t="s">
        <v>74</v>
      </c>
      <c r="K19" s="8" t="n">
        <v>4.42928581819878</v>
      </c>
      <c r="L19" s="8" t="n">
        <v>6285.65450242989</v>
      </c>
      <c r="M19" s="8" t="n">
        <f aca="false">M18+L19</f>
        <v>-82906.0799317197</v>
      </c>
      <c r="N19" s="5" t="str">
        <f aca="false">IF(L19&gt;0,"прибыль",IF(L19&lt;0,"убыток","ноль"))</f>
        <v>прибыль</v>
      </c>
      <c r="O19" s="6" t="n">
        <f aca="false">IF(L19&lt;0,O18+1,0)</f>
        <v>0</v>
      </c>
      <c r="P19" s="6" t="n">
        <v>68</v>
      </c>
    </row>
    <row r="20" customFormat="false" ht="15" hidden="false" customHeight="false" outlineLevel="0" collapsed="false">
      <c r="A20" s="6" t="n">
        <v>15</v>
      </c>
      <c r="B20" s="5" t="s">
        <v>72</v>
      </c>
      <c r="C20" s="5" t="s">
        <v>30</v>
      </c>
      <c r="D20" s="11" t="n">
        <v>44232</v>
      </c>
      <c r="E20" s="11" t="n">
        <v>44244</v>
      </c>
      <c r="F20" s="5" t="s">
        <v>75</v>
      </c>
      <c r="G20" s="12" t="n">
        <v>140398.837971983</v>
      </c>
      <c r="H20" s="13" t="n">
        <v>2.968</v>
      </c>
      <c r="I20" s="13" t="n">
        <v>3.116</v>
      </c>
      <c r="K20" s="8" t="n">
        <v>12.5863653068915</v>
      </c>
      <c r="L20" s="8" t="n">
        <v>14820.51082096</v>
      </c>
      <c r="M20" s="8" t="n">
        <f aca="false">M19+L20</f>
        <v>-68085.5691107597</v>
      </c>
      <c r="N20" s="5" t="str">
        <f aca="false">IF(L20&gt;0,"прибыль",IF(L20&lt;0,"убыток","ноль"))</f>
        <v>прибыль</v>
      </c>
      <c r="O20" s="6" t="n">
        <f aca="false">IF(L20&lt;0,O19+1,0)</f>
        <v>0</v>
      </c>
      <c r="P20" s="6" t="n">
        <v>8</v>
      </c>
    </row>
    <row r="21" customFormat="false" ht="15" hidden="false" customHeight="false" outlineLevel="0" collapsed="false">
      <c r="A21" s="6" t="n">
        <v>16</v>
      </c>
      <c r="B21" s="5" t="s">
        <v>72</v>
      </c>
      <c r="C21" s="5" t="s">
        <v>30</v>
      </c>
      <c r="D21" s="11" t="n">
        <v>44244</v>
      </c>
      <c r="E21" s="11" t="n">
        <v>44246</v>
      </c>
      <c r="F21" s="5" t="s">
        <v>73</v>
      </c>
      <c r="G21" s="12" t="n">
        <v>126161.565352113</v>
      </c>
      <c r="H21" s="13" t="n">
        <v>3.116</v>
      </c>
      <c r="I21" s="13" t="n">
        <v>3.053</v>
      </c>
      <c r="K21" s="8" t="n">
        <v>11.866324345041</v>
      </c>
      <c r="L21" s="8" t="n">
        <v>-3109.63650401829</v>
      </c>
      <c r="M21" s="8" t="n">
        <f aca="false">M20+L21</f>
        <v>-71195.205614778</v>
      </c>
      <c r="N21" s="5" t="str">
        <f aca="false">IF(L21&gt;0,"прибыль",IF(L21&lt;0,"убыток","ноль"))</f>
        <v>убыток</v>
      </c>
      <c r="O21" s="6" t="n">
        <f aca="false">IF(L21&lt;0,O20+1,0)</f>
        <v>1</v>
      </c>
      <c r="P21" s="6" t="n">
        <v>2</v>
      </c>
    </row>
    <row r="22" customFormat="false" ht="15" hidden="false" customHeight="false" outlineLevel="0" collapsed="false">
      <c r="A22" s="6" t="n">
        <v>17</v>
      </c>
      <c r="B22" s="5" t="s">
        <v>72</v>
      </c>
      <c r="C22" s="5" t="s">
        <v>30</v>
      </c>
      <c r="D22" s="11" t="n">
        <v>44246</v>
      </c>
      <c r="E22" s="11" t="n">
        <v>44258</v>
      </c>
      <c r="F22" s="5" t="s">
        <v>75</v>
      </c>
      <c r="G22" s="12" t="n">
        <v>143104.371230713</v>
      </c>
      <c r="H22" s="13" t="n">
        <v>3.053</v>
      </c>
      <c r="I22" s="13" t="n">
        <v>2.841</v>
      </c>
      <c r="J22" s="5" t="s">
        <v>74</v>
      </c>
      <c r="K22" s="8" t="n">
        <v>15.1352019548237</v>
      </c>
      <c r="L22" s="8" t="n">
        <v>3632.87140955799</v>
      </c>
      <c r="M22" s="8" t="n">
        <f aca="false">M21+L22</f>
        <v>-67562.33420522</v>
      </c>
      <c r="N22" s="5" t="str">
        <f aca="false">IF(L22&gt;0,"прибыль",IF(L22&lt;0,"убыток","ноль"))</f>
        <v>прибыль</v>
      </c>
      <c r="O22" s="6" t="n">
        <f aca="false">IF(L22&lt;0,O21+1,0)</f>
        <v>0</v>
      </c>
      <c r="P22" s="6" t="n">
        <v>8</v>
      </c>
    </row>
    <row r="23" customFormat="false" ht="15" hidden="false" customHeight="false" outlineLevel="0" collapsed="false">
      <c r="A23" s="6" t="n">
        <v>18</v>
      </c>
      <c r="B23" s="5" t="s">
        <v>72</v>
      </c>
      <c r="C23" s="5" t="s">
        <v>30</v>
      </c>
      <c r="D23" s="11" t="n">
        <v>44258</v>
      </c>
      <c r="E23" s="11" t="n">
        <v>44259</v>
      </c>
      <c r="F23" s="5" t="s">
        <v>73</v>
      </c>
      <c r="G23" s="12" t="n">
        <v>2.10550018809508E-011</v>
      </c>
      <c r="H23" s="13" t="n">
        <v>2.841</v>
      </c>
      <c r="I23" s="13" t="n">
        <v>2.805</v>
      </c>
      <c r="K23" s="8" t="n">
        <v>1.03525817188903E-015</v>
      </c>
      <c r="L23" s="8" t="n">
        <v>-3.50873701342123E-013</v>
      </c>
      <c r="M23" s="8" t="n">
        <f aca="false">M22+L23</f>
        <v>-67562.33420522</v>
      </c>
      <c r="N23" s="5" t="str">
        <f aca="false">IF(L23&gt;0,"прибыль",IF(L23&lt;0,"убыток","ноль"))</f>
        <v>убыток</v>
      </c>
      <c r="O23" s="6" t="n">
        <f aca="false">IF(L23&lt;0,O22+1,0)</f>
        <v>1</v>
      </c>
      <c r="P23" s="6" t="n">
        <v>1</v>
      </c>
    </row>
    <row r="24" customFormat="false" ht="15" hidden="false" customHeight="false" outlineLevel="0" collapsed="false">
      <c r="A24" s="6" t="n">
        <v>19</v>
      </c>
      <c r="B24" s="5" t="s">
        <v>72</v>
      </c>
      <c r="C24" s="5" t="s">
        <v>30</v>
      </c>
      <c r="D24" s="11" t="n">
        <v>44259</v>
      </c>
      <c r="E24" s="11" t="n">
        <v>44267</v>
      </c>
      <c r="F24" s="5" t="s">
        <v>73</v>
      </c>
      <c r="G24" s="12" t="n">
        <v>160613.221104164</v>
      </c>
      <c r="H24" s="13" t="n">
        <v>2.805</v>
      </c>
      <c r="I24" s="13" t="n">
        <v>2.666</v>
      </c>
      <c r="K24" s="8" t="n">
        <v>17.2686765790381</v>
      </c>
      <c r="L24" s="8" t="n">
        <v>-8742.5049242168</v>
      </c>
      <c r="M24" s="8" t="n">
        <f aca="false">M23+L24</f>
        <v>-76304.8391294368</v>
      </c>
      <c r="N24" s="5" t="str">
        <f aca="false">IF(L24&gt;0,"прибыль",IF(L24&lt;0,"убыток","ноль"))</f>
        <v>убыток</v>
      </c>
      <c r="O24" s="6" t="n">
        <f aca="false">IF(L24&lt;0,O23+1,0)</f>
        <v>2</v>
      </c>
      <c r="P24" s="6" t="n">
        <v>5</v>
      </c>
    </row>
    <row r="25" customFormat="false" ht="15" hidden="false" customHeight="false" outlineLevel="0" collapsed="false">
      <c r="A25" s="6" t="n">
        <v>20</v>
      </c>
      <c r="B25" s="5" t="s">
        <v>72</v>
      </c>
      <c r="C25" s="5" t="s">
        <v>30</v>
      </c>
      <c r="D25" s="11" t="n">
        <v>44267</v>
      </c>
      <c r="E25" s="11" t="n">
        <v>44284</v>
      </c>
      <c r="F25" s="5" t="s">
        <v>75</v>
      </c>
      <c r="G25" s="12" t="n">
        <v>226155.269081735</v>
      </c>
      <c r="H25" s="13" t="n">
        <v>2.666</v>
      </c>
      <c r="I25" s="13" t="n">
        <v>2.557</v>
      </c>
      <c r="K25" s="8" t="n">
        <v>26.1118416930139</v>
      </c>
      <c r="L25" s="8" t="n">
        <v>4478.81924459897</v>
      </c>
      <c r="M25" s="8" t="n">
        <f aca="false">M24+L25</f>
        <v>-71826.0198848379</v>
      </c>
      <c r="N25" s="5" t="str">
        <f aca="false">IF(L25&gt;0,"прибыль",IF(L25&lt;0,"убыток","ноль"))</f>
        <v>прибыль</v>
      </c>
      <c r="O25" s="6" t="n">
        <f aca="false">IF(L25&lt;0,O24+1,0)</f>
        <v>0</v>
      </c>
      <c r="P25" s="6" t="n">
        <v>11</v>
      </c>
    </row>
    <row r="26" customFormat="false" ht="15" hidden="false" customHeight="false" outlineLevel="0" collapsed="false">
      <c r="A26" s="6" t="n">
        <v>21</v>
      </c>
      <c r="B26" s="5" t="s">
        <v>72</v>
      </c>
      <c r="C26" s="5" t="s">
        <v>30</v>
      </c>
      <c r="D26" s="11" t="n">
        <v>44284</v>
      </c>
      <c r="E26" s="11" t="n">
        <v>44285</v>
      </c>
      <c r="F26" s="5" t="s">
        <v>73</v>
      </c>
      <c r="G26" s="12" t="n">
        <v>3.78718339300546E-011</v>
      </c>
      <c r="H26" s="13" t="n">
        <v>2.557</v>
      </c>
      <c r="I26" s="13" t="n">
        <v>2.645</v>
      </c>
      <c r="J26" s="5" t="s">
        <v>74</v>
      </c>
      <c r="K26" s="8" t="n">
        <v>1.88886616535981E-015</v>
      </c>
      <c r="L26" s="8" t="n">
        <v>-9.63994890238071E-014</v>
      </c>
      <c r="M26" s="8" t="n">
        <f aca="false">M25+L26</f>
        <v>-71826.0198848379</v>
      </c>
      <c r="N26" s="5" t="str">
        <f aca="false">IF(L26&gt;0,"прибыль",IF(L26&lt;0,"убыток","ноль"))</f>
        <v>убыток</v>
      </c>
      <c r="O26" s="6" t="n">
        <f aca="false">IF(L26&lt;0,O25+1,0)</f>
        <v>1</v>
      </c>
      <c r="P26" s="6" t="n">
        <v>1</v>
      </c>
    </row>
    <row r="27" customFormat="false" ht="15" hidden="false" customHeight="false" outlineLevel="0" collapsed="false">
      <c r="A27" s="6" t="n">
        <v>22</v>
      </c>
      <c r="B27" s="5" t="s">
        <v>72</v>
      </c>
      <c r="C27" s="5" t="s">
        <v>30</v>
      </c>
      <c r="D27" s="11" t="n">
        <v>44285</v>
      </c>
      <c r="E27" s="11" t="n">
        <v>44287</v>
      </c>
      <c r="F27" s="5" t="s">
        <v>73</v>
      </c>
      <c r="G27" s="12" t="n">
        <v>241709.547378111</v>
      </c>
      <c r="H27" s="13" t="n">
        <v>2.645</v>
      </c>
      <c r="I27" s="13" t="n">
        <v>2.604</v>
      </c>
      <c r="K27" s="8" t="n">
        <v>24.8667196041681</v>
      </c>
      <c r="L27" s="8" t="n">
        <v>-4349.66011318388</v>
      </c>
      <c r="M27" s="8" t="n">
        <f aca="false">M26+L27</f>
        <v>-76175.6799980217</v>
      </c>
      <c r="N27" s="5" t="str">
        <f aca="false">IF(L27&gt;0,"прибыль",IF(L27&lt;0,"убыток","ноль"))</f>
        <v>убыток</v>
      </c>
      <c r="O27" s="6" t="n">
        <f aca="false">IF(L27&lt;0,O26+1,0)</f>
        <v>2</v>
      </c>
      <c r="P27" s="6" t="n">
        <v>2</v>
      </c>
    </row>
    <row r="28" customFormat="false" ht="15" hidden="false" customHeight="false" outlineLevel="0" collapsed="false">
      <c r="A28" s="6" t="n">
        <v>23</v>
      </c>
      <c r="B28" s="5" t="s">
        <v>72</v>
      </c>
      <c r="C28" s="5" t="s">
        <v>30</v>
      </c>
      <c r="D28" s="11" t="n">
        <v>44287</v>
      </c>
      <c r="E28" s="11" t="n">
        <v>44300</v>
      </c>
      <c r="F28" s="5" t="s">
        <v>75</v>
      </c>
      <c r="G28" s="12" t="n">
        <v>259949.638098831</v>
      </c>
      <c r="H28" s="13" t="n">
        <v>2.604</v>
      </c>
      <c r="I28" s="13" t="n">
        <v>2.621</v>
      </c>
      <c r="K28" s="8" t="n">
        <v>25.4511562394662</v>
      </c>
      <c r="L28" s="8" t="n">
        <v>-2354.11044350704</v>
      </c>
      <c r="M28" s="8" t="n">
        <f aca="false">M27+L28</f>
        <v>-78529.7904415288</v>
      </c>
      <c r="N28" s="5" t="str">
        <f aca="false">IF(L28&gt;0,"прибыль",IF(L28&lt;0,"убыток","ноль"))</f>
        <v>убыток</v>
      </c>
      <c r="O28" s="6" t="n">
        <f aca="false">IF(L28&lt;0,O27+1,0)</f>
        <v>3</v>
      </c>
      <c r="P28" s="6" t="n">
        <v>9</v>
      </c>
    </row>
    <row r="29" customFormat="false" ht="15" hidden="false" customHeight="false" outlineLevel="0" collapsed="false">
      <c r="A29" s="6" t="n">
        <v>24</v>
      </c>
      <c r="B29" s="5" t="s">
        <v>72</v>
      </c>
      <c r="C29" s="5" t="s">
        <v>30</v>
      </c>
      <c r="D29" s="11" t="n">
        <v>44300</v>
      </c>
      <c r="E29" s="11" t="n">
        <v>44301</v>
      </c>
      <c r="F29" s="5" t="s">
        <v>73</v>
      </c>
      <c r="G29" s="12" t="n">
        <v>3.75274014071374E-011</v>
      </c>
      <c r="H29" s="13" t="n">
        <v>2.621</v>
      </c>
      <c r="I29" s="13" t="n">
        <v>2.618</v>
      </c>
      <c r="K29" s="8" t="n">
        <v>1.86965246053502E-015</v>
      </c>
      <c r="L29" s="8" t="n">
        <v>-1.36221848897586E-013</v>
      </c>
      <c r="M29" s="8" t="n">
        <f aca="false">M28+L29</f>
        <v>-78529.7904415288</v>
      </c>
      <c r="N29" s="5" t="str">
        <f aca="false">IF(L29&gt;0,"прибыль",IF(L29&lt;0,"убыток","ноль"))</f>
        <v>убыток</v>
      </c>
      <c r="O29" s="6" t="n">
        <f aca="false">IF(L29&lt;0,O28+1,0)</f>
        <v>4</v>
      </c>
      <c r="P29" s="6" t="n">
        <v>1</v>
      </c>
    </row>
    <row r="30" customFormat="false" ht="15" hidden="false" customHeight="false" outlineLevel="0" collapsed="false">
      <c r="A30" s="6" t="n">
        <v>25</v>
      </c>
      <c r="B30" s="5" t="s">
        <v>72</v>
      </c>
      <c r="C30" s="5" t="s">
        <v>30</v>
      </c>
      <c r="D30" s="11" t="n">
        <v>44301</v>
      </c>
      <c r="E30" s="11" t="n">
        <v>44308</v>
      </c>
      <c r="F30" s="5" t="s">
        <v>73</v>
      </c>
      <c r="G30" s="12" t="n">
        <v>246744.827403225</v>
      </c>
      <c r="H30" s="13" t="n">
        <v>2.618</v>
      </c>
      <c r="I30" s="13" t="n">
        <v>2.698</v>
      </c>
      <c r="K30" s="8" t="n">
        <v>26.0941383728549</v>
      </c>
      <c r="L30" s="8" t="n">
        <v>6618.35139454186</v>
      </c>
      <c r="M30" s="8" t="n">
        <f aca="false">M29+L30</f>
        <v>-71911.4390469869</v>
      </c>
      <c r="N30" s="5" t="str">
        <f aca="false">IF(L30&gt;0,"прибыль",IF(L30&lt;0,"убыток","ноль"))</f>
        <v>прибыль</v>
      </c>
      <c r="O30" s="6" t="n">
        <f aca="false">IF(L30&lt;0,O29+1,0)</f>
        <v>0</v>
      </c>
      <c r="P30" s="6" t="n">
        <v>5</v>
      </c>
    </row>
    <row r="31" customFormat="false" ht="15" hidden="false" customHeight="false" outlineLevel="0" collapsed="false">
      <c r="A31" s="6" t="n">
        <v>26</v>
      </c>
      <c r="B31" s="5" t="s">
        <v>72</v>
      </c>
      <c r="C31" s="5" t="s">
        <v>30</v>
      </c>
      <c r="D31" s="11" t="n">
        <v>44308</v>
      </c>
      <c r="E31" s="11" t="n">
        <v>44309</v>
      </c>
      <c r="F31" s="5" t="s">
        <v>75</v>
      </c>
      <c r="G31" s="12" t="n">
        <v>268493.494520958</v>
      </c>
      <c r="H31" s="13" t="n">
        <v>2.698</v>
      </c>
      <c r="I31" s="13" t="n">
        <v>2.751</v>
      </c>
      <c r="K31" s="8" t="n">
        <v>27.2547648740182</v>
      </c>
      <c r="L31" s="8" t="n">
        <v>-5932.54423636272</v>
      </c>
      <c r="M31" s="8" t="n">
        <f aca="false">M30+L31</f>
        <v>-77843.9832833496</v>
      </c>
      <c r="N31" s="5" t="str">
        <f aca="false">IF(L31&gt;0,"прибыль",IF(L31&lt;0,"убыток","ноль"))</f>
        <v>убыток</v>
      </c>
      <c r="O31" s="6" t="n">
        <f aca="false">IF(L31&lt;0,O30+1,0)</f>
        <v>1</v>
      </c>
      <c r="P31" s="6" t="n">
        <v>1</v>
      </c>
    </row>
    <row r="32" customFormat="false" ht="15" hidden="false" customHeight="false" outlineLevel="0" collapsed="false">
      <c r="A32" s="6" t="n">
        <v>27</v>
      </c>
      <c r="B32" s="5" t="s">
        <v>72</v>
      </c>
      <c r="C32" s="5" t="s">
        <v>30</v>
      </c>
      <c r="D32" s="11" t="n">
        <v>44309</v>
      </c>
      <c r="E32" s="11" t="n">
        <v>44320</v>
      </c>
      <c r="F32" s="5" t="s">
        <v>73</v>
      </c>
      <c r="G32" s="12" t="n">
        <v>270696.513487917</v>
      </c>
      <c r="H32" s="13" t="n">
        <v>2.751</v>
      </c>
      <c r="I32" s="13" t="n">
        <v>2.937</v>
      </c>
      <c r="J32" s="5" t="s">
        <v>74</v>
      </c>
      <c r="K32" s="8" t="n">
        <v>26.1601694493188</v>
      </c>
      <c r="L32" s="8" t="n">
        <v>10152.4751337225</v>
      </c>
      <c r="M32" s="8" t="n">
        <f aca="false">M31+L32</f>
        <v>-67691.5081496271</v>
      </c>
      <c r="N32" s="5" t="str">
        <f aca="false">IF(L32&gt;0,"прибыль",IF(L32&lt;0,"убыток","ноль"))</f>
        <v>прибыль</v>
      </c>
      <c r="O32" s="6" t="n">
        <f aca="false">IF(L32&lt;0,O31+1,0)</f>
        <v>0</v>
      </c>
      <c r="P32" s="6" t="n">
        <v>6</v>
      </c>
    </row>
    <row r="33" customFormat="false" ht="15" hidden="false" customHeight="false" outlineLevel="0" collapsed="false">
      <c r="A33" s="6" t="n">
        <v>28</v>
      </c>
      <c r="B33" s="5" t="s">
        <v>72</v>
      </c>
      <c r="C33" s="5" t="s">
        <v>30</v>
      </c>
      <c r="D33" s="11" t="n">
        <v>44320</v>
      </c>
      <c r="E33" s="11" t="n">
        <v>44321</v>
      </c>
      <c r="F33" s="5" t="s">
        <v>75</v>
      </c>
      <c r="G33" s="12" t="n">
        <v>242328.240195286</v>
      </c>
      <c r="H33" s="13" t="n">
        <v>2.937</v>
      </c>
      <c r="I33" s="13" t="n">
        <v>2.98</v>
      </c>
      <c r="K33" s="8" t="n">
        <v>28.0684493766863</v>
      </c>
      <c r="L33" s="8" t="n">
        <v>-4135.95690737846</v>
      </c>
      <c r="M33" s="8" t="n">
        <f aca="false">M32+L33</f>
        <v>-71827.4650570055</v>
      </c>
      <c r="N33" s="5" t="str">
        <f aca="false">IF(L33&gt;0,"прибыль",IF(L33&lt;0,"убыток","ноль"))</f>
        <v>убыток</v>
      </c>
      <c r="O33" s="6" t="n">
        <f aca="false">IF(L33&lt;0,O32+1,0)</f>
        <v>1</v>
      </c>
      <c r="P33" s="6" t="n">
        <v>1</v>
      </c>
    </row>
    <row r="34" customFormat="false" ht="15" hidden="false" customHeight="false" outlineLevel="0" collapsed="false">
      <c r="A34" s="6" t="n">
        <v>29</v>
      </c>
      <c r="B34" s="5" t="s">
        <v>72</v>
      </c>
      <c r="C34" s="5" t="s">
        <v>30</v>
      </c>
      <c r="D34" s="11" t="n">
        <v>44321</v>
      </c>
      <c r="E34" s="11" t="n">
        <v>44322</v>
      </c>
      <c r="F34" s="5" t="s">
        <v>73</v>
      </c>
      <c r="G34" s="12" t="n">
        <v>314932.858880437</v>
      </c>
      <c r="H34" s="13" t="n">
        <v>2.98</v>
      </c>
      <c r="I34" s="13" t="n">
        <v>2.95</v>
      </c>
      <c r="K34" s="8" t="n">
        <v>31.8761360776267</v>
      </c>
      <c r="L34" s="8" t="n">
        <v>-3835.8376678056</v>
      </c>
      <c r="M34" s="8" t="n">
        <f aca="false">M33+L34</f>
        <v>-75663.3027248111</v>
      </c>
      <c r="N34" s="5" t="str">
        <f aca="false">IF(L34&gt;0,"прибыль",IF(L34&lt;0,"убыток","ноль"))</f>
        <v>убыток</v>
      </c>
      <c r="O34" s="6" t="n">
        <f aca="false">IF(L34&lt;0,O33+1,0)</f>
        <v>2</v>
      </c>
      <c r="P34" s="6" t="n">
        <v>1</v>
      </c>
    </row>
    <row r="35" customFormat="false" ht="15" hidden="false" customHeight="false" outlineLevel="0" collapsed="false">
      <c r="A35" s="6" t="n">
        <v>30</v>
      </c>
      <c r="B35" s="5" t="s">
        <v>72</v>
      </c>
      <c r="C35" s="5" t="s">
        <v>30</v>
      </c>
      <c r="D35" s="11" t="n">
        <v>44322</v>
      </c>
      <c r="E35" s="11" t="n">
        <v>44323</v>
      </c>
      <c r="F35" s="5" t="s">
        <v>75</v>
      </c>
      <c r="G35" s="12" t="n">
        <v>326393.824203824</v>
      </c>
      <c r="H35" s="13" t="n">
        <v>2.95</v>
      </c>
      <c r="I35" s="13" t="n">
        <v>2.93</v>
      </c>
      <c r="K35" s="8" t="n">
        <v>32.4518066533674</v>
      </c>
      <c r="L35" s="8" t="n">
        <v>1526.84975271259</v>
      </c>
      <c r="M35" s="8" t="n">
        <f aca="false">M34+L35</f>
        <v>-74136.4529720985</v>
      </c>
      <c r="N35" s="5" t="str">
        <f aca="false">IF(L35&gt;0,"прибыль",IF(L35&lt;0,"убыток","ноль"))</f>
        <v>прибыль</v>
      </c>
      <c r="O35" s="6" t="n">
        <f aca="false">IF(L35&lt;0,O34+1,0)</f>
        <v>0</v>
      </c>
      <c r="P35" s="6" t="n">
        <v>1</v>
      </c>
    </row>
    <row r="36" customFormat="false" ht="15" hidden="false" customHeight="false" outlineLevel="0" collapsed="false">
      <c r="A36" s="6" t="n">
        <v>31</v>
      </c>
      <c r="B36" s="5" t="s">
        <v>72</v>
      </c>
      <c r="C36" s="5" t="s">
        <v>30</v>
      </c>
      <c r="D36" s="11" t="n">
        <v>44323</v>
      </c>
      <c r="E36" s="11" t="n">
        <v>44326</v>
      </c>
      <c r="F36" s="5" t="s">
        <v>73</v>
      </c>
      <c r="G36" s="12" t="n">
        <v>324201.610422889</v>
      </c>
      <c r="H36" s="13" t="n">
        <v>2.93</v>
      </c>
      <c r="I36" s="13" t="n">
        <v>2.964</v>
      </c>
      <c r="K36" s="8" t="n">
        <v>32.3682698963675</v>
      </c>
      <c r="L36" s="8" t="n">
        <v>3066.57446731266</v>
      </c>
      <c r="M36" s="8" t="n">
        <f aca="false">M35+L36</f>
        <v>-71069.8785047859</v>
      </c>
      <c r="N36" s="5" t="str">
        <f aca="false">IF(L36&gt;0,"прибыль",IF(L36&lt;0,"убыток","ноль"))</f>
        <v>прибыль</v>
      </c>
      <c r="O36" s="6" t="n">
        <f aca="false">IF(L36&lt;0,O35+1,0)</f>
        <v>0</v>
      </c>
      <c r="P36" s="6" t="n">
        <v>1</v>
      </c>
    </row>
    <row r="37" customFormat="false" ht="15" hidden="false" customHeight="false" outlineLevel="0" collapsed="false">
      <c r="A37" s="6" t="n">
        <v>32</v>
      </c>
      <c r="B37" s="5" t="s">
        <v>72</v>
      </c>
      <c r="C37" s="5" t="s">
        <v>30</v>
      </c>
      <c r="D37" s="11" t="n">
        <v>44326</v>
      </c>
      <c r="E37" s="11" t="n">
        <v>44334</v>
      </c>
      <c r="F37" s="5" t="s">
        <v>75</v>
      </c>
      <c r="G37" s="12" t="n">
        <v>66209.8661226839</v>
      </c>
      <c r="H37" s="13" t="n">
        <v>2.964</v>
      </c>
      <c r="I37" s="13" t="n">
        <v>3.12</v>
      </c>
      <c r="K37" s="8" t="n">
        <v>3.492309349571</v>
      </c>
      <c r="L37" s="8" t="n">
        <v>-3639.81317808568</v>
      </c>
      <c r="M37" s="8" t="n">
        <f aca="false">M36+L37</f>
        <v>-74709.6916828716</v>
      </c>
      <c r="N37" s="5" t="str">
        <f aca="false">IF(L37&gt;0,"прибыль",IF(L37&lt;0,"убыток","ноль"))</f>
        <v>убыток</v>
      </c>
      <c r="O37" s="6" t="n">
        <f aca="false">IF(L37&lt;0,O36+1,0)</f>
        <v>1</v>
      </c>
      <c r="P37" s="6" t="n">
        <v>6</v>
      </c>
    </row>
    <row r="38" customFormat="false" ht="15" hidden="false" customHeight="false" outlineLevel="0" collapsed="false">
      <c r="A38" s="6" t="n">
        <v>33</v>
      </c>
      <c r="B38" s="5" t="s">
        <v>72</v>
      </c>
      <c r="C38" s="5" t="s">
        <v>30</v>
      </c>
      <c r="D38" s="11" t="n">
        <v>44334</v>
      </c>
      <c r="E38" s="11" t="n">
        <v>44348</v>
      </c>
      <c r="F38" s="5" t="s">
        <v>75</v>
      </c>
      <c r="G38" s="12" t="n">
        <v>253854.978644567</v>
      </c>
      <c r="H38" s="13" t="n">
        <v>3.12</v>
      </c>
      <c r="I38" s="13" t="n">
        <v>3.059</v>
      </c>
      <c r="J38" s="5" t="s">
        <v>74</v>
      </c>
      <c r="K38" s="8" t="n">
        <v>25.4816495004246</v>
      </c>
      <c r="L38" s="8" t="n">
        <v>393.201444771142</v>
      </c>
      <c r="M38" s="8" t="n">
        <f aca="false">M37+L38</f>
        <v>-74316.4902381004</v>
      </c>
      <c r="N38" s="5" t="str">
        <f aca="false">IF(L38&gt;0,"прибыль",IF(L38&lt;0,"убыток","ноль"))</f>
        <v>прибыль</v>
      </c>
      <c r="O38" s="6" t="n">
        <f aca="false">IF(L38&lt;0,O37+1,0)</f>
        <v>0</v>
      </c>
      <c r="P38" s="6" t="n">
        <v>10</v>
      </c>
    </row>
    <row r="39" customFormat="false" ht="15" hidden="false" customHeight="false" outlineLevel="0" collapsed="false">
      <c r="A39" s="6" t="n">
        <v>34</v>
      </c>
      <c r="B39" s="5" t="s">
        <v>72</v>
      </c>
      <c r="C39" s="5" t="s">
        <v>30</v>
      </c>
      <c r="D39" s="11" t="n">
        <v>44348</v>
      </c>
      <c r="E39" s="11" t="n">
        <v>44384</v>
      </c>
      <c r="F39" s="5" t="s">
        <v>73</v>
      </c>
      <c r="G39" s="12" t="n">
        <v>61530.3138610324</v>
      </c>
      <c r="H39" s="13" t="n">
        <v>3.059</v>
      </c>
      <c r="I39" s="13" t="n">
        <v>3.679</v>
      </c>
      <c r="J39" s="5" t="s">
        <v>74</v>
      </c>
      <c r="K39" s="8" t="n">
        <v>3.60826852812057</v>
      </c>
      <c r="L39" s="8" t="n">
        <v>10631.448432851</v>
      </c>
      <c r="M39" s="8" t="n">
        <f aca="false">M38+L39</f>
        <v>-63685.0418052495</v>
      </c>
      <c r="N39" s="5" t="str">
        <f aca="false">IF(L39&gt;0,"прибыль",IF(L39&lt;0,"убыток","ноль"))</f>
        <v>прибыль</v>
      </c>
      <c r="O39" s="6" t="n">
        <f aca="false">IF(L39&lt;0,O38+1,0)</f>
        <v>0</v>
      </c>
      <c r="P39" s="6" t="n">
        <v>26</v>
      </c>
    </row>
    <row r="40" customFormat="false" ht="15" hidden="false" customHeight="false" outlineLevel="0" collapsed="false">
      <c r="A40" s="6" t="n">
        <v>35</v>
      </c>
      <c r="B40" s="5" t="s">
        <v>72</v>
      </c>
      <c r="C40" s="5" t="s">
        <v>30</v>
      </c>
      <c r="D40" s="11" t="n">
        <v>44384</v>
      </c>
      <c r="E40" s="11" t="n">
        <v>44435</v>
      </c>
      <c r="F40" s="5" t="s">
        <v>73</v>
      </c>
      <c r="G40" s="12" t="n">
        <v>55774.0025474961</v>
      </c>
      <c r="H40" s="13" t="n">
        <v>3.679</v>
      </c>
      <c r="I40" s="13" t="n">
        <v>4.184</v>
      </c>
      <c r="J40" s="5" t="s">
        <v>74</v>
      </c>
      <c r="K40" s="8" t="n">
        <v>3.74999701443758</v>
      </c>
      <c r="L40" s="8" t="n">
        <v>19222.187744241</v>
      </c>
      <c r="M40" s="8" t="n">
        <f aca="false">M39+L40</f>
        <v>-44462.8540610085</v>
      </c>
      <c r="N40" s="5" t="str">
        <f aca="false">IF(L40&gt;0,"прибыль",IF(L40&lt;0,"убыток","ноль"))</f>
        <v>прибыль</v>
      </c>
      <c r="O40" s="6" t="n">
        <f aca="false">IF(L40&lt;0,O39+1,0)</f>
        <v>0</v>
      </c>
      <c r="P40" s="6" t="n">
        <v>37</v>
      </c>
    </row>
    <row r="41" customFormat="false" ht="15" hidden="false" customHeight="false" outlineLevel="0" collapsed="false">
      <c r="A41" s="6" t="n">
        <v>36</v>
      </c>
      <c r="B41" s="5" t="s">
        <v>72</v>
      </c>
      <c r="C41" s="5" t="s">
        <v>30</v>
      </c>
      <c r="D41" s="11" t="n">
        <v>44435</v>
      </c>
      <c r="E41" s="11" t="n">
        <v>44448</v>
      </c>
      <c r="F41" s="5" t="s">
        <v>73</v>
      </c>
      <c r="G41" s="12" t="n">
        <v>34579.1044918156</v>
      </c>
      <c r="H41" s="13" t="n">
        <v>4.184</v>
      </c>
      <c r="I41" s="13" t="n">
        <v>4.924</v>
      </c>
      <c r="J41" s="5" t="s">
        <v>74</v>
      </c>
      <c r="K41" s="8" t="n">
        <v>2.5982851095105</v>
      </c>
      <c r="L41" s="8" t="n">
        <v>17383.999413285</v>
      </c>
      <c r="M41" s="8" t="n">
        <f aca="false">M40+L41</f>
        <v>-27078.8546477235</v>
      </c>
      <c r="N41" s="5" t="str">
        <f aca="false">IF(L41&gt;0,"прибыль",IF(L41&lt;0,"убыток","ноль"))</f>
        <v>прибыль</v>
      </c>
      <c r="O41" s="6" t="n">
        <f aca="false">IF(L41&lt;0,O40+1,0)</f>
        <v>0</v>
      </c>
      <c r="P41" s="6" t="n">
        <v>9</v>
      </c>
    </row>
    <row r="42" customFormat="false" ht="15" hidden="false" customHeight="false" outlineLevel="0" collapsed="false">
      <c r="A42" s="6" t="n">
        <v>37</v>
      </c>
      <c r="B42" s="5" t="s">
        <v>72</v>
      </c>
      <c r="C42" s="5" t="s">
        <v>30</v>
      </c>
      <c r="D42" s="11" t="n">
        <v>44448</v>
      </c>
      <c r="E42" s="11" t="n">
        <v>44467</v>
      </c>
      <c r="F42" s="5" t="s">
        <v>73</v>
      </c>
      <c r="G42" s="12" t="n">
        <v>32666.008147085</v>
      </c>
      <c r="H42" s="13" t="n">
        <v>4.924</v>
      </c>
      <c r="I42" s="13" t="n">
        <v>5.707</v>
      </c>
      <c r="K42" s="8" t="n">
        <v>2.84379019370177</v>
      </c>
      <c r="L42" s="8" t="n">
        <v>24206.9519367568</v>
      </c>
      <c r="M42" s="8" t="n">
        <f aca="false">M41+L42</f>
        <v>-2871.90271096668</v>
      </c>
      <c r="N42" s="5" t="str">
        <f aca="false">IF(L42&gt;0,"прибыль",IF(L42&lt;0,"убыток","ноль"))</f>
        <v>прибыль</v>
      </c>
      <c r="O42" s="6" t="n">
        <f aca="false">IF(L42&lt;0,O41+1,0)</f>
        <v>0</v>
      </c>
      <c r="P42" s="6" t="n">
        <v>13</v>
      </c>
    </row>
    <row r="43" customFormat="false" ht="15" hidden="false" customHeight="false" outlineLevel="0" collapsed="false">
      <c r="A43" s="6" t="n">
        <v>38</v>
      </c>
      <c r="B43" s="5" t="s">
        <v>72</v>
      </c>
      <c r="C43" s="5" t="s">
        <v>30</v>
      </c>
      <c r="D43" s="11" t="n">
        <v>44467</v>
      </c>
      <c r="E43" s="11" t="n">
        <v>44474</v>
      </c>
      <c r="F43" s="5" t="s">
        <v>73</v>
      </c>
      <c r="G43" s="12" t="n">
        <v>15888.781541393</v>
      </c>
      <c r="H43" s="13" t="n">
        <v>5.707</v>
      </c>
      <c r="I43" s="13" t="n">
        <v>5.82</v>
      </c>
      <c r="J43" s="5" t="s">
        <v>74</v>
      </c>
      <c r="K43" s="8" t="n">
        <v>1.38416325204721</v>
      </c>
      <c r="L43" s="8" t="n">
        <v>11793.0993362992</v>
      </c>
      <c r="M43" s="8" t="n">
        <f aca="false">M42+L43</f>
        <v>8921.19662533256</v>
      </c>
      <c r="N43" s="5" t="str">
        <f aca="false">IF(L43&gt;0,"прибыль",IF(L43&lt;0,"убыток","ноль"))</f>
        <v>прибыль</v>
      </c>
      <c r="O43" s="6" t="n">
        <f aca="false">IF(L43&lt;0,O42+1,0)</f>
        <v>0</v>
      </c>
      <c r="P43" s="6" t="n">
        <v>5</v>
      </c>
    </row>
    <row r="44" customFormat="false" ht="15" hidden="false" customHeight="false" outlineLevel="0" collapsed="false">
      <c r="A44" s="6" t="n">
        <v>39</v>
      </c>
      <c r="B44" s="5" t="s">
        <v>72</v>
      </c>
      <c r="C44" s="5" t="s">
        <v>30</v>
      </c>
      <c r="D44" s="11" t="n">
        <v>44474</v>
      </c>
      <c r="E44" s="11" t="n">
        <v>44495</v>
      </c>
      <c r="F44" s="5" t="s">
        <v>73</v>
      </c>
      <c r="G44" s="12" t="n">
        <v>11353.7439872904</v>
      </c>
      <c r="H44" s="13" t="n">
        <v>5.82</v>
      </c>
      <c r="I44" s="13" t="n">
        <v>6</v>
      </c>
      <c r="K44" s="8" t="n">
        <v>1.01914586720728</v>
      </c>
      <c r="L44" s="8" t="n">
        <v>9028.15421098807</v>
      </c>
      <c r="M44" s="8" t="n">
        <f aca="false">M43+L44</f>
        <v>17949.3508363206</v>
      </c>
      <c r="N44" s="5" t="str">
        <f aca="false">IF(L44&gt;0,"прибыль",IF(L44&lt;0,"убыток","ноль"))</f>
        <v>прибыль</v>
      </c>
      <c r="O44" s="6" t="n">
        <f aca="false">IF(L44&lt;0,O43+1,0)</f>
        <v>0</v>
      </c>
      <c r="P44" s="6" t="n">
        <v>15</v>
      </c>
    </row>
    <row r="45" customFormat="false" ht="15" hidden="false" customHeight="false" outlineLevel="0" collapsed="false">
      <c r="A45" s="6" t="n">
        <v>40</v>
      </c>
      <c r="B45" s="5" t="s">
        <v>72</v>
      </c>
      <c r="C45" s="5" t="s">
        <v>30</v>
      </c>
      <c r="D45" s="11" t="n">
        <v>44495</v>
      </c>
      <c r="E45" s="11" t="n">
        <v>44530</v>
      </c>
      <c r="F45" s="5" t="s">
        <v>73</v>
      </c>
      <c r="G45" s="12" t="n">
        <v>76487.3537112867</v>
      </c>
      <c r="H45" s="13" t="n">
        <v>6</v>
      </c>
      <c r="I45" s="13" t="n">
        <v>4.866</v>
      </c>
      <c r="J45" s="5" t="s">
        <v>74</v>
      </c>
      <c r="K45" s="8" t="n">
        <v>10.3747164348113</v>
      </c>
      <c r="L45" s="8" t="n">
        <v>9272.97994794723</v>
      </c>
      <c r="M45" s="8" t="n">
        <f aca="false">M44+L45</f>
        <v>27222.3307842679</v>
      </c>
      <c r="N45" s="5" t="str">
        <f aca="false">IF(L45&gt;0,"прибыль",IF(L45&lt;0,"убыток","ноль"))</f>
        <v>прибыль</v>
      </c>
      <c r="O45" s="6" t="n">
        <f aca="false">IF(L45&lt;0,O44+1,0)</f>
        <v>0</v>
      </c>
      <c r="P45" s="6" t="n">
        <v>24</v>
      </c>
    </row>
    <row r="46" customFormat="false" ht="15" hidden="false" customHeight="false" outlineLevel="0" collapsed="false">
      <c r="A46" s="6" t="n">
        <v>41</v>
      </c>
      <c r="B46" s="5" t="s">
        <v>72</v>
      </c>
      <c r="C46" s="5" t="s">
        <v>30</v>
      </c>
      <c r="D46" s="11" t="n">
        <v>44530</v>
      </c>
      <c r="E46" s="11" t="n">
        <v>44574</v>
      </c>
      <c r="F46" s="5" t="s">
        <v>75</v>
      </c>
      <c r="G46" s="12" t="n">
        <v>43040.7286126112</v>
      </c>
      <c r="H46" s="13" t="n">
        <v>4.866</v>
      </c>
      <c r="I46" s="13" t="n">
        <v>4.817</v>
      </c>
      <c r="J46" s="5" t="s">
        <v>74</v>
      </c>
      <c r="K46" s="8" t="n">
        <v>4.39966873674397</v>
      </c>
      <c r="L46" s="8" t="n">
        <v>-5179.299146277</v>
      </c>
      <c r="M46" s="8" t="n">
        <f aca="false">M45+L46</f>
        <v>22043.0316379909</v>
      </c>
      <c r="N46" s="5" t="str">
        <f aca="false">IF(L46&gt;0,"прибыль",IF(L46&lt;0,"убыток","ноль"))</f>
        <v>убыток</v>
      </c>
      <c r="O46" s="6" t="n">
        <f aca="false">IF(L46&lt;0,O45+1,0)</f>
        <v>1</v>
      </c>
      <c r="P46" s="6" t="n">
        <v>31</v>
      </c>
    </row>
    <row r="47" customFormat="false" ht="15" hidden="false" customHeight="false" outlineLevel="0" collapsed="false">
      <c r="A47" s="6" t="n">
        <v>42</v>
      </c>
      <c r="B47" s="5" t="s">
        <v>72</v>
      </c>
      <c r="C47" s="5" t="s">
        <v>30</v>
      </c>
      <c r="D47" s="11" t="n">
        <v>44574</v>
      </c>
      <c r="E47" s="11" t="n">
        <v>44586</v>
      </c>
      <c r="F47" s="5" t="s">
        <v>75</v>
      </c>
      <c r="G47" s="12" t="n">
        <v>86378.0245234701</v>
      </c>
      <c r="H47" s="13" t="n">
        <v>4.817</v>
      </c>
      <c r="I47" s="13" t="n">
        <v>3.967</v>
      </c>
      <c r="K47" s="8" t="n">
        <v>3.98625884447287</v>
      </c>
      <c r="L47" s="8" t="n">
        <v>6648.86137516824</v>
      </c>
      <c r="M47" s="8" t="n">
        <f aca="false">M46+L47</f>
        <v>28691.8930131591</v>
      </c>
      <c r="N47" s="5" t="str">
        <f aca="false">IF(L47&gt;0,"прибыль",IF(L47&lt;0,"убыток","ноль"))</f>
        <v>прибыль</v>
      </c>
      <c r="O47" s="6" t="n">
        <f aca="false">IF(L47&lt;0,O46+1,0)</f>
        <v>0</v>
      </c>
      <c r="P47" s="6" t="n">
        <v>8</v>
      </c>
    </row>
    <row r="48" customFormat="false" ht="15" hidden="false" customHeight="false" outlineLevel="0" collapsed="false">
      <c r="A48" s="6" t="n">
        <v>43</v>
      </c>
      <c r="B48" s="5" t="s">
        <v>72</v>
      </c>
      <c r="C48" s="5" t="s">
        <v>30</v>
      </c>
      <c r="D48" s="11" t="n">
        <v>44593</v>
      </c>
      <c r="E48" s="11" t="n">
        <v>44595</v>
      </c>
      <c r="F48" s="5" t="s">
        <v>75</v>
      </c>
      <c r="G48" s="12" t="n">
        <v>176643.301981991</v>
      </c>
      <c r="H48" s="13" t="n">
        <v>4.912</v>
      </c>
      <c r="I48" s="13" t="n">
        <v>5.433</v>
      </c>
      <c r="K48" s="8" t="n">
        <v>18.6599455984239</v>
      </c>
      <c r="L48" s="8" t="n">
        <v>-19930.967950096</v>
      </c>
      <c r="M48" s="8" t="n">
        <f aca="false">M47+L48</f>
        <v>8760.92506306313</v>
      </c>
      <c r="N48" s="5" t="str">
        <f aca="false">IF(L48&gt;0,"прибыль",IF(L48&lt;0,"убыток","ноль"))</f>
        <v>убыток</v>
      </c>
      <c r="O48" s="6" t="n">
        <f aca="false">IF(L48&lt;0,O47+1,0)</f>
        <v>1</v>
      </c>
      <c r="P48" s="6" t="n">
        <v>2</v>
      </c>
    </row>
    <row r="49" customFormat="false" ht="15" hidden="false" customHeight="false" outlineLevel="0" collapsed="false">
      <c r="A49" s="6" t="n">
        <v>44</v>
      </c>
      <c r="B49" s="5" t="s">
        <v>72</v>
      </c>
      <c r="C49" s="5" t="s">
        <v>30</v>
      </c>
      <c r="D49" s="11" t="n">
        <v>44596</v>
      </c>
      <c r="E49" s="11" t="n">
        <v>44599</v>
      </c>
      <c r="F49" s="5" t="s">
        <v>75</v>
      </c>
      <c r="G49" s="12" t="n">
        <v>149606.125465907</v>
      </c>
      <c r="H49" s="13" t="n">
        <v>4.932</v>
      </c>
      <c r="I49" s="13" t="n">
        <v>4.514</v>
      </c>
      <c r="K49" s="8" t="n">
        <v>14.3740801095967</v>
      </c>
      <c r="L49" s="8" t="n">
        <v>11716.2746597702</v>
      </c>
      <c r="M49" s="8" t="n">
        <f aca="false">M48+L49</f>
        <v>20477.1997228333</v>
      </c>
      <c r="N49" s="5" t="str">
        <f aca="false">IF(L49&gt;0,"прибыль",IF(L49&lt;0,"убыток","ноль"))</f>
        <v>прибыль</v>
      </c>
      <c r="O49" s="6" t="n">
        <f aca="false">IF(L49&lt;0,O48+1,0)</f>
        <v>0</v>
      </c>
      <c r="P49" s="6" t="n">
        <v>1</v>
      </c>
    </row>
    <row r="50" customFormat="false" ht="15" hidden="false" customHeight="false" outlineLevel="0" collapsed="false">
      <c r="A50" s="6" t="n">
        <v>45</v>
      </c>
      <c r="B50" s="5" t="s">
        <v>72</v>
      </c>
      <c r="C50" s="5" t="s">
        <v>30</v>
      </c>
      <c r="D50" s="11" t="n">
        <v>44616</v>
      </c>
      <c r="E50" s="11" t="n">
        <v>44634</v>
      </c>
      <c r="F50" s="5" t="s">
        <v>73</v>
      </c>
      <c r="G50" s="12" t="n">
        <v>198263.60705966</v>
      </c>
      <c r="H50" s="13" t="n">
        <v>4.624</v>
      </c>
      <c r="I50" s="13" t="n">
        <v>4.707</v>
      </c>
      <c r="J50" s="5" t="s">
        <v>74</v>
      </c>
      <c r="K50" s="8" t="n">
        <v>19.8332842712859</v>
      </c>
      <c r="L50" s="8" t="n">
        <v>118.638022127301</v>
      </c>
      <c r="M50" s="8" t="n">
        <f aca="false">M49+L50</f>
        <v>20595.8377449606</v>
      </c>
      <c r="N50" s="5" t="str">
        <f aca="false">IF(L50&gt;0,"прибыль",IF(L50&lt;0,"убыток","ноль"))</f>
        <v>прибыль</v>
      </c>
      <c r="O50" s="6" t="n">
        <f aca="false">IF(L50&lt;0,O49+1,0)</f>
        <v>0</v>
      </c>
      <c r="P50" s="6" t="n">
        <v>8</v>
      </c>
    </row>
    <row r="51" customFormat="false" ht="15" hidden="false" customHeight="false" outlineLevel="0" collapsed="false">
      <c r="A51" s="6" t="n">
        <v>46</v>
      </c>
      <c r="B51" s="5" t="s">
        <v>72</v>
      </c>
      <c r="C51" s="5" t="s">
        <v>30</v>
      </c>
      <c r="D51" s="11" t="n">
        <v>44635</v>
      </c>
      <c r="E51" s="11" t="n">
        <v>44637</v>
      </c>
      <c r="F51" s="5" t="s">
        <v>73</v>
      </c>
      <c r="G51" s="12" t="n">
        <v>222651.290780647</v>
      </c>
      <c r="H51" s="13" t="n">
        <v>4.534</v>
      </c>
      <c r="I51" s="13" t="n">
        <v>4.622</v>
      </c>
      <c r="K51" s="8" t="n">
        <v>22.4289130067175</v>
      </c>
      <c r="L51" s="8" t="n">
        <v>3253.24966004909</v>
      </c>
      <c r="M51" s="8" t="n">
        <f aca="false">M50+L51</f>
        <v>23849.0874050097</v>
      </c>
      <c r="N51" s="5" t="str">
        <f aca="false">IF(L51&gt;0,"прибыль",IF(L51&lt;0,"убыток","ноль"))</f>
        <v>прибыль</v>
      </c>
      <c r="O51" s="6" t="n">
        <f aca="false">IF(L51&lt;0,O50+1,0)</f>
        <v>0</v>
      </c>
      <c r="P51" s="6" t="n">
        <v>2</v>
      </c>
    </row>
    <row r="52" customFormat="false" ht="15" hidden="false" customHeight="false" outlineLevel="0" collapsed="false">
      <c r="A52" s="6" t="n">
        <v>47</v>
      </c>
      <c r="B52" s="5" t="s">
        <v>72</v>
      </c>
      <c r="C52" s="5" t="s">
        <v>30</v>
      </c>
      <c r="D52" s="11" t="n">
        <v>44638</v>
      </c>
      <c r="E52" s="11" t="n">
        <v>44642</v>
      </c>
      <c r="F52" s="5" t="s">
        <v>73</v>
      </c>
      <c r="G52" s="12" t="n">
        <v>229754.080304013</v>
      </c>
      <c r="H52" s="13" t="n">
        <v>4.67</v>
      </c>
      <c r="I52" s="13" t="n">
        <v>4.762</v>
      </c>
      <c r="K52" s="8" t="n">
        <v>23.1492742938261</v>
      </c>
      <c r="L52" s="8" t="n">
        <v>3454.17599420112</v>
      </c>
      <c r="M52" s="8" t="n">
        <f aca="false">M51+L52</f>
        <v>27303.2633992108</v>
      </c>
      <c r="N52" s="5" t="str">
        <f aca="false">IF(L52&gt;0,"прибыль",IF(L52&lt;0,"убыток","ноль"))</f>
        <v>прибыль</v>
      </c>
      <c r="O52" s="6" t="n">
        <f aca="false">IF(L52&lt;0,O51+1,0)</f>
        <v>0</v>
      </c>
      <c r="P52" s="6" t="n">
        <v>2</v>
      </c>
    </row>
    <row r="53" customFormat="false" ht="15" hidden="false" customHeight="false" outlineLevel="0" collapsed="false">
      <c r="A53" s="6" t="n">
        <v>48</v>
      </c>
      <c r="B53" s="5" t="s">
        <v>72</v>
      </c>
      <c r="C53" s="5" t="s">
        <v>30</v>
      </c>
      <c r="D53" s="11" t="n">
        <v>44746</v>
      </c>
      <c r="E53" s="11" t="n">
        <v>44754</v>
      </c>
      <c r="F53" s="5" t="s">
        <v>75</v>
      </c>
      <c r="G53" s="12" t="n">
        <v>42034.7002145606</v>
      </c>
      <c r="H53" s="13" t="n">
        <v>5.821</v>
      </c>
      <c r="I53" s="13" t="n">
        <v>6.477</v>
      </c>
      <c r="K53" s="8" t="n">
        <v>12.7573790010858</v>
      </c>
      <c r="L53" s="8" t="n">
        <v>-4997.71061336208</v>
      </c>
      <c r="M53" s="8" t="n">
        <f aca="false">M52+L53</f>
        <v>22305.5527858488</v>
      </c>
      <c r="N53" s="5" t="str">
        <f aca="false">IF(L53&gt;0,"прибыль",IF(L53&lt;0,"убыток","ноль"))</f>
        <v>убыток</v>
      </c>
      <c r="O53" s="6" t="n">
        <f aca="false">IF(L53&lt;0,O52+1,0)</f>
        <v>1</v>
      </c>
      <c r="P53" s="6" t="n">
        <v>6</v>
      </c>
    </row>
    <row r="54" customFormat="false" ht="15" hidden="false" customHeight="false" outlineLevel="0" collapsed="false">
      <c r="A54" s="6" t="n">
        <v>49</v>
      </c>
      <c r="B54" s="5" t="s">
        <v>72</v>
      </c>
      <c r="C54" s="5" t="s">
        <v>30</v>
      </c>
      <c r="D54" s="11" t="n">
        <v>44754</v>
      </c>
      <c r="E54" s="11" t="n">
        <v>44763</v>
      </c>
      <c r="F54" s="5" t="s">
        <v>75</v>
      </c>
      <c r="G54" s="12" t="n">
        <v>166093.226358234</v>
      </c>
      <c r="H54" s="13" t="n">
        <v>6.477</v>
      </c>
      <c r="I54" s="13" t="n">
        <v>7.75</v>
      </c>
      <c r="K54" s="8" t="n">
        <v>11.1145359545338</v>
      </c>
      <c r="L54" s="8" t="n">
        <v>-56208.6072683958</v>
      </c>
      <c r="M54" s="8" t="n">
        <f aca="false">M53+L54</f>
        <v>-33903.054482547</v>
      </c>
      <c r="N54" s="5" t="str">
        <f aca="false">IF(L54&gt;0,"прибыль",IF(L54&lt;0,"убыток","ноль"))</f>
        <v>убыток</v>
      </c>
      <c r="O54" s="6" t="n">
        <f aca="false">IF(L54&lt;0,O53+1,0)</f>
        <v>2</v>
      </c>
      <c r="P54" s="6" t="n">
        <v>7</v>
      </c>
    </row>
    <row r="55" customFormat="false" ht="15" hidden="false" customHeight="false" outlineLevel="0" collapsed="false">
      <c r="A55" s="6" t="n">
        <v>50</v>
      </c>
      <c r="B55" s="5" t="s">
        <v>72</v>
      </c>
      <c r="C55" s="5" t="s">
        <v>30</v>
      </c>
      <c r="D55" s="11" t="n">
        <v>44776</v>
      </c>
      <c r="E55" s="11" t="n">
        <v>44777</v>
      </c>
      <c r="F55" s="5" t="s">
        <v>75</v>
      </c>
      <c r="G55" s="12" t="n">
        <v>219815.32345937</v>
      </c>
      <c r="H55" s="13" t="n">
        <v>7.731</v>
      </c>
      <c r="I55" s="13" t="n">
        <v>8.202</v>
      </c>
      <c r="K55" s="8" t="n">
        <v>22.7072708080406</v>
      </c>
      <c r="L55" s="8" t="n">
        <v>-14537.4765128808</v>
      </c>
      <c r="M55" s="8" t="n">
        <f aca="false">M54+L55</f>
        <v>-48440.5309954278</v>
      </c>
      <c r="N55" s="5" t="str">
        <f aca="false">IF(L55&gt;0,"прибыль",IF(L55&lt;0,"убыток","ноль"))</f>
        <v>убыток</v>
      </c>
      <c r="O55" s="6" t="n">
        <f aca="false">IF(L55&lt;0,O54+1,0)</f>
        <v>3</v>
      </c>
      <c r="P55" s="6" t="n">
        <v>1</v>
      </c>
    </row>
    <row r="56" customFormat="false" ht="15" hidden="false" customHeight="false" outlineLevel="0" collapsed="false">
      <c r="A56" s="6" t="n">
        <v>51</v>
      </c>
      <c r="B56" s="5" t="s">
        <v>72</v>
      </c>
      <c r="C56" s="5" t="s">
        <v>30</v>
      </c>
      <c r="D56" s="11" t="n">
        <v>44844</v>
      </c>
      <c r="E56" s="11" t="n">
        <v>44860</v>
      </c>
      <c r="F56" s="5" t="s">
        <v>75</v>
      </c>
      <c r="G56" s="12" t="n">
        <v>131149.990098982</v>
      </c>
      <c r="H56" s="13" t="n">
        <v>6.735</v>
      </c>
      <c r="I56" s="13" t="n">
        <v>5.709</v>
      </c>
      <c r="K56" s="8" t="n">
        <v>25.7793719903595</v>
      </c>
      <c r="L56" s="8" t="n">
        <v>14512.9223891587</v>
      </c>
      <c r="M56" s="8" t="n">
        <f aca="false">M55+L56</f>
        <v>-33927.6086062691</v>
      </c>
      <c r="N56" s="5" t="str">
        <f aca="false">IF(L56&gt;0,"прибыль",IF(L56&lt;0,"убыток","ноль"))</f>
        <v>прибыль</v>
      </c>
      <c r="O56" s="6" t="n">
        <f aca="false">IF(L56&lt;0,O55+1,0)</f>
        <v>0</v>
      </c>
      <c r="P56" s="6" t="n">
        <v>12</v>
      </c>
    </row>
    <row r="57" customFormat="false" ht="15" hidden="false" customHeight="false" outlineLevel="0" collapsed="false">
      <c r="A57" s="6" t="n">
        <v>52</v>
      </c>
      <c r="B57" s="5" t="s">
        <v>72</v>
      </c>
      <c r="C57" s="5" t="s">
        <v>30</v>
      </c>
      <c r="D57" s="11" t="n">
        <v>44860</v>
      </c>
      <c r="E57" s="11" t="n">
        <v>44873</v>
      </c>
      <c r="F57" s="5" t="s">
        <v>75</v>
      </c>
      <c r="G57" s="12" t="n">
        <v>90730.0383474492</v>
      </c>
      <c r="H57" s="13" t="n">
        <v>5.709</v>
      </c>
      <c r="I57" s="13" t="n">
        <v>6.75</v>
      </c>
      <c r="J57" s="5" t="s">
        <v>74</v>
      </c>
      <c r="K57" s="8" t="n">
        <v>4.46869020404932</v>
      </c>
      <c r="L57" s="8" t="n">
        <v>1351.76557625863</v>
      </c>
      <c r="M57" s="8" t="n">
        <f aca="false">M56+L57</f>
        <v>-32575.8430300105</v>
      </c>
      <c r="N57" s="5" t="str">
        <f aca="false">IF(L57&gt;0,"прибыль",IF(L57&lt;0,"убыток","ноль"))</f>
        <v>прибыль</v>
      </c>
      <c r="O57" s="6" t="n">
        <f aca="false">IF(L57&lt;0,O56+1,0)</f>
        <v>0</v>
      </c>
      <c r="P57" s="6" t="n">
        <v>8</v>
      </c>
    </row>
    <row r="58" customFormat="false" ht="15" hidden="false" customHeight="false" outlineLevel="0" collapsed="false">
      <c r="A58" s="6" t="n">
        <v>53</v>
      </c>
      <c r="B58" s="5" t="s">
        <v>72</v>
      </c>
      <c r="C58" s="5" t="s">
        <v>30</v>
      </c>
      <c r="D58" s="11" t="n">
        <v>44873</v>
      </c>
      <c r="E58" s="11" t="n">
        <v>44911</v>
      </c>
      <c r="F58" s="5" t="s">
        <v>75</v>
      </c>
      <c r="G58" s="12" t="n">
        <v>65433.1289625039</v>
      </c>
      <c r="H58" s="13" t="n">
        <v>6.75</v>
      </c>
      <c r="I58" s="13" t="n">
        <v>6.855</v>
      </c>
      <c r="J58" s="5" t="s">
        <v>74</v>
      </c>
      <c r="K58" s="8" t="n">
        <v>8.19937227986535</v>
      </c>
      <c r="L58" s="8" t="n">
        <v>125.688729188599</v>
      </c>
      <c r="M58" s="8" t="n">
        <f aca="false">M57+L58</f>
        <v>-32450.1543008219</v>
      </c>
      <c r="N58" s="5" t="str">
        <f aca="false">IF(L58&gt;0,"прибыль",IF(L58&lt;0,"убыток","ноль"))</f>
        <v>прибыль</v>
      </c>
      <c r="O58" s="6" t="n">
        <f aca="false">IF(L58&lt;0,O57+1,0)</f>
        <v>0</v>
      </c>
      <c r="P58" s="6" t="n">
        <v>28</v>
      </c>
    </row>
    <row r="59" customFormat="false" ht="15" hidden="false" customHeight="false" outlineLevel="0" collapsed="false">
      <c r="A59" s="6" t="n">
        <v>54</v>
      </c>
      <c r="B59" s="5" t="s">
        <v>72</v>
      </c>
      <c r="C59" s="5" t="s">
        <v>30</v>
      </c>
      <c r="D59" s="11" t="n">
        <v>44911</v>
      </c>
      <c r="E59" s="11" t="n">
        <v>44945</v>
      </c>
      <c r="F59" s="5" t="s">
        <v>75</v>
      </c>
      <c r="G59" s="12" t="n">
        <v>333389.097321303</v>
      </c>
      <c r="H59" s="13" t="n">
        <v>6.855</v>
      </c>
      <c r="I59" s="13" t="n">
        <v>3.46</v>
      </c>
      <c r="J59" s="5" t="s">
        <v>74</v>
      </c>
      <c r="K59" s="8" t="n">
        <v>16.8822299567924</v>
      </c>
      <c r="L59" s="8" t="n">
        <v>118765.514480108</v>
      </c>
      <c r="M59" s="8" t="n">
        <f aca="false">M58+L59</f>
        <v>86315.3601792865</v>
      </c>
      <c r="N59" s="5" t="str">
        <f aca="false">IF(L59&gt;0,"прибыль",IF(L59&lt;0,"убыток","ноль"))</f>
        <v>прибыль</v>
      </c>
      <c r="O59" s="6" t="n">
        <f aca="false">IF(L59&lt;0,O58+1,0)</f>
        <v>0</v>
      </c>
      <c r="P59" s="6" t="n">
        <v>23</v>
      </c>
    </row>
    <row r="60" customFormat="false" ht="15" hidden="false" customHeight="false" outlineLevel="0" collapsed="false">
      <c r="A60" s="6" t="n">
        <v>55</v>
      </c>
      <c r="B60" s="5" t="s">
        <v>72</v>
      </c>
      <c r="C60" s="5" t="s">
        <v>30</v>
      </c>
      <c r="D60" s="11" t="n">
        <v>45103</v>
      </c>
      <c r="E60" s="11" t="n">
        <v>45124</v>
      </c>
      <c r="F60" s="5" t="s">
        <v>73</v>
      </c>
      <c r="G60" s="12" t="n">
        <v>284931.82420102</v>
      </c>
      <c r="H60" s="13" t="n">
        <v>2.728</v>
      </c>
      <c r="I60" s="13" t="n">
        <v>2.573</v>
      </c>
      <c r="J60" s="5" t="s">
        <v>74</v>
      </c>
      <c r="K60" s="8" t="n">
        <v>27.9883707198284</v>
      </c>
      <c r="L60" s="8" t="n">
        <v>-10124.2223761916</v>
      </c>
      <c r="M60" s="8" t="n">
        <f aca="false">M59+L60</f>
        <v>76191.137803095</v>
      </c>
      <c r="N60" s="5" t="str">
        <f aca="false">IF(L60&gt;0,"прибыль",IF(L60&lt;0,"убыток","ноль"))</f>
        <v>убыток</v>
      </c>
      <c r="O60" s="6" t="n">
        <f aca="false">IF(L60&lt;0,O59+1,0)</f>
        <v>1</v>
      </c>
      <c r="P60" s="6" t="n">
        <v>15</v>
      </c>
    </row>
    <row r="61" customFormat="false" ht="15" hidden="false" customHeight="false" outlineLevel="0" collapsed="false">
      <c r="A61" s="6" t="n">
        <v>56</v>
      </c>
      <c r="B61" s="5" t="s">
        <v>72</v>
      </c>
      <c r="C61" s="5" t="s">
        <v>30</v>
      </c>
      <c r="D61" s="11" t="n">
        <v>45125</v>
      </c>
      <c r="E61" s="11" t="n">
        <v>45148</v>
      </c>
      <c r="F61" s="5" t="s">
        <v>73</v>
      </c>
      <c r="G61" s="12" t="n">
        <v>113146.632208662</v>
      </c>
      <c r="H61" s="13" t="n">
        <v>2.56</v>
      </c>
      <c r="I61" s="13" t="n">
        <v>2.98</v>
      </c>
      <c r="J61" s="5" t="s">
        <v>74</v>
      </c>
      <c r="K61" s="8" t="n">
        <v>26.6792892034364</v>
      </c>
      <c r="L61" s="8" t="n">
        <v>20063.321874621</v>
      </c>
      <c r="M61" s="8" t="n">
        <f aca="false">M60+L61</f>
        <v>96254.459677716</v>
      </c>
      <c r="N61" s="5" t="str">
        <f aca="false">IF(L61&gt;0,"прибыль",IF(L61&lt;0,"убыток","ноль"))</f>
        <v>прибыль</v>
      </c>
      <c r="O61" s="6" t="n">
        <f aca="false">IF(L61&lt;0,O60+1,0)</f>
        <v>0</v>
      </c>
      <c r="P61" s="6" t="n">
        <v>17</v>
      </c>
    </row>
    <row r="62" customFormat="false" ht="15" hidden="false" customHeight="false" outlineLevel="0" collapsed="false">
      <c r="A62" s="6" t="n">
        <v>57</v>
      </c>
      <c r="B62" s="5" t="s">
        <v>72</v>
      </c>
      <c r="C62" s="5" t="s">
        <v>30</v>
      </c>
      <c r="D62" s="11" t="n">
        <v>45148</v>
      </c>
      <c r="E62" s="11" t="n">
        <v>45180</v>
      </c>
      <c r="F62" s="5" t="s">
        <v>73</v>
      </c>
      <c r="G62" s="12" t="n">
        <v>366670.11516289</v>
      </c>
      <c r="H62" s="13" t="n">
        <v>2.98</v>
      </c>
      <c r="I62" s="13" t="n">
        <v>2.581</v>
      </c>
      <c r="J62" s="5" t="s">
        <v>74</v>
      </c>
      <c r="K62" s="8" t="n">
        <v>22.0105568649727</v>
      </c>
      <c r="L62" s="8" t="n">
        <v>-5948.58509561205</v>
      </c>
      <c r="M62" s="8" t="n">
        <f aca="false">M61+L62</f>
        <v>90305.874582104</v>
      </c>
      <c r="N62" s="5" t="str">
        <f aca="false">IF(L62&gt;0,"прибыль",IF(L62&lt;0,"убыток","ноль"))</f>
        <v>убыток</v>
      </c>
      <c r="O62" s="6" t="n">
        <f aca="false">IF(L62&lt;0,O61+1,0)</f>
        <v>1</v>
      </c>
      <c r="P62" s="6" t="n">
        <v>22</v>
      </c>
    </row>
    <row r="63" customFormat="false" ht="15" hidden="false" customHeight="false" outlineLevel="0" collapsed="false">
      <c r="A63" s="6" t="n">
        <v>58</v>
      </c>
      <c r="B63" s="5" t="s">
        <v>72</v>
      </c>
      <c r="C63" s="5" t="s">
        <v>30</v>
      </c>
      <c r="D63" s="11" t="n">
        <v>45182</v>
      </c>
      <c r="E63" s="11" t="n">
        <v>45187</v>
      </c>
      <c r="F63" s="5" t="s">
        <v>73</v>
      </c>
      <c r="G63" s="12" t="n">
        <v>376535.134473644</v>
      </c>
      <c r="H63" s="13" t="n">
        <v>2.763</v>
      </c>
      <c r="I63" s="13" t="n">
        <v>2.663</v>
      </c>
      <c r="K63" s="8" t="n">
        <v>36.9176841422037</v>
      </c>
      <c r="L63" s="8" t="n">
        <v>-14753.5037873554</v>
      </c>
      <c r="M63" s="8" t="n">
        <f aca="false">M62+L63</f>
        <v>75552.3707947485</v>
      </c>
      <c r="N63" s="5" t="str">
        <f aca="false">IF(L63&gt;0,"прибыль",IF(L63&lt;0,"убыток","ноль"))</f>
        <v>убыток</v>
      </c>
      <c r="O63" s="6" t="n">
        <f aca="false">IF(L63&lt;0,O62+1,0)</f>
        <v>2</v>
      </c>
      <c r="P63" s="6" t="n">
        <v>3</v>
      </c>
    </row>
    <row r="64" customFormat="false" ht="15" hidden="false" customHeight="false" outlineLevel="0" collapsed="false">
      <c r="A64" s="6" t="n">
        <v>59</v>
      </c>
      <c r="B64" s="5" t="s">
        <v>72</v>
      </c>
      <c r="C64" s="5" t="s">
        <v>30</v>
      </c>
      <c r="D64" s="11" t="n">
        <v>45189</v>
      </c>
      <c r="E64" s="11" t="n">
        <v>45190</v>
      </c>
      <c r="F64" s="5" t="s">
        <v>73</v>
      </c>
      <c r="G64" s="12" t="n">
        <v>367438.693075087</v>
      </c>
      <c r="H64" s="13" t="n">
        <v>2.841</v>
      </c>
      <c r="I64" s="13" t="n">
        <v>2.741</v>
      </c>
      <c r="K64" s="8" t="n">
        <v>36.0419038937423</v>
      </c>
      <c r="L64" s="8" t="n">
        <v>-14075.3501792225</v>
      </c>
      <c r="M64" s="8" t="n">
        <f aca="false">M63+L64</f>
        <v>61477.0206155261</v>
      </c>
      <c r="N64" s="5" t="str">
        <f aca="false">IF(L64&gt;0,"прибыль",IF(L64&lt;0,"убыток","ноль"))</f>
        <v>убыток</v>
      </c>
      <c r="O64" s="6" t="n">
        <f aca="false">IF(L64&lt;0,O63+1,0)</f>
        <v>3</v>
      </c>
      <c r="P64" s="6" t="n">
        <v>1</v>
      </c>
    </row>
    <row r="65" customFormat="false" ht="15" hidden="false" customHeight="false" outlineLevel="0" collapsed="false">
      <c r="A65" s="6" t="n">
        <v>60</v>
      </c>
      <c r="B65" s="5" t="s">
        <v>72</v>
      </c>
      <c r="C65" s="5" t="s">
        <v>30</v>
      </c>
      <c r="D65" s="11" t="n">
        <v>45201</v>
      </c>
      <c r="E65" s="11" t="n">
        <v>45202</v>
      </c>
      <c r="F65" s="5" t="s">
        <v>73</v>
      </c>
      <c r="G65" s="12" t="n">
        <v>368352.861286471</v>
      </c>
      <c r="H65" s="13" t="n">
        <v>2.951</v>
      </c>
      <c r="I65" s="13" t="n">
        <v>2.861</v>
      </c>
      <c r="K65" s="8" t="n">
        <v>36.2186683693675</v>
      </c>
      <c r="L65" s="8" t="n">
        <v>-12368.5738539621</v>
      </c>
      <c r="M65" s="8" t="n">
        <f aca="false">M64+L65</f>
        <v>49108.446761564</v>
      </c>
      <c r="N65" s="5" t="str">
        <f aca="false">IF(L65&gt;0,"прибыль",IF(L65&lt;0,"убыток","ноль"))</f>
        <v>убыток</v>
      </c>
      <c r="O65" s="6" t="n">
        <f aca="false">IF(L65&lt;0,O64+1,0)</f>
        <v>4</v>
      </c>
      <c r="P65" s="6" t="n">
        <v>1</v>
      </c>
    </row>
    <row r="66" customFormat="false" ht="15" hidden="false" customHeight="false" outlineLevel="0" collapsed="false">
      <c r="A66" s="6" t="n">
        <v>61</v>
      </c>
      <c r="B66" s="5" t="s">
        <v>72</v>
      </c>
      <c r="C66" s="5" t="s">
        <v>30</v>
      </c>
      <c r="D66" s="11" t="n">
        <v>45205</v>
      </c>
      <c r="E66" s="11" t="n">
        <v>45217</v>
      </c>
      <c r="F66" s="5" t="s">
        <v>73</v>
      </c>
      <c r="G66" s="12" t="n">
        <v>346839.894986444</v>
      </c>
      <c r="H66" s="13" t="n">
        <v>3.171</v>
      </c>
      <c r="I66" s="13" t="n">
        <v>3.08</v>
      </c>
      <c r="K66" s="8" t="n">
        <v>34.1313755555698</v>
      </c>
      <c r="L66" s="8" t="n">
        <v>-11086.4102370481</v>
      </c>
      <c r="M66" s="8" t="n">
        <f aca="false">M65+L66</f>
        <v>38022.0365245159</v>
      </c>
      <c r="N66" s="5" t="str">
        <f aca="false">IF(L66&gt;0,"прибыль",IF(L66&lt;0,"убыток","ноль"))</f>
        <v>убыток</v>
      </c>
      <c r="O66" s="6" t="n">
        <f aca="false">IF(L66&lt;0,O65+1,0)</f>
        <v>5</v>
      </c>
      <c r="P66" s="6" t="n">
        <v>8</v>
      </c>
    </row>
    <row r="67" customFormat="false" ht="15" hidden="false" customHeight="false" outlineLevel="0" collapsed="false">
      <c r="A67" s="6" t="n">
        <v>62</v>
      </c>
      <c r="B67" s="5" t="s">
        <v>72</v>
      </c>
      <c r="C67" s="5" t="s">
        <v>30</v>
      </c>
      <c r="D67" s="11" t="n">
        <v>45218</v>
      </c>
      <c r="E67" s="11" t="n">
        <v>45219</v>
      </c>
      <c r="F67" s="5" t="s">
        <v>73</v>
      </c>
      <c r="G67" s="12" t="n">
        <v>359468.847387703</v>
      </c>
      <c r="H67" s="13" t="n">
        <v>3.082</v>
      </c>
      <c r="I67" s="13" t="n">
        <v>2.975</v>
      </c>
      <c r="K67" s="8" t="n">
        <v>35.2685563896037</v>
      </c>
      <c r="L67" s="8" t="n">
        <v>-13601.8355397206</v>
      </c>
      <c r="M67" s="8" t="n">
        <f aca="false">M66+L67</f>
        <v>24420.2009847953</v>
      </c>
      <c r="N67" s="5" t="str">
        <f aca="false">IF(L67&gt;0,"прибыль",IF(L67&lt;0,"убыток","ноль"))</f>
        <v>убыток</v>
      </c>
      <c r="O67" s="6" t="n">
        <f aca="false">IF(L67&lt;0,O66+1,0)</f>
        <v>6</v>
      </c>
      <c r="P67" s="6" t="n">
        <v>1</v>
      </c>
    </row>
    <row r="68" customFormat="false" ht="15" hidden="false" customHeight="false" outlineLevel="0" collapsed="false">
      <c r="A68" s="6" t="n">
        <v>63</v>
      </c>
      <c r="B68" s="5" t="s">
        <v>72</v>
      </c>
      <c r="C68" s="5" t="s">
        <v>30</v>
      </c>
      <c r="D68" s="11" t="n">
        <v>45224</v>
      </c>
      <c r="E68" s="11" t="n">
        <v>45231</v>
      </c>
      <c r="F68" s="5" t="s">
        <v>73</v>
      </c>
      <c r="G68" s="12" t="n">
        <v>97101.900268919</v>
      </c>
      <c r="H68" s="13" t="n">
        <v>2.993</v>
      </c>
      <c r="I68" s="13" t="n">
        <v>3.575</v>
      </c>
      <c r="J68" s="5" t="s">
        <v>74</v>
      </c>
      <c r="K68" s="8" t="n">
        <v>23.4474637735863</v>
      </c>
      <c r="L68" s="8" t="n">
        <v>12494.0330443222</v>
      </c>
      <c r="M68" s="8" t="n">
        <f aca="false">M67+L68</f>
        <v>36914.2340291175</v>
      </c>
      <c r="N68" s="5" t="str">
        <f aca="false">IF(L68&gt;0,"прибыль",IF(L68&lt;0,"убыток","ноль"))</f>
        <v>прибыль</v>
      </c>
      <c r="O68" s="6" t="n">
        <f aca="false">IF(L68&lt;0,O67+1,0)</f>
        <v>0</v>
      </c>
      <c r="P68" s="6" t="n">
        <v>5</v>
      </c>
    </row>
    <row r="69" customFormat="false" ht="15" hidden="false" customHeight="false" outlineLevel="0" collapsed="false">
      <c r="A69" s="6" t="n">
        <v>64</v>
      </c>
      <c r="B69" s="5" t="s">
        <v>72</v>
      </c>
      <c r="C69" s="5" t="s">
        <v>30</v>
      </c>
      <c r="D69" s="11" t="n">
        <v>45231</v>
      </c>
      <c r="E69" s="11" t="n">
        <v>45232</v>
      </c>
      <c r="F69" s="5" t="s">
        <v>73</v>
      </c>
      <c r="G69" s="12" t="n">
        <v>262227.994425792</v>
      </c>
      <c r="H69" s="13" t="n">
        <v>3.575</v>
      </c>
      <c r="I69" s="13" t="n">
        <v>3.487</v>
      </c>
      <c r="K69" s="8" t="n">
        <v>14.4367401150691</v>
      </c>
      <c r="L69" s="8" t="n">
        <v>26492.3711354748</v>
      </c>
      <c r="M69" s="8" t="n">
        <f aca="false">M68+L69</f>
        <v>63406.6051645923</v>
      </c>
      <c r="N69" s="5" t="str">
        <f aca="false">IF(L69&gt;0,"прибыль",IF(L69&lt;0,"убыток","ноль"))</f>
        <v>прибыль</v>
      </c>
      <c r="O69" s="6" t="n">
        <f aca="false">IF(L69&lt;0,O68+1,0)</f>
        <v>0</v>
      </c>
      <c r="P69" s="6" t="n">
        <v>1</v>
      </c>
    </row>
    <row r="70" customFormat="false" ht="15" hidden="false" customHeight="false" outlineLevel="0" collapsed="false">
      <c r="A70" s="6" t="n">
        <v>65</v>
      </c>
      <c r="B70" s="5" t="s">
        <v>72</v>
      </c>
      <c r="C70" s="5" t="s">
        <v>30</v>
      </c>
      <c r="D70" s="11" t="n">
        <v>45233</v>
      </c>
      <c r="E70" s="11" t="n">
        <v>45237</v>
      </c>
      <c r="F70" s="5" t="s">
        <v>73</v>
      </c>
      <c r="G70" s="12" t="n">
        <v>319383.219742195</v>
      </c>
      <c r="H70" s="13" t="n">
        <v>3.528</v>
      </c>
      <c r="I70" s="13" t="n">
        <v>3.327</v>
      </c>
      <c r="K70" s="8" t="n">
        <v>30.976111487945</v>
      </c>
      <c r="L70" s="8" t="n">
        <v>-19275.1858369778</v>
      </c>
      <c r="M70" s="8" t="n">
        <f aca="false">M69+L70</f>
        <v>44131.4193276145</v>
      </c>
      <c r="N70" s="5" t="str">
        <f aca="false">IF(L70&gt;0,"прибыль",IF(L70&lt;0,"убыток","ноль"))</f>
        <v>убыток</v>
      </c>
      <c r="O70" s="6" t="n">
        <f aca="false">IF(L70&lt;0,O69+1,0)</f>
        <v>1</v>
      </c>
      <c r="P70" s="6" t="n">
        <v>2</v>
      </c>
    </row>
    <row r="71" customFormat="false" ht="15" hidden="false" customHeight="false" outlineLevel="0" collapsed="false">
      <c r="A71" s="6" t="n">
        <v>66</v>
      </c>
      <c r="B71" s="5" t="s">
        <v>72</v>
      </c>
      <c r="C71" s="5" t="s">
        <v>30</v>
      </c>
      <c r="D71" s="11" t="n">
        <v>45238</v>
      </c>
      <c r="E71" s="11" t="n">
        <v>45240</v>
      </c>
      <c r="F71" s="5" t="s">
        <v>73</v>
      </c>
      <c r="G71" s="12" t="n">
        <v>315392.428792001</v>
      </c>
      <c r="H71" s="13" t="n">
        <v>3.25</v>
      </c>
      <c r="I71" s="13" t="n">
        <v>3.143</v>
      </c>
      <c r="K71" s="8" t="n">
        <v>30.9665301705829</v>
      </c>
      <c r="L71" s="8" t="n">
        <v>-11485.2207025139</v>
      </c>
      <c r="M71" s="8" t="n">
        <f aca="false">M70+L71</f>
        <v>32646.1986251006</v>
      </c>
      <c r="N71" s="5" t="str">
        <f aca="false">IF(L71&gt;0,"прибыль",IF(L71&lt;0,"убыток","ноль"))</f>
        <v>убыток</v>
      </c>
      <c r="O71" s="6" t="n">
        <f aca="false">IF(L71&lt;0,O70+1,0)</f>
        <v>2</v>
      </c>
      <c r="P71" s="6" t="n">
        <v>2</v>
      </c>
    </row>
    <row r="72" customFormat="false" ht="15" hidden="false" customHeight="false" outlineLevel="0" collapsed="false">
      <c r="A72" s="6" t="n">
        <v>67</v>
      </c>
      <c r="B72" s="5" t="s">
        <v>72</v>
      </c>
      <c r="C72" s="5" t="s">
        <v>30</v>
      </c>
      <c r="D72" s="11" t="n">
        <v>45243</v>
      </c>
      <c r="E72" s="11" t="n">
        <v>45250</v>
      </c>
      <c r="F72" s="5" t="s">
        <v>73</v>
      </c>
      <c r="G72" s="12" t="n">
        <v>328937.060176101</v>
      </c>
      <c r="H72" s="13" t="n">
        <v>3.194</v>
      </c>
      <c r="I72" s="13" t="n">
        <v>3.02</v>
      </c>
      <c r="K72" s="8" t="n">
        <v>31.942621814506</v>
      </c>
      <c r="L72" s="8" t="n">
        <v>-19053.6266838972</v>
      </c>
      <c r="M72" s="8" t="n">
        <f aca="false">M71+L72</f>
        <v>13592.5719412033</v>
      </c>
      <c r="N72" s="5" t="str">
        <f aca="false">IF(L72&gt;0,"прибыль",IF(L72&lt;0,"убыток","ноль"))</f>
        <v>убыток</v>
      </c>
      <c r="O72" s="6" t="n">
        <f aca="false">IF(L72&lt;0,O71+1,0)</f>
        <v>3</v>
      </c>
      <c r="P72" s="6" t="n">
        <v>5</v>
      </c>
    </row>
    <row r="73" customFormat="false" ht="15" hidden="false" customHeight="false" outlineLevel="0" collapsed="false">
      <c r="A73" s="6" t="n">
        <v>68</v>
      </c>
      <c r="B73" s="5" t="s">
        <v>72</v>
      </c>
      <c r="C73" s="5" t="s">
        <v>30</v>
      </c>
      <c r="D73" s="11" t="n">
        <v>45306</v>
      </c>
      <c r="E73" s="11" t="n">
        <v>45307</v>
      </c>
      <c r="F73" s="5" t="s">
        <v>73</v>
      </c>
      <c r="G73" s="12" t="n">
        <v>233709.667159245</v>
      </c>
      <c r="H73" s="13" t="n">
        <v>3.15</v>
      </c>
      <c r="I73" s="13" t="n">
        <v>3.087</v>
      </c>
      <c r="K73" s="8" t="n">
        <v>23.085045765329</v>
      </c>
      <c r="L73" s="8" t="n">
        <v>-5741.50405767435</v>
      </c>
      <c r="M73" s="8" t="n">
        <f aca="false">M72+L73</f>
        <v>7851.06788352897</v>
      </c>
      <c r="N73" s="5" t="str">
        <f aca="false">IF(L73&gt;0,"прибыль",IF(L73&lt;0,"убыток","ноль"))</f>
        <v>убыток</v>
      </c>
      <c r="O73" s="6" t="n">
        <f aca="false">IF(L73&lt;0,O72+1,0)</f>
        <v>4</v>
      </c>
      <c r="P73" s="6" t="n">
        <v>1</v>
      </c>
    </row>
    <row r="74" customFormat="false" ht="15" hidden="false" customHeight="false" outlineLevel="0" collapsed="false">
      <c r="A74" s="6" t="n">
        <v>69</v>
      </c>
      <c r="B74" s="5" t="s">
        <v>76</v>
      </c>
      <c r="C74" s="5" t="s">
        <v>30</v>
      </c>
      <c r="D74" s="11" t="n">
        <v>45428</v>
      </c>
      <c r="E74" s="11" t="n">
        <v>45435</v>
      </c>
      <c r="F74" s="5" t="s">
        <v>73</v>
      </c>
      <c r="G74" s="12" t="n">
        <v>59519.4379439953</v>
      </c>
      <c r="H74" s="13" t="n">
        <v>2.409</v>
      </c>
      <c r="I74" s="13" t="n">
        <v>2.805</v>
      </c>
      <c r="K74" s="8" t="n">
        <v>16.2368308072145</v>
      </c>
      <c r="L74" s="8" t="n">
        <v>9462.20225460291</v>
      </c>
      <c r="M74" s="8" t="n">
        <f aca="false">M73+L74</f>
        <v>17313.2701381319</v>
      </c>
      <c r="N74" s="5" t="str">
        <f aca="false">IF(L74&gt;0,"прибыль",IF(L74&lt;0,"убыток","ноль"))</f>
        <v>прибыль</v>
      </c>
      <c r="O74" s="6" t="n">
        <f aca="false">IF(L74&lt;0,O73+1,0)</f>
        <v>0</v>
      </c>
      <c r="P74" s="6" t="n">
        <v>5</v>
      </c>
    </row>
    <row r="75" customFormat="false" ht="15" hidden="false" customHeight="false" outlineLevel="0" collapsed="false">
      <c r="A75" s="6" t="n">
        <v>70</v>
      </c>
      <c r="B75" s="5" t="s">
        <v>76</v>
      </c>
      <c r="C75" s="5" t="s">
        <v>30</v>
      </c>
      <c r="D75" s="11" t="n">
        <v>45435</v>
      </c>
      <c r="E75" s="11" t="n">
        <v>45443</v>
      </c>
      <c r="F75" s="5" t="s">
        <v>73</v>
      </c>
      <c r="G75" s="12" t="n">
        <v>254829.230843205</v>
      </c>
      <c r="H75" s="13" t="n">
        <v>2.805</v>
      </c>
      <c r="I75" s="13" t="n">
        <v>2.567</v>
      </c>
      <c r="J75" s="5" t="s">
        <v>74</v>
      </c>
      <c r="K75" s="8" t="n">
        <v>15.7934054437585</v>
      </c>
      <c r="L75" s="8" t="n">
        <v>2413.15495420454</v>
      </c>
      <c r="M75" s="8" t="n">
        <f aca="false">M74+L75</f>
        <v>19726.4250923364</v>
      </c>
      <c r="N75" s="5" t="str">
        <f aca="false">IF(L75&gt;0,"прибыль",IF(L75&lt;0,"убыток","ноль"))</f>
        <v>прибыль</v>
      </c>
      <c r="O75" s="6" t="n">
        <f aca="false">IF(L75&lt;0,O74+1,0)</f>
        <v>0</v>
      </c>
      <c r="P75" s="6" t="n">
        <v>6</v>
      </c>
    </row>
    <row r="76" customFormat="false" ht="15" hidden="false" customHeight="false" outlineLevel="0" collapsed="false">
      <c r="A76" s="6" t="n">
        <v>71</v>
      </c>
      <c r="B76" s="5" t="s">
        <v>76</v>
      </c>
      <c r="C76" s="5" t="s">
        <v>30</v>
      </c>
      <c r="D76" s="11" t="n">
        <v>45447</v>
      </c>
      <c r="E76" s="11" t="n">
        <v>45456</v>
      </c>
      <c r="F76" s="5" t="s">
        <v>73</v>
      </c>
      <c r="G76" s="12" t="n">
        <v>56041.0815188012</v>
      </c>
      <c r="H76" s="13" t="n">
        <v>2.75</v>
      </c>
      <c r="I76" s="13" t="n">
        <v>3.035</v>
      </c>
      <c r="K76" s="8" t="n">
        <v>16.3347133852608</v>
      </c>
      <c r="L76" s="8" t="n">
        <v>5529.20501448788</v>
      </c>
      <c r="M76" s="8" t="n">
        <f aca="false">M75+L76</f>
        <v>25255.6301068243</v>
      </c>
      <c r="N76" s="5" t="str">
        <f aca="false">IF(L76&gt;0,"прибыль",IF(L76&lt;0,"убыток","ноль"))</f>
        <v>прибыль</v>
      </c>
      <c r="O76" s="6" t="n">
        <f aca="false">IF(L76&lt;0,O75+1,0)</f>
        <v>0</v>
      </c>
      <c r="P76" s="6" t="n">
        <v>6</v>
      </c>
    </row>
    <row r="77" customFormat="false" ht="15" hidden="false" customHeight="false" outlineLevel="0" collapsed="false">
      <c r="A77" s="6" t="n">
        <v>72</v>
      </c>
      <c r="B77" s="5" t="s">
        <v>76</v>
      </c>
      <c r="C77" s="5" t="s">
        <v>30</v>
      </c>
      <c r="D77" s="11" t="n">
        <v>45456</v>
      </c>
      <c r="E77" s="11" t="n">
        <v>45491</v>
      </c>
      <c r="F77" s="5" t="s">
        <v>73</v>
      </c>
      <c r="G77" s="12" t="n">
        <v>371983.574307424</v>
      </c>
      <c r="H77" s="13" t="n">
        <v>3.035</v>
      </c>
      <c r="I77" s="13" t="n">
        <v>2.053</v>
      </c>
      <c r="J77" s="5" t="s">
        <v>74</v>
      </c>
      <c r="K77" s="8" t="n">
        <v>22.8403958545007</v>
      </c>
      <c r="L77" s="8" t="n">
        <v>-78115.5069809481</v>
      </c>
      <c r="M77" s="8" t="n">
        <f aca="false">M76+L77</f>
        <v>-52859.8768741238</v>
      </c>
      <c r="N77" s="5" t="str">
        <f aca="false">IF(L77&gt;0,"прибыль",IF(L77&lt;0,"убыток","ноль"))</f>
        <v>убыток</v>
      </c>
      <c r="O77" s="6" t="n">
        <f aca="false">IF(L77&lt;0,O76+1,0)</f>
        <v>1</v>
      </c>
      <c r="P77" s="6" t="n">
        <v>25</v>
      </c>
    </row>
    <row r="78" customFormat="false" ht="15" hidden="false" customHeight="false" outlineLevel="0" collapsed="false">
      <c r="A78" s="6" t="n">
        <v>73</v>
      </c>
      <c r="B78" s="5" t="s">
        <v>76</v>
      </c>
      <c r="C78" s="5" t="s">
        <v>30</v>
      </c>
      <c r="D78" s="11" t="n">
        <v>45495</v>
      </c>
      <c r="E78" s="11" t="n">
        <v>45499</v>
      </c>
      <c r="F78" s="5" t="s">
        <v>73</v>
      </c>
      <c r="G78" s="12" t="n">
        <v>345380.407340934</v>
      </c>
      <c r="H78" s="13" t="n">
        <v>2.162</v>
      </c>
      <c r="I78" s="13" t="n">
        <v>2.059</v>
      </c>
      <c r="K78" s="8" t="n">
        <v>33.6589487756858</v>
      </c>
      <c r="L78" s="8" t="n">
        <v>-17615.4981169281</v>
      </c>
      <c r="M78" s="8" t="n">
        <f aca="false">M77+L78</f>
        <v>-70475.3749910519</v>
      </c>
      <c r="N78" s="5" t="str">
        <f aca="false">IF(L78&gt;0,"прибыль",IF(L78&lt;0,"убыток","ноль"))</f>
        <v>убыток</v>
      </c>
      <c r="O78" s="6" t="n">
        <f aca="false">IF(L78&lt;0,O77+1,0)</f>
        <v>2</v>
      </c>
      <c r="P78" s="6" t="n">
        <v>4</v>
      </c>
    </row>
    <row r="79" customFormat="false" ht="15" hidden="false" customHeight="false" outlineLevel="0" collapsed="false">
      <c r="A79" s="6" t="n">
        <v>74</v>
      </c>
      <c r="B79" s="5" t="s">
        <v>76</v>
      </c>
      <c r="C79" s="5" t="s">
        <v>30</v>
      </c>
      <c r="D79" s="11" t="n">
        <v>45565</v>
      </c>
      <c r="E79" s="11" t="n">
        <v>45566</v>
      </c>
      <c r="F79" s="5" t="s">
        <v>73</v>
      </c>
      <c r="G79" s="12" t="n">
        <v>261420.712622653</v>
      </c>
      <c r="H79" s="13" t="n">
        <v>2.893</v>
      </c>
      <c r="I79" s="13" t="n">
        <v>2.907</v>
      </c>
      <c r="K79" s="8" t="n">
        <v>26.1517608590108</v>
      </c>
      <c r="L79" s="8" t="n">
        <v>167.640174052335</v>
      </c>
      <c r="M79" s="8" t="n">
        <f aca="false">M78+L79</f>
        <v>-70307.7348169996</v>
      </c>
      <c r="N79" s="5" t="str">
        <f aca="false">IF(L79&gt;0,"прибыль",IF(L79&lt;0,"убыток","ноль"))</f>
        <v>прибыль</v>
      </c>
      <c r="O79" s="6" t="n">
        <f aca="false">IF(L79&lt;0,O78+1,0)</f>
        <v>0</v>
      </c>
      <c r="P79" s="6" t="n">
        <v>1</v>
      </c>
    </row>
    <row r="80" customFormat="false" ht="15" hidden="false" customHeight="false" outlineLevel="0" collapsed="false">
      <c r="A80" s="6" t="n">
        <v>75</v>
      </c>
      <c r="B80" s="5" t="s">
        <v>76</v>
      </c>
      <c r="C80" s="5" t="s">
        <v>30</v>
      </c>
      <c r="D80" s="11" t="n">
        <v>45567</v>
      </c>
      <c r="E80" s="11" t="n">
        <v>45572</v>
      </c>
      <c r="F80" s="5" t="s">
        <v>73</v>
      </c>
      <c r="G80" s="12" t="n">
        <v>263487.935284484</v>
      </c>
      <c r="H80" s="13" t="n">
        <v>2.923</v>
      </c>
      <c r="I80" s="13" t="n">
        <v>2.831</v>
      </c>
      <c r="K80" s="8" t="n">
        <v>25.8820614993666</v>
      </c>
      <c r="L80" s="8" t="n">
        <v>-9360.52264313643</v>
      </c>
      <c r="M80" s="8" t="n">
        <f aca="false">M79+L80</f>
        <v>-79668.257460136</v>
      </c>
      <c r="N80" s="5" t="str">
        <f aca="false">IF(L80&gt;0,"прибыль",IF(L80&lt;0,"убыток","ноль"))</f>
        <v>убыток</v>
      </c>
      <c r="O80" s="6" t="n">
        <f aca="false">IF(L80&lt;0,O79+1,0)</f>
        <v>1</v>
      </c>
      <c r="P80" s="6" t="n">
        <v>3</v>
      </c>
    </row>
    <row r="81" customFormat="false" ht="15" hidden="false" customHeight="false" outlineLevel="0" collapsed="false">
      <c r="A81" s="6" t="n">
        <v>76</v>
      </c>
      <c r="B81" s="5" t="s">
        <v>76</v>
      </c>
      <c r="C81" s="5" t="s">
        <v>30</v>
      </c>
      <c r="D81" s="11" t="n">
        <v>45573</v>
      </c>
      <c r="E81" s="11" t="n">
        <v>45580</v>
      </c>
      <c r="F81" s="5" t="s">
        <v>73</v>
      </c>
      <c r="G81" s="12" t="n">
        <v>284573.446733859</v>
      </c>
      <c r="H81" s="13" t="n">
        <v>2.764</v>
      </c>
      <c r="I81" s="13" t="n">
        <v>2.483</v>
      </c>
      <c r="K81" s="8" t="n">
        <v>26.9612630861692</v>
      </c>
      <c r="L81" s="8" t="n">
        <v>-29948.5930074204</v>
      </c>
      <c r="M81" s="8" t="n">
        <f aca="false">M80+L81</f>
        <v>-109616.850467556</v>
      </c>
      <c r="N81" s="5" t="str">
        <f aca="false">IF(L81&gt;0,"прибыль",IF(L81&lt;0,"убыток","ноль"))</f>
        <v>убыток</v>
      </c>
      <c r="O81" s="6" t="n">
        <f aca="false">IF(L81&lt;0,O80+1,0)</f>
        <v>2</v>
      </c>
      <c r="P81" s="6" t="n">
        <v>5</v>
      </c>
    </row>
    <row r="82" customFormat="false" ht="15" hidden="false" customHeight="false" outlineLevel="0" collapsed="false">
      <c r="A82" s="6" t="n">
        <v>77</v>
      </c>
      <c r="B82" s="5" t="s">
        <v>76</v>
      </c>
      <c r="C82" s="5" t="s">
        <v>30</v>
      </c>
      <c r="D82" s="11" t="n">
        <v>45590</v>
      </c>
      <c r="E82" s="11" t="n">
        <v>45594</v>
      </c>
      <c r="F82" s="5" t="s">
        <v>73</v>
      </c>
      <c r="G82" s="12" t="n">
        <v>273694.363870208</v>
      </c>
      <c r="H82" s="13" t="n">
        <v>2.531</v>
      </c>
      <c r="I82" s="13" t="n">
        <v>2.308</v>
      </c>
      <c r="K82" s="8" t="n">
        <v>26.1134504210214</v>
      </c>
      <c r="L82" s="8" t="n">
        <v>-25145.8327704084</v>
      </c>
      <c r="M82" s="8" t="n">
        <f aca="false">M81+L82</f>
        <v>-134762.683237965</v>
      </c>
      <c r="N82" s="5" t="str">
        <f aca="false">IF(L82&gt;0,"прибыль",IF(L82&lt;0,"убыток","ноль"))</f>
        <v>убыток</v>
      </c>
      <c r="O82" s="6" t="n">
        <f aca="false">IF(L82&lt;0,O81+1,0)</f>
        <v>3</v>
      </c>
      <c r="P82" s="6" t="n">
        <v>2</v>
      </c>
    </row>
    <row r="83" customFormat="false" ht="15" hidden="false" customHeight="false" outlineLevel="0" collapsed="false">
      <c r="A83" s="6" t="n">
        <v>78</v>
      </c>
      <c r="B83" s="5" t="s">
        <v>76</v>
      </c>
      <c r="C83" s="5" t="s">
        <v>30</v>
      </c>
      <c r="D83" s="11" t="n">
        <v>45615</v>
      </c>
      <c r="E83" s="11" t="n">
        <v>45632</v>
      </c>
      <c r="F83" s="5" t="s">
        <v>73</v>
      </c>
      <c r="G83" s="12" t="n">
        <v>211242.390273997</v>
      </c>
      <c r="H83" s="13" t="n">
        <v>2.968</v>
      </c>
      <c r="I83" s="13" t="n">
        <v>3.073</v>
      </c>
      <c r="J83" s="5" t="s">
        <v>74</v>
      </c>
      <c r="K83" s="8" t="n">
        <v>21.4568961883358</v>
      </c>
      <c r="L83" s="8" t="n">
        <v>6631.68632253409</v>
      </c>
      <c r="M83" s="8" t="n">
        <f aca="false">M82+L83</f>
        <v>-128130.996915431</v>
      </c>
      <c r="N83" s="5" t="str">
        <f aca="false">IF(L83&gt;0,"прибыль",IF(L83&lt;0,"убыток","ноль"))</f>
        <v>прибыль</v>
      </c>
      <c r="O83" s="6" t="n">
        <f aca="false">IF(L83&lt;0,O82+1,0)</f>
        <v>0</v>
      </c>
      <c r="P83" s="6" t="n">
        <v>13</v>
      </c>
    </row>
    <row r="84" customFormat="false" ht="15" hidden="false" customHeight="false" outlineLevel="0" collapsed="false">
      <c r="A84" s="6" t="n">
        <v>79</v>
      </c>
      <c r="B84" s="5" t="s">
        <v>76</v>
      </c>
      <c r="C84" s="5" t="s">
        <v>30</v>
      </c>
      <c r="D84" s="11" t="n">
        <v>45635</v>
      </c>
      <c r="E84" s="11" t="n">
        <v>45643</v>
      </c>
      <c r="F84" s="5" t="s">
        <v>73</v>
      </c>
      <c r="G84" s="12" t="n">
        <v>194828.260519716</v>
      </c>
      <c r="H84" s="13" t="n">
        <v>3.225</v>
      </c>
      <c r="I84" s="13" t="n">
        <v>3.24</v>
      </c>
      <c r="K84" s="8" t="n">
        <v>19.477543167706</v>
      </c>
      <c r="L84" s="8" t="n">
        <v>-125.135228480697</v>
      </c>
      <c r="M84" s="8" t="n">
        <f aca="false">M83+L84</f>
        <v>-128256.132143911</v>
      </c>
      <c r="N84" s="5" t="str">
        <f aca="false">IF(L84&gt;0,"прибыль",IF(L84&lt;0,"убыток","ноль"))</f>
        <v>убыток</v>
      </c>
      <c r="O84" s="6" t="n">
        <f aca="false">IF(L84&lt;0,O83+1,0)</f>
        <v>1</v>
      </c>
      <c r="P84" s="6" t="n">
        <v>6</v>
      </c>
    </row>
    <row r="85" customFormat="false" ht="15" hidden="false" customHeight="false" outlineLevel="0" collapsed="false">
      <c r="A85" s="6" t="n">
        <v>80</v>
      </c>
      <c r="B85" s="5" t="s">
        <v>76</v>
      </c>
      <c r="C85" s="5" t="s">
        <v>30</v>
      </c>
      <c r="D85" s="11" t="n">
        <v>45644</v>
      </c>
      <c r="E85" s="11" t="n">
        <v>45645</v>
      </c>
      <c r="F85" s="5" t="s">
        <v>73</v>
      </c>
      <c r="G85" s="12" t="n">
        <v>209412.55632889</v>
      </c>
      <c r="H85" s="13" t="n">
        <v>3.343</v>
      </c>
      <c r="I85" s="13" t="n">
        <v>3.467</v>
      </c>
      <c r="K85" s="8" t="n">
        <v>21.2777580423838</v>
      </c>
      <c r="L85" s="8" t="n">
        <v>6708.77043185234</v>
      </c>
      <c r="M85" s="8" t="n">
        <f aca="false">M84+L85</f>
        <v>-121547.361712059</v>
      </c>
      <c r="N85" s="5" t="str">
        <f aca="false">IF(L85&gt;0,"прибыль",IF(L85&lt;0,"убыток","ноль"))</f>
        <v>прибыль</v>
      </c>
      <c r="O85" s="6" t="n">
        <f aca="false">IF(L85&lt;0,O84+1,0)</f>
        <v>0</v>
      </c>
      <c r="P85" s="6" t="n">
        <v>1</v>
      </c>
    </row>
    <row r="86" customFormat="false" ht="15" hidden="false" customHeight="false" outlineLevel="0" collapsed="false">
      <c r="A86" s="6" t="n">
        <v>81</v>
      </c>
      <c r="B86" s="5" t="s">
        <v>76</v>
      </c>
      <c r="C86" s="5" t="s">
        <v>30</v>
      </c>
      <c r="D86" s="11" t="n">
        <v>45646</v>
      </c>
      <c r="E86" s="11" t="n">
        <v>45653</v>
      </c>
      <c r="F86" s="5" t="s">
        <v>73</v>
      </c>
      <c r="G86" s="12" t="n">
        <v>221739.399867708</v>
      </c>
      <c r="H86" s="13" t="n">
        <v>3.619</v>
      </c>
      <c r="I86" s="13" t="n">
        <v>3.715</v>
      </c>
      <c r="K86" s="8" t="n">
        <v>22.4145248649614</v>
      </c>
      <c r="L86" s="8" t="n">
        <v>4789.28303894724</v>
      </c>
      <c r="M86" s="8" t="n">
        <f aca="false">M85+L86</f>
        <v>-116758.078673112</v>
      </c>
      <c r="N86" s="5" t="str">
        <f aca="false">IF(L86&gt;0,"прибыль",IF(L86&lt;0,"убыток","ноль"))</f>
        <v>прибыль</v>
      </c>
      <c r="O86" s="6" t="n">
        <f aca="false">IF(L86&lt;0,O85+1,0)</f>
        <v>0</v>
      </c>
      <c r="P86" s="6" t="n">
        <v>5</v>
      </c>
    </row>
    <row r="87" customFormat="false" ht="15" hidden="false" customHeight="false" outlineLevel="0" collapsed="false">
      <c r="A87" s="6" t="n">
        <v>82</v>
      </c>
      <c r="B87" s="5" t="s">
        <v>76</v>
      </c>
      <c r="C87" s="5" t="s">
        <v>30</v>
      </c>
      <c r="D87" s="11" t="n">
        <v>45654</v>
      </c>
      <c r="E87" s="11" t="n">
        <v>45660</v>
      </c>
      <c r="F87" s="5" t="s">
        <v>73</v>
      </c>
      <c r="G87" s="12" t="n">
        <v>50690.7593647976</v>
      </c>
      <c r="H87" s="13" t="n">
        <v>3.395</v>
      </c>
      <c r="I87" s="13" t="n">
        <v>3.666</v>
      </c>
      <c r="K87" s="8" t="n">
        <v>14.0461333521623</v>
      </c>
      <c r="L87" s="8" t="n">
        <v>3764.25609102537</v>
      </c>
      <c r="M87" s="8" t="n">
        <f aca="false">M86+L87</f>
        <v>-112993.822582086</v>
      </c>
      <c r="N87" s="5" t="str">
        <f aca="false">IF(L87&gt;0,"прибыль",IF(L87&lt;0,"убыток","ноль"))</f>
        <v>прибыль</v>
      </c>
      <c r="O87" s="6" t="n">
        <f aca="false">IF(L87&lt;0,O86+1,0)</f>
        <v>0</v>
      </c>
      <c r="P87" s="6" t="n">
        <v>2</v>
      </c>
    </row>
    <row r="88" customFormat="false" ht="15" hidden="false" customHeight="false" outlineLevel="0" collapsed="false">
      <c r="A88" s="6" t="n">
        <v>83</v>
      </c>
      <c r="B88" s="5" t="s">
        <v>76</v>
      </c>
      <c r="C88" s="5" t="s">
        <v>30</v>
      </c>
      <c r="D88" s="11" t="n">
        <v>45660</v>
      </c>
      <c r="E88" s="11" t="n">
        <v>45665</v>
      </c>
      <c r="F88" s="5" t="s">
        <v>73</v>
      </c>
      <c r="G88" s="12" t="n">
        <v>36486.9750529105</v>
      </c>
      <c r="H88" s="13" t="n">
        <v>3.666</v>
      </c>
      <c r="I88" s="13" t="n">
        <v>3.61</v>
      </c>
      <c r="K88" s="8" t="n">
        <v>1.92892900092319</v>
      </c>
      <c r="L88" s="8" t="n">
        <v>2089.67603655238</v>
      </c>
      <c r="M88" s="8" t="n">
        <f aca="false">M87+L88</f>
        <v>-110904.146545534</v>
      </c>
      <c r="N88" s="5" t="str">
        <f aca="false">IF(L88&gt;0,"прибыль",IF(L88&lt;0,"убыток","ноль"))</f>
        <v>прибыль</v>
      </c>
      <c r="O88" s="6" t="n">
        <f aca="false">IF(L88&lt;0,O87+1,0)</f>
        <v>0</v>
      </c>
      <c r="P88" s="6" t="n">
        <v>2</v>
      </c>
    </row>
    <row r="89" customFormat="false" ht="15" hidden="false" customHeight="false" outlineLevel="0" collapsed="false">
      <c r="A89" s="6" t="n">
        <v>84</v>
      </c>
      <c r="B89" s="5" t="s">
        <v>76</v>
      </c>
      <c r="C89" s="5" t="s">
        <v>30</v>
      </c>
      <c r="D89" s="11" t="n">
        <v>45665</v>
      </c>
      <c r="E89" s="11" t="n">
        <v>45708</v>
      </c>
      <c r="F89" s="5" t="s">
        <v>73</v>
      </c>
      <c r="G89" s="12" t="n">
        <v>34432.1889075579</v>
      </c>
      <c r="H89" s="13" t="n">
        <v>3.61</v>
      </c>
      <c r="I89" s="13" t="n">
        <v>4.364</v>
      </c>
      <c r="J89" s="5" t="s">
        <v>74</v>
      </c>
      <c r="K89" s="8" t="n">
        <v>3.93271771870167</v>
      </c>
      <c r="L89" s="8" t="n">
        <v>12629.94495682</v>
      </c>
      <c r="M89" s="8" t="n">
        <f aca="false">M88+L89</f>
        <v>-98274.2015887141</v>
      </c>
      <c r="N89" s="5" t="str">
        <f aca="false">IF(L89&gt;0,"прибыль",IF(L89&lt;0,"убыток","ноль"))</f>
        <v>прибыль</v>
      </c>
      <c r="O89" s="6" t="n">
        <f aca="false">IF(L89&lt;0,O88+1,0)</f>
        <v>0</v>
      </c>
      <c r="P89" s="6" t="n">
        <v>31</v>
      </c>
    </row>
    <row r="90" customFormat="false" ht="15" hidden="false" customHeight="false" outlineLevel="0" collapsed="false">
      <c r="A90" s="6" t="n">
        <v>85</v>
      </c>
      <c r="B90" s="5" t="s">
        <v>76</v>
      </c>
      <c r="C90" s="5" t="s">
        <v>30</v>
      </c>
      <c r="D90" s="11" t="n">
        <v>45708</v>
      </c>
      <c r="E90" s="11" t="n">
        <v>45736</v>
      </c>
      <c r="F90" s="5" t="s">
        <v>73</v>
      </c>
      <c r="G90" s="12" t="n">
        <v>136431.969920742</v>
      </c>
      <c r="H90" s="13" t="n">
        <v>4.364</v>
      </c>
      <c r="I90" s="13" t="n">
        <v>4.188</v>
      </c>
      <c r="J90" s="5" t="s">
        <v>74</v>
      </c>
      <c r="K90" s="8" t="n">
        <v>9.39422942529391</v>
      </c>
      <c r="L90" s="8" t="n">
        <v>51443.2243557113</v>
      </c>
      <c r="M90" s="8" t="n">
        <f aca="false">M89+L90</f>
        <v>-46830.9772330028</v>
      </c>
      <c r="N90" s="5" t="str">
        <f aca="false">IF(L90&gt;0,"прибыль",IF(L90&lt;0,"убыток","ноль"))</f>
        <v>прибыль</v>
      </c>
      <c r="O90" s="6" t="n">
        <f aca="false">IF(L90&lt;0,O89+1,0)</f>
        <v>0</v>
      </c>
      <c r="P90" s="6" t="n">
        <v>20</v>
      </c>
    </row>
    <row r="91" customFormat="false" ht="15" hidden="false" customHeight="false" outlineLevel="0" collapsed="false">
      <c r="A91" s="6" t="n">
        <v>86</v>
      </c>
      <c r="B91" s="5" t="s">
        <v>76</v>
      </c>
      <c r="C91" s="5" t="s">
        <v>30</v>
      </c>
      <c r="D91" s="11" t="n">
        <v>45737</v>
      </c>
      <c r="E91" s="11" t="n">
        <v>45747</v>
      </c>
      <c r="F91" s="5" t="s">
        <v>73</v>
      </c>
      <c r="G91" s="12" t="n">
        <v>231762.949470439</v>
      </c>
      <c r="H91" s="13" t="n">
        <v>3.92</v>
      </c>
      <c r="I91" s="13" t="n">
        <v>4.169</v>
      </c>
      <c r="J91" s="5" t="s">
        <v>74</v>
      </c>
      <c r="K91" s="8" t="n">
        <v>23.702096341648</v>
      </c>
      <c r="L91" s="8" t="n">
        <v>10492.3257957399</v>
      </c>
      <c r="M91" s="8" t="n">
        <f aca="false">M90+L91</f>
        <v>-36338.6514372629</v>
      </c>
      <c r="N91" s="5" t="str">
        <f aca="false">IF(L91&gt;0,"прибыль",IF(L91&lt;0,"убыток","ноль"))</f>
        <v>прибыль</v>
      </c>
      <c r="O91" s="6" t="n">
        <f aca="false">IF(L91&lt;0,O90+1,0)</f>
        <v>0</v>
      </c>
      <c r="P91" s="6" t="n">
        <v>6</v>
      </c>
    </row>
    <row r="92" customFormat="false" ht="15" hidden="false" customHeight="false" outlineLevel="0" collapsed="false">
      <c r="A92" s="6" t="n">
        <v>87</v>
      </c>
      <c r="B92" s="5" t="s">
        <v>76</v>
      </c>
      <c r="C92" s="5" t="s">
        <v>30</v>
      </c>
      <c r="D92" s="11" t="n">
        <v>45749</v>
      </c>
      <c r="E92" s="11" t="n">
        <v>45756</v>
      </c>
      <c r="F92" s="5" t="s">
        <v>73</v>
      </c>
      <c r="G92" s="12" t="n">
        <v>306986.065914643</v>
      </c>
      <c r="H92" s="13" t="n">
        <v>3.955</v>
      </c>
      <c r="I92" s="13" t="n">
        <v>3.506</v>
      </c>
      <c r="K92" s="8" t="n">
        <v>28.9045738496233</v>
      </c>
      <c r="L92" s="8" t="n">
        <v>-35909.5594106684</v>
      </c>
      <c r="M92" s="8" t="n">
        <f aca="false">M91+L92</f>
        <v>-72248.2108479313</v>
      </c>
      <c r="N92" s="5" t="str">
        <f aca="false">IF(L92&gt;0,"прибыль",IF(L92&lt;0,"убыток","ноль"))</f>
        <v>убыток</v>
      </c>
      <c r="O92" s="6" t="n">
        <f aca="false">IF(L92&lt;0,O91+1,0)</f>
        <v>1</v>
      </c>
      <c r="P92" s="6" t="n">
        <v>5</v>
      </c>
    </row>
    <row r="93" customFormat="false" ht="15" hidden="false" customHeight="false" outlineLevel="0" collapsed="false">
      <c r="A93" s="6" t="n">
        <v>88</v>
      </c>
      <c r="B93" s="5" t="s">
        <v>76</v>
      </c>
      <c r="C93" s="5" t="s">
        <v>30</v>
      </c>
      <c r="D93" s="11" t="n">
        <v>45757</v>
      </c>
      <c r="E93" s="11" t="n">
        <v>45758</v>
      </c>
      <c r="F93" s="5" t="s">
        <v>73</v>
      </c>
      <c r="G93" s="12" t="n">
        <v>253023.239662789</v>
      </c>
      <c r="H93" s="13" t="n">
        <v>3.71</v>
      </c>
      <c r="I93" s="13" t="n">
        <v>3.558</v>
      </c>
      <c r="K93" s="8" t="n">
        <v>24.731834556522</v>
      </c>
      <c r="L93" s="8" t="n">
        <v>-11434.5200296948</v>
      </c>
      <c r="M93" s="8" t="n">
        <f aca="false">M92+L93</f>
        <v>-83682.7308776261</v>
      </c>
      <c r="N93" s="5" t="str">
        <f aca="false">IF(L93&gt;0,"прибыль",IF(L93&lt;0,"убыток","ноль"))</f>
        <v>убыток</v>
      </c>
      <c r="O93" s="6" t="n">
        <f aca="false">IF(L93&lt;0,O92+1,0)</f>
        <v>2</v>
      </c>
      <c r="P93" s="6" t="n">
        <v>1</v>
      </c>
    </row>
    <row r="94" customFormat="false" ht="15" hidden="false" customHeight="false" outlineLevel="0" collapsed="false">
      <c r="A94" s="6" t="n">
        <v>89</v>
      </c>
      <c r="B94" s="5" t="s">
        <v>76</v>
      </c>
      <c r="C94" s="5" t="s">
        <v>30</v>
      </c>
      <c r="D94" s="11" t="n">
        <v>45761</v>
      </c>
      <c r="E94" s="11" t="n">
        <v>45762</v>
      </c>
      <c r="F94" s="5" t="s">
        <v>73</v>
      </c>
      <c r="G94" s="12" t="n">
        <v>238825.895373872</v>
      </c>
      <c r="H94" s="13" t="n">
        <v>3.498</v>
      </c>
      <c r="I94" s="13" t="n">
        <v>3.379</v>
      </c>
      <c r="K94" s="8" t="n">
        <v>23.425035379272</v>
      </c>
      <c r="L94" s="8" t="n">
        <v>-9174.50819768264</v>
      </c>
      <c r="M94" s="8" t="n">
        <f aca="false">M93+L94</f>
        <v>-92857.2390753088</v>
      </c>
      <c r="N94" s="5" t="str">
        <f aca="false">IF(L94&gt;0,"прибыль",IF(L94&lt;0,"убыток","ноль"))</f>
        <v>убыток</v>
      </c>
      <c r="O94" s="6" t="n">
        <f aca="false">IF(L94&lt;0,O93+1,0)</f>
        <v>3</v>
      </c>
      <c r="P94" s="6" t="n">
        <v>1</v>
      </c>
    </row>
    <row r="95" customFormat="false" ht="15" hidden="false" customHeight="false" outlineLevel="0" collapsed="false">
      <c r="A95" s="6" t="n">
        <v>90</v>
      </c>
      <c r="B95" s="5" t="s">
        <v>76</v>
      </c>
      <c r="C95" s="5" t="s">
        <v>30</v>
      </c>
      <c r="D95" s="11" t="n">
        <v>45938</v>
      </c>
      <c r="E95" s="11" t="n">
        <v>45939</v>
      </c>
      <c r="F95" s="5" t="s">
        <v>73</v>
      </c>
      <c r="G95" s="12" t="n">
        <v>411510.170243617</v>
      </c>
      <c r="H95" s="13" t="n">
        <v>3.496</v>
      </c>
      <c r="I95" s="13" t="n">
        <v>3.32</v>
      </c>
      <c r="K95" s="8" t="n">
        <v>40.0581507633242</v>
      </c>
      <c r="L95" s="8" t="n">
        <v>-21897.3833715138</v>
      </c>
      <c r="M95" s="8" t="n">
        <f aca="false">M94+L95</f>
        <v>-114754.622446823</v>
      </c>
      <c r="N95" s="5" t="str">
        <f aca="false">IF(L95&gt;0,"прибыль",IF(L95&lt;0,"убыток","ноль"))</f>
        <v>убыток</v>
      </c>
      <c r="O95" s="6" t="n">
        <f aca="false">IF(L95&lt;0,O94+1,0)</f>
        <v>4</v>
      </c>
      <c r="P95" s="6" t="n">
        <v>1</v>
      </c>
    </row>
    <row r="96" customFormat="false" ht="15" hidden="false" customHeight="false" outlineLevel="0" collapsed="false">
      <c r="A96" s="6" t="n">
        <v>91</v>
      </c>
      <c r="B96" s="5" t="s">
        <v>76</v>
      </c>
      <c r="C96" s="5" t="s">
        <v>30</v>
      </c>
      <c r="D96" s="11" t="n">
        <v>45951</v>
      </c>
      <c r="E96" s="11" t="n">
        <v>46000</v>
      </c>
      <c r="F96" s="5" t="s">
        <v>73</v>
      </c>
      <c r="G96" s="12" t="n">
        <v>106148.37555422</v>
      </c>
      <c r="H96" s="13" t="n">
        <v>3.388</v>
      </c>
      <c r="I96" s="13" t="n">
        <v>4.846</v>
      </c>
      <c r="J96" s="5" t="s">
        <v>74</v>
      </c>
      <c r="K96" s="8" t="n">
        <v>24.5954537652155</v>
      </c>
      <c r="L96" s="8" t="n">
        <v>22187.1159175072</v>
      </c>
      <c r="M96" s="8" t="n">
        <f aca="false">M95+L96</f>
        <v>-92567.5065293154</v>
      </c>
      <c r="N96" s="5" t="str">
        <f aca="false">IF(L96&gt;0,"прибыль",IF(L96&lt;0,"убыток","ноль"))</f>
        <v>прибыль</v>
      </c>
      <c r="O96" s="6" t="n">
        <f aca="false">IF(L96&lt;0,O95+1,0)</f>
        <v>0</v>
      </c>
      <c r="P96" s="6" t="n">
        <v>41</v>
      </c>
    </row>
    <row r="97" customFormat="false" ht="15" hidden="false" customHeight="false" outlineLevel="0" collapsed="false">
      <c r="A97" s="6" t="n">
        <v>92</v>
      </c>
      <c r="B97" s="5" t="s">
        <v>76</v>
      </c>
      <c r="C97" s="5" t="s">
        <v>30</v>
      </c>
      <c r="D97" s="11" t="n">
        <v>46000</v>
      </c>
      <c r="E97" s="11" t="n">
        <v>46015</v>
      </c>
      <c r="F97" s="5" t="s">
        <v>73</v>
      </c>
      <c r="G97" s="12" t="n">
        <v>77988.8949521149</v>
      </c>
      <c r="H97" s="13" t="n">
        <v>4.846</v>
      </c>
      <c r="I97" s="13" t="n">
        <v>4.41</v>
      </c>
      <c r="K97" s="8" t="n">
        <v>4.28755514311749</v>
      </c>
      <c r="L97" s="8" t="n">
        <v>7757.92035509179</v>
      </c>
      <c r="M97" s="8" t="n">
        <f aca="false">M96+L97</f>
        <v>-84809.5861742236</v>
      </c>
      <c r="N97" s="5" t="str">
        <f aca="false">IF(L97&gt;0,"прибыль",IF(L97&lt;0,"убыток","ноль"))</f>
        <v>прибыль</v>
      </c>
      <c r="O97" s="6" t="n">
        <f aca="false">IF(L97&lt;0,O96+1,0)</f>
        <v>0</v>
      </c>
      <c r="P97" s="6" t="n">
        <v>15</v>
      </c>
    </row>
    <row r="98" customFormat="false" ht="15" hidden="false" customHeight="false" outlineLevel="0" collapsed="false">
      <c r="A98" s="6" t="n">
        <v>93</v>
      </c>
      <c r="B98" s="5" t="s">
        <v>76</v>
      </c>
      <c r="C98" s="5" t="s">
        <v>30</v>
      </c>
      <c r="D98" s="11" t="n">
        <v>46015</v>
      </c>
      <c r="E98" s="11" t="n">
        <v>46030</v>
      </c>
      <c r="F98" s="5" t="s">
        <v>73</v>
      </c>
      <c r="G98" s="12" t="n">
        <v>217959.825455662</v>
      </c>
      <c r="H98" s="13" t="n">
        <v>4.41</v>
      </c>
      <c r="I98" s="13" t="n">
        <v>3.59</v>
      </c>
      <c r="J98" s="5" t="s">
        <v>74</v>
      </c>
      <c r="K98" s="8" t="n">
        <v>12.7532244893587</v>
      </c>
      <c r="L98" s="8" t="n">
        <v>-1456.1964761546</v>
      </c>
      <c r="M98" s="8" t="n">
        <f aca="false">M97+L98</f>
        <v>-86265.7826503782</v>
      </c>
      <c r="N98" s="5" t="str">
        <f aca="false">IF(L98&gt;0,"прибыль",IF(L98&lt;0,"убыток","ноль"))</f>
        <v>убыток</v>
      </c>
      <c r="O98" s="6" t="n">
        <f aca="false">IF(L98&lt;0,O97+1,0)</f>
        <v>1</v>
      </c>
      <c r="P98" s="6" t="n">
        <v>9</v>
      </c>
    </row>
    <row r="99" customFormat="false" ht="15" hidden="false" customHeight="false" outlineLevel="0" collapsed="false">
      <c r="A99" s="6" t="n">
        <v>94</v>
      </c>
      <c r="B99" s="5" t="s">
        <v>76</v>
      </c>
      <c r="C99" s="5" t="s">
        <v>30</v>
      </c>
      <c r="D99" s="11" t="n">
        <v>46092</v>
      </c>
      <c r="E99" s="11" t="n">
        <v>46093</v>
      </c>
      <c r="F99" s="5" t="s">
        <v>73</v>
      </c>
      <c r="G99" s="12" t="n">
        <v>344195.696184227</v>
      </c>
      <c r="H99" s="13" t="n">
        <v>3.085</v>
      </c>
      <c r="I99" s="13" t="n">
        <v>3.284</v>
      </c>
      <c r="K99" s="8" t="n">
        <v>35.4681693648262</v>
      </c>
      <c r="L99" s="8" t="n">
        <v>20936.5267587042</v>
      </c>
      <c r="M99" s="8" t="n">
        <f aca="false">M98+L99</f>
        <v>-65329.255891674</v>
      </c>
      <c r="N99" s="5" t="str">
        <f aca="false">IF(L99&gt;0,"прибыль",IF(L99&lt;0,"убыток","ноль"))</f>
        <v>прибыль</v>
      </c>
      <c r="O99" s="6" t="n">
        <f aca="false">IF(L99&lt;0,O98+1,0)</f>
        <v>0</v>
      </c>
      <c r="P99" s="6" t="n">
        <v>1</v>
      </c>
    </row>
    <row r="100" customFormat="false" ht="15" hidden="false" customHeight="false" outlineLevel="0" collapsed="false">
      <c r="A100" s="6" t="n">
        <v>95</v>
      </c>
      <c r="B100" s="5" t="s">
        <v>76</v>
      </c>
      <c r="C100" s="5" t="s">
        <v>30</v>
      </c>
      <c r="D100" s="11" t="n">
        <v>46105</v>
      </c>
      <c r="E100" s="11" t="n">
        <v>46112</v>
      </c>
      <c r="F100" s="5" t="s">
        <v>73</v>
      </c>
      <c r="G100" s="12" t="n">
        <v>265826.624995139</v>
      </c>
      <c r="H100" s="13" t="n">
        <v>2.943</v>
      </c>
      <c r="I100" s="13" t="n">
        <v>2.928</v>
      </c>
      <c r="J100" s="5" t="s">
        <v>74</v>
      </c>
      <c r="K100" s="8" t="n">
        <v>26.0143398502084</v>
      </c>
      <c r="L100" s="8" t="n">
        <v>-11392.4673259608</v>
      </c>
      <c r="M100" s="8" t="n">
        <f aca="false">M99+L100</f>
        <v>-76721.7232176348</v>
      </c>
      <c r="N100" s="5" t="str">
        <f aca="false">IF(L100&gt;0,"прибыль",IF(L100&lt;0,"убыток","ноль"))</f>
        <v>убыток</v>
      </c>
      <c r="O100" s="6" t="n">
        <f aca="false">IF(L100&lt;0,O99+1,0)</f>
        <v>1</v>
      </c>
      <c r="P100" s="6" t="n">
        <v>7</v>
      </c>
    </row>
    <row r="101" customFormat="false" ht="15" hidden="false" customHeight="false" outlineLevel="0" collapsed="false">
      <c r="A101" s="6" t="n">
        <v>96</v>
      </c>
      <c r="B101" s="5" t="s">
        <v>76</v>
      </c>
      <c r="C101" s="5" t="s">
        <v>30</v>
      </c>
      <c r="D101" s="11" t="n">
        <v>46125</v>
      </c>
      <c r="E101" s="11" t="n">
        <v>46126</v>
      </c>
      <c r="F101" s="5" t="s">
        <v>75</v>
      </c>
      <c r="G101" s="12" t="n">
        <v>499345.317852054</v>
      </c>
      <c r="H101" s="13" t="n">
        <v>2.718</v>
      </c>
      <c r="I101" s="13" t="n">
        <v>2.649</v>
      </c>
      <c r="K101" s="8" t="n">
        <v>49.3608534113714</v>
      </c>
      <c r="L101" s="8" t="n">
        <v>11424.2066232684</v>
      </c>
      <c r="M101" s="8" t="n">
        <f aca="false">M100+L101</f>
        <v>-65297.5165943664</v>
      </c>
      <c r="N101" s="5" t="str">
        <f aca="false">IF(L101&gt;0,"прибыль",IF(L101&lt;0,"убыток","ноль"))</f>
        <v>прибыль</v>
      </c>
      <c r="O101" s="6" t="n">
        <f aca="false">IF(L101&lt;0,O100+1,0)</f>
        <v>0</v>
      </c>
      <c r="P101" s="6" t="n">
        <v>1</v>
      </c>
    </row>
    <row r="102" customFormat="false" ht="15" hidden="false" customHeight="false" outlineLevel="0" collapsed="false">
      <c r="A102" s="6" t="n">
        <v>97</v>
      </c>
      <c r="B102" s="5" t="s">
        <v>76</v>
      </c>
      <c r="C102" s="5" t="s">
        <v>30</v>
      </c>
      <c r="D102" s="11" t="n">
        <v>46129</v>
      </c>
      <c r="E102" s="11" t="n">
        <v>46154</v>
      </c>
      <c r="F102" s="5" t="s">
        <v>75</v>
      </c>
      <c r="G102" s="12" t="n">
        <v>128440.374088002</v>
      </c>
      <c r="H102" s="13" t="n">
        <v>2.696</v>
      </c>
      <c r="I102" s="13" t="n">
        <v>2.946</v>
      </c>
      <c r="J102" s="5" t="s">
        <v>74</v>
      </c>
      <c r="K102" s="8" t="n">
        <v>31.1808131652422</v>
      </c>
      <c r="L102" s="8" t="n">
        <v>-3724.53836571827</v>
      </c>
      <c r="M102" s="8" t="n">
        <f aca="false">M101+L102</f>
        <v>-69022.0549600847</v>
      </c>
      <c r="N102" s="5" t="str">
        <f aca="false">IF(L102&gt;0,"прибыль",IF(L102&lt;0,"убыток","ноль"))</f>
        <v>убыток</v>
      </c>
      <c r="O102" s="6" t="n">
        <f aca="false">IF(L102&lt;0,O101+1,0)</f>
        <v>1</v>
      </c>
      <c r="P102" s="6" t="n">
        <v>23</v>
      </c>
    </row>
    <row r="103" customFormat="false" ht="15" hidden="false" customHeight="false" outlineLevel="0" collapsed="false">
      <c r="A103" s="6" t="n">
        <v>98</v>
      </c>
      <c r="B103" s="5" t="s">
        <v>76</v>
      </c>
      <c r="C103" s="5" t="s">
        <v>30</v>
      </c>
      <c r="D103" s="11" t="n">
        <v>46154</v>
      </c>
      <c r="E103" s="11" t="n">
        <v>46178</v>
      </c>
      <c r="F103" s="5" t="s">
        <v>75</v>
      </c>
      <c r="G103" s="12" t="n">
        <v>363042.157576288</v>
      </c>
      <c r="H103" s="13" t="n">
        <v>2.946</v>
      </c>
      <c r="I103" s="13" t="n">
        <v>3.365</v>
      </c>
      <c r="J103" s="5" t="s">
        <v>74</v>
      </c>
      <c r="K103" s="8" t="n">
        <v>19.8987079933572</v>
      </c>
      <c r="L103" s="8" t="n">
        <v>-34951.900998849</v>
      </c>
      <c r="M103" s="8" t="n">
        <f aca="false">M102+L103</f>
        <v>-103973.955958934</v>
      </c>
      <c r="N103" s="5" t="str">
        <f aca="false">IF(L103&gt;0,"прибыль",IF(L103&lt;0,"убыток","ноль"))</f>
        <v>убыток</v>
      </c>
      <c r="O103" s="6" t="n">
        <f aca="false">IF(L103&lt;0,O102+1,0)</f>
        <v>2</v>
      </c>
      <c r="P103" s="6" t="n">
        <v>24</v>
      </c>
    </row>
    <row r="104" customFormat="false" ht="15" hidden="false" customHeight="false" outlineLevel="0" collapsed="false">
      <c r="A104" s="6" t="n">
        <v>99</v>
      </c>
      <c r="B104" s="5" t="s">
        <v>76</v>
      </c>
      <c r="C104" s="5" t="s">
        <v>30</v>
      </c>
      <c r="D104" s="11" t="n">
        <v>46179</v>
      </c>
      <c r="E104" s="11" t="n">
        <v>46184</v>
      </c>
      <c r="F104" s="5" t="s">
        <v>75</v>
      </c>
      <c r="G104" s="12" t="n">
        <v>368601.869915746</v>
      </c>
      <c r="H104" s="13" t="n">
        <v>3.237</v>
      </c>
      <c r="I104" s="13" t="n">
        <v>3.196</v>
      </c>
      <c r="K104" s="8" t="n">
        <v>36.6816340110187</v>
      </c>
      <c r="L104" s="8" t="n">
        <v>3534.37797710641</v>
      </c>
      <c r="M104" s="8" t="n">
        <f aca="false">M103+L104</f>
        <v>-100439.577981827</v>
      </c>
      <c r="N104" s="5" t="str">
        <f aca="false">IF(L104&gt;0,"прибыль",IF(L104&lt;0,"убыток","ноль"))</f>
        <v>прибыль</v>
      </c>
      <c r="O104" s="6" t="n">
        <f aca="false">IF(L104&lt;0,O103+1,0)</f>
        <v>0</v>
      </c>
      <c r="P104" s="6" t="n">
        <v>5</v>
      </c>
    </row>
    <row r="105" customFormat="false" ht="15" hidden="false" customHeight="false" outlineLevel="0" collapsed="false">
      <c r="A105" s="6" t="n">
        <v>100</v>
      </c>
      <c r="B105" s="5" t="s">
        <v>76</v>
      </c>
      <c r="C105" s="5" t="s">
        <v>30</v>
      </c>
      <c r="D105" s="11" t="n">
        <v>46188</v>
      </c>
      <c r="E105" s="11" t="n">
        <v>46189</v>
      </c>
      <c r="F105" s="5" t="s">
        <v>73</v>
      </c>
      <c r="G105" s="12" t="n">
        <v>378537.283683254</v>
      </c>
      <c r="H105" s="13" t="n">
        <v>3.087</v>
      </c>
      <c r="I105" s="13" t="n">
        <v>3.148</v>
      </c>
      <c r="K105" s="8" t="n">
        <v>38.1700715175284</v>
      </c>
      <c r="L105" s="8" t="n">
        <v>6288.69291254399</v>
      </c>
      <c r="M105" s="8" t="n">
        <f aca="false">M104+L105</f>
        <v>-94150.8850692833</v>
      </c>
      <c r="N105" s="5" t="str">
        <f aca="false">IF(L105&gt;0,"прибыль",IF(L105&lt;0,"убыток","ноль"))</f>
        <v>прибыль</v>
      </c>
      <c r="O105" s="6" t="n">
        <f aca="false">IF(L105&lt;0,O104+1,0)</f>
        <v>0</v>
      </c>
      <c r="P105" s="6" t="n">
        <v>1</v>
      </c>
    </row>
    <row r="106" customFormat="false" ht="15" hidden="false" customHeight="false" outlineLevel="0" collapsed="false">
      <c r="A106" s="6" t="n">
        <v>101</v>
      </c>
      <c r="B106" s="5" t="s">
        <v>76</v>
      </c>
      <c r="C106" s="5" t="s">
        <v>30</v>
      </c>
      <c r="D106" s="11" t="n">
        <v>46191</v>
      </c>
      <c r="E106" s="11" t="n">
        <v>46192</v>
      </c>
      <c r="F106" s="5" t="s">
        <v>73</v>
      </c>
      <c r="G106" s="12" t="n">
        <v>435530.621876103</v>
      </c>
      <c r="H106" s="13" t="n">
        <v>3.14</v>
      </c>
      <c r="I106" s="13" t="n">
        <v>3.214</v>
      </c>
      <c r="K106" s="8" t="n">
        <v>44.0062317798071</v>
      </c>
      <c r="L106" s="8" t="n">
        <v>9019.38561215498</v>
      </c>
      <c r="M106" s="8" t="n">
        <f aca="false">M105+L106</f>
        <v>-85131.4994571283</v>
      </c>
      <c r="N106" s="5" t="str">
        <f aca="false">IF(L106&gt;0,"прибыль",IF(L106&lt;0,"убыток","ноль"))</f>
        <v>прибыль</v>
      </c>
      <c r="O106" s="6" t="n">
        <f aca="false">IF(L106&lt;0,O105+1,0)</f>
        <v>0</v>
      </c>
      <c r="P106" s="6" t="n">
        <v>1</v>
      </c>
    </row>
    <row r="107" customFormat="false" ht="15" hidden="false" customHeight="false" outlineLevel="0" collapsed="false">
      <c r="A107" s="6" t="n">
        <v>102</v>
      </c>
      <c r="B107" s="5" t="s">
        <v>76</v>
      </c>
      <c r="C107" s="5" t="s">
        <v>30</v>
      </c>
      <c r="D107" s="11" t="n">
        <v>46214</v>
      </c>
      <c r="E107" s="11" t="n">
        <v>46215</v>
      </c>
      <c r="F107" s="5" t="s">
        <v>75</v>
      </c>
      <c r="G107" s="12" t="n">
        <v>387332.489163965</v>
      </c>
      <c r="H107" s="13" t="n">
        <v>2.942</v>
      </c>
      <c r="I107" s="13" t="n">
        <v>2.941</v>
      </c>
      <c r="K107" s="8" t="n">
        <v>38.7840498523479</v>
      </c>
      <c r="L107" s="8" t="n">
        <v>-1054.80276888035</v>
      </c>
      <c r="M107" s="8" t="n">
        <f aca="false">M106+L107</f>
        <v>-86186.3022260086</v>
      </c>
      <c r="N107" s="5" t="str">
        <f aca="false">IF(L107&gt;0,"прибыль",IF(L107&lt;0,"убыток","ноль"))</f>
        <v>убыток</v>
      </c>
      <c r="O107" s="6" t="n">
        <f aca="false">IF(L107&lt;0,O106+1,0)</f>
        <v>1</v>
      </c>
      <c r="P107" s="6" t="n">
        <v>1</v>
      </c>
    </row>
    <row r="108" customFormat="false" ht="15" hidden="false" customHeight="false" outlineLevel="0" collapsed="false">
      <c r="A108" s="6" t="n">
        <v>103</v>
      </c>
      <c r="B108" s="5" t="s">
        <v>76</v>
      </c>
      <c r="C108" s="5" t="s">
        <v>30</v>
      </c>
      <c r="D108" s="11" t="n">
        <v>46216</v>
      </c>
      <c r="E108" s="11" t="n">
        <v>46231</v>
      </c>
      <c r="F108" s="5" t="s">
        <v>75</v>
      </c>
      <c r="G108" s="12" t="n">
        <v>488759.212865266</v>
      </c>
      <c r="H108" s="13" t="n">
        <v>2.923</v>
      </c>
      <c r="I108" s="13" t="n">
        <v>2.746</v>
      </c>
      <c r="K108" s="8" t="n">
        <v>47.509190818343</v>
      </c>
      <c r="L108" s="8" t="n">
        <v>27287.1001728542</v>
      </c>
      <c r="M108" s="8" t="n">
        <f aca="false">M107+L108</f>
        <v>-58899.2020531545</v>
      </c>
      <c r="N108" s="5" t="str">
        <f aca="false">IF(L108&gt;0,"прибыль",IF(L108&lt;0,"убыток","ноль"))</f>
        <v>прибыль</v>
      </c>
      <c r="O108" s="6" t="n">
        <f aca="false">IF(L108&lt;0,O107+1,0)</f>
        <v>0</v>
      </c>
      <c r="P108" s="6" t="n">
        <v>15</v>
      </c>
    </row>
    <row r="109" customFormat="false" ht="15" hidden="false" customHeight="false" outlineLevel="0" collapsed="false">
      <c r="A109" s="6" t="n">
        <v>104</v>
      </c>
      <c r="B109" s="5" t="s">
        <v>76</v>
      </c>
      <c r="C109" s="5" t="s">
        <v>30</v>
      </c>
      <c r="D109" s="11" t="n">
        <v>46238</v>
      </c>
      <c r="E109" s="11" t="n">
        <v>46239</v>
      </c>
      <c r="F109" s="5" t="s">
        <v>75</v>
      </c>
      <c r="G109" s="12" t="n">
        <v>547953.440154111</v>
      </c>
      <c r="H109" s="13" t="n">
        <v>2.78</v>
      </c>
      <c r="I109" s="13" t="n">
        <v>2.702</v>
      </c>
      <c r="K109" s="8" t="n">
        <v>54.0883125797965</v>
      </c>
      <c r="L109" s="8" t="n">
        <v>14086.5403997121</v>
      </c>
      <c r="M109" s="8" t="n">
        <f aca="false">M108+L109</f>
        <v>-44812.6616534424</v>
      </c>
      <c r="N109" s="5" t="str">
        <f aca="false">IF(L109&gt;0,"прибыль",IF(L109&lt;0,"убыток","ноль"))</f>
        <v>прибыль</v>
      </c>
      <c r="O109" s="6" t="n">
        <f aca="false">IF(L109&lt;0,O108+1,0)</f>
        <v>0</v>
      </c>
      <c r="P109" s="6" t="n">
        <v>1</v>
      </c>
    </row>
    <row r="110" customFormat="false" ht="15" hidden="false" customHeight="false" outlineLevel="0" collapsed="false">
      <c r="A110" s="6" t="n">
        <v>105</v>
      </c>
      <c r="B110" s="5" t="s">
        <v>76</v>
      </c>
      <c r="C110" s="5" t="s">
        <v>30</v>
      </c>
      <c r="D110" s="11" t="n">
        <v>46290</v>
      </c>
      <c r="E110" s="11" t="n">
        <v>46295</v>
      </c>
      <c r="F110" s="5" t="s">
        <v>73</v>
      </c>
      <c r="G110" s="12" t="n">
        <v>338616.241031149</v>
      </c>
      <c r="H110" s="13" t="n">
        <v>3.183</v>
      </c>
      <c r="I110" s="13" t="n">
        <v>3.04</v>
      </c>
      <c r="J110" s="5" t="s">
        <v>74</v>
      </c>
      <c r="K110" s="8" t="n">
        <v>33.3035765593669</v>
      </c>
      <c r="L110" s="8" t="n">
        <v>-11194.2544515208</v>
      </c>
      <c r="M110" s="8" t="n">
        <f aca="false">M109+L110</f>
        <v>-56006.9161049632</v>
      </c>
      <c r="N110" s="5" t="str">
        <f aca="false">IF(L110&gt;0,"прибыль",IF(L110&lt;0,"убыток","ноль"))</f>
        <v>убыток</v>
      </c>
      <c r="O110" s="6" t="n">
        <f aca="false">IF(L110&lt;0,O109+1,0)</f>
        <v>1</v>
      </c>
      <c r="P110" s="6" t="n">
        <v>5</v>
      </c>
    </row>
    <row r="111" customFormat="false" ht="15" hidden="false" customHeight="false" outlineLevel="0" collapsed="false">
      <c r="A111" s="6" t="n">
        <v>106</v>
      </c>
      <c r="B111" s="5" t="s">
        <v>76</v>
      </c>
      <c r="C111" s="5" t="s">
        <v>30</v>
      </c>
      <c r="E111" s="11" t="n">
        <v>46298</v>
      </c>
      <c r="F111" s="5" t="s">
        <v>73</v>
      </c>
      <c r="I111" s="13" t="n">
        <v>3.043</v>
      </c>
      <c r="L111" s="8" t="n">
        <v>4680.33512767965</v>
      </c>
      <c r="M111" s="8" t="n">
        <f aca="false">M110+L111</f>
        <v>-51326.5809772835</v>
      </c>
      <c r="N111" s="5" t="str">
        <f aca="false">IF(L111&gt;0,"прибыль",IF(L111&lt;0,"убыток","ноль"))</f>
        <v>прибыль</v>
      </c>
      <c r="O111" s="6" t="n">
        <f aca="false">IF(L111&lt;0,O110+1,0)</f>
        <v>0</v>
      </c>
      <c r="Q111" s="5" t="s">
        <v>77</v>
      </c>
    </row>
  </sheetData>
  <autoFilter ref="A5:Q1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2026-10-28T15:38:46Z</dcterms:created>
  <dc:creator>openpyxl</dc:creator>
  <dc:description/>
  <dc:language>en-US</dc:language>
  <cp:lastModifiedBy/>
  <dcterms:modified xsi:type="dcterms:W3CDTF">2026-10-28T15:38:46Z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